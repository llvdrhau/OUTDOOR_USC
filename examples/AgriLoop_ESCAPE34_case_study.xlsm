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488C71C6-532F-4D61-AE5E-55688ABE00BA}" xr6:coauthVersionLast="47" xr6:coauthVersionMax="47" xr10:uidLastSave="{00000000-0000-0000-0000-000000000000}"/>
  <bookViews>
    <workbookView xWindow="57480" yWindow="-1680" windowWidth="29040" windowHeight="15720" tabRatio="609" activeTab="13" xr2:uid="{F0922C42-4112-4628-95FA-9F15DE1E480B}"/>
  </bookViews>
  <sheets>
    <sheet name="Systemblatt" sheetId="14" r:id="rId1"/>
    <sheet name="DataBank" sheetId="12" state="hidden" r:id="rId2"/>
    <sheet name="Template_PhysicalProcess" sheetId="83" state="hidden" r:id="rId3"/>
    <sheet name="Template_StoichReactor" sheetId="90" state="hidden" r:id="rId4"/>
    <sheet name="Template_YieldReactor" sheetId="103" state="hidden" r:id="rId5"/>
    <sheet name="Template_ElGenerator" sheetId="120" state="hidden" r:id="rId6"/>
    <sheet name="Template_SteamGenerator" sheetId="121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Grind_and_starch_decantation" sheetId="124" r:id="rId13"/>
    <sheet name="Drying" sheetId="140" r:id="rId14"/>
    <sheet name="Starch_processing" sheetId="141" r:id="rId15"/>
    <sheet name="PLA_reactor" sheetId="139" r:id="rId16"/>
    <sheet name="help_unit" sheetId="129" r:id="rId17"/>
    <sheet name="Microwave assisted extraction" sheetId="125" r:id="rId18"/>
    <sheet name="Solvent recovery" sheetId="132" r:id="rId19"/>
    <sheet name="ultra sound assisted extraction" sheetId="133" r:id="rId20"/>
    <sheet name="Solvent Recovery 2" sheetId="134" r:id="rId21"/>
    <sheet name="Yeast Fermentation" sheetId="127" r:id="rId22"/>
    <sheet name="Anaerobic Digestor" sheetId="126" r:id="rId23"/>
    <sheet name="elek Generator" sheetId="128" r:id="rId24"/>
    <sheet name="steam generator" sheetId="131" r:id="rId2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" i="124" l="1"/>
  <c r="N10" i="124"/>
  <c r="E27" i="141"/>
  <c r="J12" i="141"/>
  <c r="E27" i="140"/>
  <c r="J12" i="140"/>
  <c r="D12" i="138"/>
  <c r="D11" i="138"/>
  <c r="C57" i="114"/>
  <c r="C23" i="114"/>
  <c r="C24" i="114"/>
  <c r="C38" i="114"/>
  <c r="C36" i="114"/>
  <c r="C35" i="114"/>
  <c r="E10" i="114" s="1"/>
  <c r="C47" i="114"/>
  <c r="E14" i="115"/>
  <c r="E15" i="115"/>
  <c r="E17" i="115"/>
  <c r="E18" i="115"/>
  <c r="F10" i="114"/>
  <c r="H10" i="114"/>
  <c r="E27" i="139"/>
  <c r="J12" i="139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5" i="114"/>
  <c r="E13" i="115"/>
</calcChain>
</file>

<file path=xl/sharedStrings.xml><?xml version="1.0" encoding="utf-8"?>
<sst xmlns="http://schemas.openxmlformats.org/spreadsheetml/2006/main" count="2400" uniqueCount="348">
  <si>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</si>
  <si>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</si>
  <si>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</si>
  <si>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</si>
  <si>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</si>
  <si>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</si>
  <si>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</si>
  <si>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</si>
  <si>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</si>
  <si>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</si>
  <si>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</si>
  <si>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</si>
  <si>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</si>
  <si>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</si>
  <si>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</si>
  <si>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</si>
  <si>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</si>
  <si>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</si>
  <si>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</si>
  <si>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</si>
  <si>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</si>
  <si>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</si>
  <si>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</si>
  <si>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</si>
  <si>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</si>
  <si>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</si>
  <si>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</si>
  <si>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</si>
  <si>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</si>
  <si>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</si>
  <si>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</si>
  <si>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</si>
  <si>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</si>
  <si>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</si>
  <si>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</si>
  <si>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</si>
  <si>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</si>
  <si>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</si>
  <si>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</si>
  <si>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</si>
  <si>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</si>
  <si>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</si>
  <si>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</si>
  <si>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</si>
  <si>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</si>
  <si>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</si>
  <si>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</si>
  <si>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</si>
  <si>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</si>
  <si>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</si>
  <si>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</si>
  <si>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</si>
  <si>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</si>
  <si>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</si>
  <si>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</si>
  <si>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</si>
  <si>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</si>
  <si>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</si>
  <si>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</si>
  <si>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</si>
  <si>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</si>
  <si>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</si>
  <si>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</si>
  <si>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</si>
  <si>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</si>
  <si>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</si>
  <si>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</si>
  <si>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</si>
  <si>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</si>
  <si>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</si>
  <si>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</si>
  <si>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</si>
  <si>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</si>
  <si>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</si>
  <si>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</si>
  <si>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</si>
  <si>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</si>
  <si>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</si>
  <si>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</si>
  <si>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</si>
  <si>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</si>
  <si>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</si>
  <si>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</si>
  <si>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</si>
  <si>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</si>
  <si>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</si>
  <si>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</si>
  <si>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</si>
  <si>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</si>
  <si>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</si>
  <si>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</si>
  <si>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</si>
  <si>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</si>
  <si>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</si>
  <si>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</si>
  <si>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</si>
  <si>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</si>
  <si>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</si>
  <si>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</si>
  <si>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</si>
  <si>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</si>
  <si>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</si>
  <si>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</si>
  <si>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</si>
  <si>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</si>
  <si>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</si>
  <si>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</si>
  <si>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</si>
  <si>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</si>
  <si>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</si>
  <si>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</si>
  <si>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</si>
  <si>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</si>
  <si>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</si>
  <si>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</si>
  <si>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</si>
  <si>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</si>
  <si>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</si>
  <si>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</si>
  <si>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</si>
  <si>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</si>
  <si>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</si>
  <si>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</si>
  <si>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</si>
  <si>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</si>
  <si>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</si>
  <si>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</si>
  <si>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</si>
  <si>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</si>
  <si>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</si>
  <si>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</si>
  <si>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</si>
  <si>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</si>
  <si>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</si>
  <si>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</si>
  <si>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</si>
  <si>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</si>
  <si>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</si>
  <si>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</si>
  <si>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</si>
  <si>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</si>
  <si>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</si>
  <si>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</si>
  <si>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</si>
  <si>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</si>
  <si>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</si>
  <si>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</si>
  <si>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</si>
  <si>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</si>
  <si>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</si>
  <si>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</si>
  <si>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</si>
  <si>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</si>
  <si>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</si>
  <si>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</si>
  <si>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</si>
  <si>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</si>
  <si>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</si>
  <si>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</si>
  <si>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</si>
  <si>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</si>
  <si>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</si>
  <si>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</si>
  <si>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</si>
  <si>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</si>
  <si>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</si>
  <si>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</si>
  <si>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</si>
  <si>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</si>
  <si>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</si>
  <si>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</si>
  <si>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</si>
  <si>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</si>
  <si>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</si>
  <si>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</si>
  <si>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</si>
  <si>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</si>
  <si>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</si>
  <si>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</si>
  <si>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</si>
  <si>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</si>
  <si>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</si>
  <si>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</si>
  <si>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</si>
  <si>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</si>
  <si>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</si>
  <si>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</si>
  <si>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</si>
  <si>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</si>
  <si>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</si>
  <si>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</si>
  <si>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</si>
  <si>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</si>
  <si>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</si>
  <si>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</si>
  <si>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</si>
  <si>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</si>
  <si>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</si>
  <si>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</si>
  <si>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</si>
  <si>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</si>
  <si>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</si>
  <si>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</si>
  <si>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</si>
  <si>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</si>
  <si>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</si>
  <si>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</si>
  <si>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</si>
  <si>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</si>
  <si>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</si>
  <si>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</si>
  <si>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</si>
  <si>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</si>
  <si>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</si>
  <si>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</si>
  <si>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</si>
  <si>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</si>
  <si>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</si>
  <si>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</si>
  <si>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</si>
  <si>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</si>
  <si>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</si>
  <si>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</si>
  <si>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</si>
  <si>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</si>
  <si>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steam gen.</t>
  </si>
  <si>
    <t>Methane</t>
  </si>
  <si>
    <t>Solvent</t>
  </si>
  <si>
    <t>DES</t>
  </si>
  <si>
    <t>gas splitter</t>
  </si>
  <si>
    <t>UAE</t>
  </si>
  <si>
    <t>Solvent recov2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</si>
  <si>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</si>
  <si>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</si>
  <si>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</si>
  <si>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</si>
  <si>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</si>
  <si>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</si>
  <si>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</si>
  <si>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</si>
  <si>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</si>
  <si>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</si>
  <si>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</si>
  <si>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</si>
  <si>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</si>
  <si>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</si>
  <si>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</si>
  <si>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</si>
  <si>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</si>
  <si>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</si>
  <si>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</si>
  <si>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</si>
  <si>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</si>
  <si>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</si>
  <si>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</si>
  <si>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</si>
  <si>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</si>
  <si>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</si>
  <si>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</si>
  <si>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</si>
  <si>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</si>
  <si>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</si>
  <si>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</si>
  <si>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</si>
  <si>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</si>
  <si>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</si>
  <si>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</si>
  <si>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</si>
  <si>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</si>
  <si>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</si>
  <si>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</si>
  <si>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</si>
  <si>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</si>
  <si>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</si>
  <si>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</si>
  <si>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</si>
  <si>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</si>
  <si>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</si>
  <si>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</si>
  <si>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</si>
  <si>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</si>
  <si>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</si>
  <si>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</si>
  <si>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</si>
  <si>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</si>
  <si>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</si>
  <si>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</si>
  <si>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</si>
  <si>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</si>
  <si>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</si>
  <si>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</si>
  <si>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</si>
  <si>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</si>
  <si>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</si>
  <si>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 xml:space="preserve">Custom probability </t>
  </si>
  <si>
    <t xml:space="preserve">Group </t>
  </si>
  <si>
    <t xml:space="preserve">Probability </t>
  </si>
  <si>
    <t>n.a.</t>
  </si>
  <si>
    <t>MULTI</t>
  </si>
  <si>
    <t>Main product</t>
  </si>
  <si>
    <t>Product load</t>
  </si>
  <si>
    <t>multi-2-stage-recourse</t>
  </si>
  <si>
    <t>Solvent recov 1</t>
  </si>
  <si>
    <t>h/y</t>
  </si>
  <si>
    <t xml:space="preserve">Units </t>
  </si>
  <si>
    <t>MinProduction</t>
  </si>
  <si>
    <t>MaxProduction</t>
  </si>
  <si>
    <t>Target unit</t>
  </si>
  <si>
    <t>PLA Reactor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</si>
  <si>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</si>
  <si>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</si>
  <si>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</si>
  <si>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</si>
  <si>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</si>
  <si>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</si>
  <si>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</si>
  <si>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</si>
  <si>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</si>
  <si>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</si>
  <si>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</si>
  <si>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</si>
  <si>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</si>
  <si>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odds</t>
  </si>
  <si>
    <t>[0.1, 0.8, 0.1}</t>
  </si>
  <si>
    <t>Polylactic acid (PLA) price index - businessanalytiq</t>
  </si>
  <si>
    <t>Eur/kg</t>
  </si>
  <si>
    <t>%dv</t>
  </si>
  <si>
    <t>PLA-Plastic</t>
  </si>
  <si>
    <t>POTATO PEELS</t>
  </si>
  <si>
    <t xml:space="preserve">doi:10.3390/foods9111598 </t>
  </si>
  <si>
    <t>ash</t>
  </si>
  <si>
    <t>Proteins</t>
  </si>
  <si>
    <t>Potato Starch Prices, Price, Pricing, Monitor | ChemAnalyst</t>
  </si>
  <si>
    <t>Starch</t>
  </si>
  <si>
    <t>LETS ASSUME we can process 1 metric ton per hour</t>
  </si>
  <si>
    <t>Grinding</t>
  </si>
  <si>
    <t>Hot Air Drying</t>
  </si>
  <si>
    <t>Lets assume 50% of the water remains in the pulp that then needs to dry</t>
  </si>
  <si>
    <t>Sliced crop data on solar drying potential | Download Table (researchgate.net)</t>
  </si>
  <si>
    <t>roughly need 1.5 kwh/kg of water to evaporate</t>
  </si>
  <si>
    <t>lets say drying is also needed</t>
  </si>
  <si>
    <t>Mwh/ton</t>
  </si>
  <si>
    <t>High Speed 250kw Rasper Equipment Cassava Starch Production Line Cassava Crushing Machine - China Cassava Crushing Machine and Cassava Rasper Machine (made-in-china.com)</t>
  </si>
  <si>
    <t>kW</t>
  </si>
  <si>
    <t>capacity 10 t/h</t>
  </si>
  <si>
    <t>assume economy of scale 0.6</t>
  </si>
  <si>
    <t>https://doi.org/10.1016/0167-188X(86)90053-4</t>
  </si>
  <si>
    <t>Starch Processing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</si>
</sst>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75" formatCode="0.000"/>
  </numFmts>
  <fonts count="2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6" fillId="0" borderId="0" applyNumberFormat="0" applyFill="0" applyBorder="0" applyAlignment="0" applyProtection="0"/>
  </cellStyleXfs>
  <cellXfs count="399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6" fillId="0" borderId="0" xfId="8"/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23" fillId="17" borderId="5" xfId="0" applyFont="1" applyFill="1" applyBorder="1" applyAlignment="1">
      <alignment horizontal="center"/>
    </xf>
    <xf numFmtId="0" fontId="15" fillId="5" borderId="11" xfId="0" applyFont="1" applyFill="1" applyBorder="1" applyAlignment="1">
      <alignment horizontal="center"/>
    </xf>
    <xf numFmtId="0" fontId="15" fillId="5" borderId="0" xfId="0" applyFont="1" applyFill="1" applyBorder="1" applyAlignment="1">
      <alignment horizontal="center"/>
    </xf>
    <xf numFmtId="0" fontId="0" fillId="5" borderId="0" xfId="0" applyFill="1" applyBorder="1"/>
    <xf numFmtId="0" fontId="0" fillId="5" borderId="0" xfId="0" applyFill="1" applyBorder="1" applyAlignment="1">
      <alignment horizontal="center"/>
    </xf>
    <xf numFmtId="164" fontId="0" fillId="0" borderId="0" xfId="0" applyNumberFormat="1"/>
    <xf numFmtId="175" fontId="0" fillId="5" borderId="3" xfId="0" applyNumberFormat="1" applyFill="1" applyBorder="1" applyAlignment="1">
      <alignment horizontal="center"/>
    </xf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Border="1" applyAlignment="1">
      <alignment horizontal="center"/>
    </xf>
    <xf numFmtId="0" fontId="27" fillId="0" borderId="0" xfId="0" applyFont="1"/>
    <xf numFmtId="0" fontId="27" fillId="5" borderId="0" xfId="0" applyFont="1" applyFill="1" applyProtection="1">
      <protection locked="0"/>
    </xf>
  </cellXfs>
  <cellStyles count="9">
    <cellStyle name="Hipervínculo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806451</xdr:colOff>
      <xdr:row>30</xdr:row>
      <xdr:rowOff>139701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180439</xdr:colOff>
      <xdr:row>38</xdr:row>
      <xdr:rowOff>146010</xdr:rowOff>
    </xdr:from>
    <xdr:to>
      <xdr:col>16</xdr:col>
      <xdr:colOff>167266</xdr:colOff>
      <xdr:row>59</xdr:row>
      <xdr:rowOff>112807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72044C1-F85E-72A4-FDB3-295888256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9656" y="8420137"/>
          <a:ext cx="8318333" cy="3822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328084</xdr:colOff>
      <xdr:row>24</xdr:row>
      <xdr:rowOff>169333</xdr:rowOff>
    </xdr:from>
    <xdr:to>
      <xdr:col>19</xdr:col>
      <xdr:colOff>116416</xdr:colOff>
      <xdr:row>34</xdr:row>
      <xdr:rowOff>158750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68A9DB5-E8FB-D33D-C691-CACD3AE8E919}"/>
            </a:ext>
          </a:extLst>
        </xdr:cNvPr>
        <xdr:cNvSpPr txBox="1"/>
      </xdr:nvSpPr>
      <xdr:spPr>
        <a:xfrm>
          <a:off x="15165917" y="4614333"/>
          <a:ext cx="3164416" cy="18203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</a:t>
          </a:r>
          <a:r>
            <a:rPr lang="en-US" sz="1100" baseline="0"/>
            <a:t> to self,</a:t>
          </a:r>
        </a:p>
        <a:p>
          <a:endParaRPr lang="en-US" sz="1100" baseline="0"/>
        </a:p>
        <a:p>
          <a:r>
            <a:rPr lang="en-US" sz="1100" baseline="0"/>
            <a:t>I could speciefe individually what the ods are as a vecotr, of eavh value occuring! </a:t>
          </a:r>
        </a:p>
        <a:p>
          <a:endParaRPr lang="en-US" sz="1100" baseline="0"/>
        </a:p>
        <a:p>
          <a:r>
            <a:rPr lang="en-US" sz="1100" baseline="0"/>
            <a:t>the odds of a scenario then happening is the product of all the odds of each uncertain parameter of that scenario!! todo I want to put this in the code!!! </a:t>
          </a:r>
          <a:endParaRPr lang="en-US" sz="1100"/>
        </a:p>
      </xdr:txBody>
    </xdr:sp>
    <xdr:clientData/>
  </xdr:twoCellAnchor>
  <xdr:twoCellAnchor editAs="oneCell">
    <xdr:from>
      <xdr:col>19</xdr:col>
      <xdr:colOff>406398</xdr:colOff>
      <xdr:row>4</xdr:row>
      <xdr:rowOff>166158</xdr:rowOff>
    </xdr:from>
    <xdr:to>
      <xdr:col>29</xdr:col>
      <xdr:colOff>239015</xdr:colOff>
      <xdr:row>25</xdr:row>
      <xdr:rowOff>102658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39F1C18-AF63-412C-BF42-28B0D002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620315" y="917575"/>
          <a:ext cx="8324683" cy="381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jh-starchmachine.en.made-in-china.com/product/TZsfrGgXbBRW/China-High-Speed-250kw-Rasper-Equipment-Cassava-Starch-Production-Line-Cassava-Crushing-Machine.html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opLeftCell="B3" zoomScale="70" zoomScaleNormal="70" workbookViewId="0">
      <selection activeCell="H25" sqref="H25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089843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8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334" t="s">
        <v>29</v>
      </c>
      <c r="C3" s="335"/>
      <c r="D3" s="336"/>
      <c r="F3" s="323" t="s">
        <v>32</v>
      </c>
      <c r="G3" s="324"/>
      <c r="H3" s="324"/>
      <c r="I3" s="324"/>
      <c r="J3" s="324"/>
      <c r="K3" s="325"/>
      <c r="L3" s="14"/>
      <c r="M3" s="14"/>
      <c r="N3" s="340" t="s">
        <v>35</v>
      </c>
      <c r="O3" s="341"/>
      <c r="P3" s="342"/>
      <c r="Q3" s="14"/>
      <c r="R3" s="14"/>
      <c r="S3" s="343" t="s">
        <v>39</v>
      </c>
      <c r="T3" s="344"/>
      <c r="U3" s="344"/>
      <c r="V3" s="345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8" t="s">
        <v>30</v>
      </c>
      <c r="C4" s="189" t="s">
        <v>0</v>
      </c>
      <c r="D4" s="233" t="s">
        <v>176</v>
      </c>
      <c r="E4" s="14"/>
      <c r="F4" s="184" t="s">
        <v>33</v>
      </c>
      <c r="G4" s="185" t="s">
        <v>185</v>
      </c>
      <c r="H4" s="185" t="s">
        <v>183</v>
      </c>
      <c r="I4" s="185" t="s">
        <v>184</v>
      </c>
      <c r="J4" s="186" t="s">
        <v>34</v>
      </c>
      <c r="K4" s="187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5" t="s">
        <v>48</v>
      </c>
      <c r="T4" s="165" t="s">
        <v>47</v>
      </c>
      <c r="U4" s="166" t="s">
        <v>49</v>
      </c>
      <c r="V4" s="166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62"/>
      <c r="B5" s="26" t="s">
        <v>27</v>
      </c>
      <c r="C5" s="28" t="s">
        <v>168</v>
      </c>
      <c r="D5" s="234" t="s">
        <v>177</v>
      </c>
      <c r="E5" s="14"/>
      <c r="F5" s="24" t="s">
        <v>331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9" t="s">
        <v>194</v>
      </c>
      <c r="P5" s="28" t="s">
        <v>172</v>
      </c>
      <c r="Q5" s="14"/>
      <c r="R5" s="14"/>
      <c r="S5" s="20" t="s">
        <v>18</v>
      </c>
      <c r="T5" s="42">
        <v>87</v>
      </c>
      <c r="U5" s="42">
        <v>1.4E-2</v>
      </c>
      <c r="V5" s="167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167</v>
      </c>
      <c r="D6" s="235" t="s">
        <v>177</v>
      </c>
      <c r="E6" s="14"/>
      <c r="F6" s="24" t="s">
        <v>171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50">
        <v>2</v>
      </c>
      <c r="O6" s="51" t="s">
        <v>197</v>
      </c>
      <c r="P6" s="30" t="s">
        <v>172</v>
      </c>
      <c r="Q6" s="14"/>
      <c r="R6" s="14"/>
      <c r="S6" s="24" t="s">
        <v>19</v>
      </c>
      <c r="T6" s="43"/>
      <c r="U6" s="43">
        <v>0.248</v>
      </c>
      <c r="V6" s="53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90" t="s">
        <v>130</v>
      </c>
      <c r="C7" s="191" t="s">
        <v>128</v>
      </c>
      <c r="D7" s="235" t="s">
        <v>177</v>
      </c>
      <c r="E7" s="14"/>
      <c r="F7" s="24" t="s">
        <v>172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50">
        <v>3</v>
      </c>
      <c r="O7" s="51" t="s">
        <v>198</v>
      </c>
      <c r="P7" s="30" t="s">
        <v>171</v>
      </c>
      <c r="Q7" s="14"/>
      <c r="R7" s="14"/>
      <c r="S7" s="25" t="s">
        <v>114</v>
      </c>
      <c r="T7" s="45">
        <v>35</v>
      </c>
      <c r="U7" s="45">
        <v>0.1</v>
      </c>
      <c r="V7" s="55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31" t="s">
        <v>220</v>
      </c>
      <c r="C8" s="232" t="s">
        <v>219</v>
      </c>
      <c r="D8" s="235" t="s">
        <v>177</v>
      </c>
      <c r="E8" s="14"/>
      <c r="F8" s="24" t="s">
        <v>169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50">
        <v>4</v>
      </c>
      <c r="O8" s="51" t="s">
        <v>199</v>
      </c>
      <c r="P8" s="30" t="s">
        <v>331</v>
      </c>
      <c r="Q8" s="14"/>
      <c r="R8" s="14"/>
      <c r="S8" s="58"/>
      <c r="T8" s="34"/>
      <c r="U8" s="34"/>
      <c r="V8" s="167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299</v>
      </c>
      <c r="C9" s="30"/>
      <c r="D9" s="235" t="s">
        <v>177</v>
      </c>
      <c r="E9" s="14"/>
      <c r="F9" s="24" t="s">
        <v>174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50">
        <v>5</v>
      </c>
      <c r="O9" s="19" t="s">
        <v>200</v>
      </c>
      <c r="P9" s="30" t="s">
        <v>174</v>
      </c>
      <c r="Q9" s="14"/>
      <c r="R9" s="14"/>
      <c r="S9" s="24"/>
      <c r="T9" s="19"/>
      <c r="U9" s="19"/>
      <c r="V9" s="53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300</v>
      </c>
      <c r="C10" s="29"/>
      <c r="D10" s="235" t="s">
        <v>178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52"/>
      <c r="O10" s="19"/>
      <c r="P10" s="53"/>
      <c r="Q10" s="14"/>
      <c r="R10" s="14"/>
      <c r="S10" s="24"/>
      <c r="T10" s="19"/>
      <c r="U10" s="19"/>
      <c r="V10" s="53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166</v>
      </c>
      <c r="C11" s="28">
        <v>8000</v>
      </c>
      <c r="D11" s="235" t="s">
        <v>303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52"/>
      <c r="O11" s="19"/>
      <c r="P11" s="53"/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6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52"/>
      <c r="O12" s="19"/>
      <c r="P12" s="53"/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131</v>
      </c>
      <c r="C13" s="30">
        <v>0.05</v>
      </c>
      <c r="D13" s="236"/>
      <c r="E13" s="14"/>
      <c r="F13" s="24" t="s">
        <v>175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52"/>
      <c r="O13" s="19"/>
      <c r="P13" s="53"/>
      <c r="Q13" s="14"/>
      <c r="R13" s="14"/>
      <c r="S13" s="59" t="s">
        <v>40</v>
      </c>
      <c r="T13" s="60" t="s">
        <v>46</v>
      </c>
      <c r="U13" s="61" t="s">
        <v>47</v>
      </c>
      <c r="V13" s="59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132</v>
      </c>
      <c r="C14" s="30" t="s">
        <v>116</v>
      </c>
      <c r="D14" s="236"/>
      <c r="E14" s="14"/>
      <c r="F14" s="24" t="s">
        <v>195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52"/>
      <c r="O14" s="19"/>
      <c r="P14" s="53"/>
      <c r="Q14" s="14"/>
      <c r="R14" s="14"/>
      <c r="S14" s="26" t="s">
        <v>41</v>
      </c>
      <c r="T14" s="42">
        <v>600</v>
      </c>
      <c r="U14" s="28">
        <v>34</v>
      </c>
      <c r="V14" s="167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165</v>
      </c>
      <c r="C15" s="29">
        <v>0.04</v>
      </c>
      <c r="D15" s="236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52"/>
      <c r="O15" s="19"/>
      <c r="P15" s="53"/>
      <c r="Q15" s="14"/>
      <c r="R15" s="14"/>
      <c r="S15" s="24" t="s">
        <v>42</v>
      </c>
      <c r="T15" s="43">
        <v>330</v>
      </c>
      <c r="U15" s="30">
        <v>32</v>
      </c>
      <c r="V15" s="53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6"/>
      <c r="E16" s="14"/>
      <c r="F16" s="24" t="s">
        <v>228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52"/>
      <c r="O16" s="19"/>
      <c r="P16" s="53"/>
      <c r="Q16" s="14"/>
      <c r="R16" s="14"/>
      <c r="S16" s="24" t="s">
        <v>43</v>
      </c>
      <c r="T16" s="43">
        <v>220</v>
      </c>
      <c r="U16" s="30">
        <v>30</v>
      </c>
      <c r="V16" s="53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3"/>
      <c r="B17" s="143" t="s">
        <v>95</v>
      </c>
      <c r="C17" s="144">
        <v>2.5</v>
      </c>
      <c r="D17" s="236"/>
      <c r="E17" s="14"/>
      <c r="F17" s="24" t="s">
        <v>282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52"/>
      <c r="O17" s="19"/>
      <c r="P17" s="53"/>
      <c r="Q17" s="14"/>
      <c r="R17" s="14"/>
      <c r="S17" s="24" t="s">
        <v>44</v>
      </c>
      <c r="T17" s="43">
        <v>130</v>
      </c>
      <c r="U17" s="30">
        <v>29</v>
      </c>
      <c r="V17" s="53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6"/>
      <c r="E18" s="14"/>
      <c r="F18" s="24" t="s">
        <v>330</v>
      </c>
      <c r="G18" s="43"/>
      <c r="H18" s="44">
        <v>1</v>
      </c>
      <c r="I18" s="43">
        <v>22</v>
      </c>
      <c r="J18" s="43">
        <v>0</v>
      </c>
      <c r="K18" s="164"/>
      <c r="L18" s="14"/>
      <c r="M18" s="14"/>
      <c r="N18" s="25"/>
      <c r="O18" s="54"/>
      <c r="P18" s="55"/>
      <c r="Q18" s="8"/>
      <c r="R18" s="56"/>
      <c r="S18" s="25" t="s">
        <v>45</v>
      </c>
      <c r="T18" s="45">
        <v>15</v>
      </c>
      <c r="U18" s="29">
        <v>0.22</v>
      </c>
      <c r="V18" s="55"/>
      <c r="W18" s="332"/>
      <c r="X18" s="332"/>
      <c r="Y18" s="332"/>
      <c r="Z18" s="333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5" t="s">
        <v>180</v>
      </c>
      <c r="E19" s="14"/>
      <c r="F19" s="24" t="s">
        <v>333</v>
      </c>
      <c r="G19" s="43"/>
      <c r="H19" s="44"/>
      <c r="I19" s="43"/>
      <c r="J19" s="43"/>
      <c r="K19" s="30"/>
      <c r="L19" s="14"/>
      <c r="M19" s="14"/>
      <c r="N19" s="14"/>
      <c r="O19" s="14"/>
      <c r="P19" s="14"/>
      <c r="Q19" s="8"/>
      <c r="R19" s="57"/>
      <c r="S19" s="14"/>
      <c r="T19" s="14"/>
      <c r="U19" s="14"/>
      <c r="V19" s="14"/>
      <c r="W19" s="57"/>
      <c r="X19" s="10"/>
      <c r="Y19" s="330"/>
      <c r="Z19" s="331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5" t="s">
        <v>182</v>
      </c>
      <c r="E20" s="14"/>
      <c r="F20" s="24"/>
      <c r="G20" s="43"/>
      <c r="H20" s="43"/>
      <c r="I20" s="43"/>
      <c r="J20" s="43"/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30"/>
      <c r="Z20" s="331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7" t="s">
        <v>182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30"/>
      <c r="Z21" s="331"/>
      <c r="AA21" s="14"/>
      <c r="AB21" s="14"/>
      <c r="AC21" s="14"/>
    </row>
    <row r="22" spans="1:29" ht="18.5" x14ac:dyDescent="0.4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30"/>
      <c r="Z22" s="331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46"/>
      <c r="U23" s="346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37" t="s">
        <v>133</v>
      </c>
      <c r="O30" s="338"/>
      <c r="P30" s="339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5" t="s">
        <v>134</v>
      </c>
      <c r="O31" s="195" t="s">
        <v>135</v>
      </c>
      <c r="P31" s="195" t="s">
        <v>136</v>
      </c>
      <c r="Q31" s="14"/>
      <c r="R31" s="14"/>
      <c r="S31" s="337" t="s">
        <v>140</v>
      </c>
      <c r="T31" s="338"/>
      <c r="U31" s="338"/>
      <c r="V31" s="338"/>
      <c r="W31" s="339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6">
        <v>0.55000000000000004</v>
      </c>
      <c r="P32" s="167">
        <v>325</v>
      </c>
      <c r="Q32" s="14"/>
      <c r="R32" s="14"/>
      <c r="S32" s="197" t="s">
        <v>141</v>
      </c>
      <c r="T32" s="197" t="s">
        <v>142</v>
      </c>
      <c r="U32" s="197" t="s">
        <v>143</v>
      </c>
      <c r="V32" s="197" t="s">
        <v>144</v>
      </c>
      <c r="W32" s="198" t="s">
        <v>145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3">
        <v>0.58599999999999997</v>
      </c>
      <c r="Q33" s="14"/>
      <c r="R33" s="14"/>
      <c r="S33" s="26" t="s">
        <v>164</v>
      </c>
      <c r="T33" s="205">
        <v>5000</v>
      </c>
      <c r="U33" s="196">
        <v>10</v>
      </c>
      <c r="V33" s="196">
        <v>50</v>
      </c>
      <c r="W33" s="167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4">
        <v>0.18</v>
      </c>
      <c r="P34" s="55">
        <v>4.2699999999999996</v>
      </c>
      <c r="Q34" s="14"/>
      <c r="R34" s="14"/>
      <c r="S34" s="24"/>
      <c r="T34" s="19"/>
      <c r="U34" s="19"/>
      <c r="V34" s="19"/>
      <c r="W34" s="53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3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92"/>
      <c r="O36" s="194"/>
      <c r="P36" s="193"/>
      <c r="Q36" s="194"/>
      <c r="R36" s="194"/>
      <c r="S36" s="24"/>
      <c r="T36" s="19"/>
      <c r="U36" s="19"/>
      <c r="V36" s="19"/>
      <c r="W36" s="53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3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8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3"/>
      <c r="X38" s="14"/>
      <c r="Y38" s="14"/>
      <c r="Z38" s="36"/>
      <c r="AA38" s="14"/>
      <c r="AB38" s="206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3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82"/>
      <c r="P40" s="19"/>
      <c r="Q40" s="19"/>
      <c r="R40" s="19"/>
      <c r="S40" s="24"/>
      <c r="T40" s="19"/>
      <c r="U40" s="19"/>
      <c r="V40" s="19"/>
      <c r="W40" s="53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4"/>
      <c r="U41" s="54"/>
      <c r="V41" s="54"/>
      <c r="W41" s="55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6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22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B3:D3"/>
    <mergeCell ref="N30:P30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P2" sqref="P2"/>
    </sheetView>
  </sheetViews>
  <sheetFormatPr baseColWidth="10" defaultColWidth="10.90625" defaultRowHeight="14.5" x14ac:dyDescent="0.35"/>
  <cols>
    <col min="7" max="8" width="24.08984375" bestFit="1" customWidth="1"/>
  </cols>
  <sheetData>
    <row r="1" spans="1:21" ht="15.5" x14ac:dyDescent="0.35">
      <c r="A1" t="s">
        <v>26</v>
      </c>
      <c r="B1" t="s">
        <v>188</v>
      </c>
      <c r="F1" s="1" t="s">
        <v>16</v>
      </c>
      <c r="L1" t="s">
        <v>138</v>
      </c>
      <c r="P1" t="s">
        <v>341</v>
      </c>
    </row>
    <row r="2" spans="1:21" ht="15.5" x14ac:dyDescent="0.35">
      <c r="A2" t="s">
        <v>25</v>
      </c>
      <c r="B2" t="s">
        <v>188</v>
      </c>
      <c r="C2" t="s">
        <v>25</v>
      </c>
      <c r="F2" s="183" t="s">
        <v>116</v>
      </c>
      <c r="L2" t="s">
        <v>122</v>
      </c>
      <c r="P2" t="s">
        <v>341</v>
      </c>
    </row>
    <row r="3" spans="1:21" ht="15.5" x14ac:dyDescent="0.35">
      <c r="A3" t="s">
        <v>12</v>
      </c>
      <c r="B3" t="s">
        <v>187</v>
      </c>
      <c r="C3" t="s">
        <v>12</v>
      </c>
      <c r="F3" s="230" t="s">
        <v>216</v>
      </c>
      <c r="L3" t="s">
        <v>139</v>
      </c>
    </row>
    <row r="4" spans="1:21" ht="15.5" x14ac:dyDescent="0.35">
      <c r="A4" t="s">
        <v>13</v>
      </c>
      <c r="B4" t="s">
        <v>187</v>
      </c>
      <c r="C4" t="s">
        <v>13</v>
      </c>
      <c r="F4" s="230" t="s">
        <v>217</v>
      </c>
      <c r="L4" t="s">
        <v>126</v>
      </c>
    </row>
    <row r="5" spans="1:21" ht="15.5" x14ac:dyDescent="0.35">
      <c r="A5" t="s">
        <v>20</v>
      </c>
      <c r="C5" t="s">
        <v>20</v>
      </c>
      <c r="F5" s="230" t="s">
        <v>218</v>
      </c>
      <c r="L5" t="s">
        <v>124</v>
      </c>
    </row>
    <row r="6" spans="1:21" x14ac:dyDescent="0.35">
      <c r="A6" t="s">
        <v>24</v>
      </c>
      <c r="C6" t="s">
        <v>24</v>
      </c>
      <c r="L6" t="s">
        <v>125</v>
      </c>
    </row>
    <row r="7" spans="1:21" x14ac:dyDescent="0.35">
      <c r="A7" t="s">
        <v>109</v>
      </c>
      <c r="L7" t="s">
        <v>123</v>
      </c>
    </row>
    <row r="8" spans="1:21" x14ac:dyDescent="0.35">
      <c r="A8" t="s">
        <v>110</v>
      </c>
      <c r="L8" t="s">
        <v>162</v>
      </c>
    </row>
    <row r="9" spans="1:21" x14ac:dyDescent="0.35">
      <c r="A9" t="s">
        <v>119</v>
      </c>
      <c r="L9" t="s">
        <v>163</v>
      </c>
    </row>
    <row r="10" spans="1:21" x14ac:dyDescent="0.35">
      <c r="A10" t="s">
        <v>120</v>
      </c>
      <c r="L10" t="s">
        <v>164</v>
      </c>
    </row>
    <row r="14" spans="1:21" x14ac:dyDescent="0.35">
      <c r="A14" t="s">
        <v>221</v>
      </c>
    </row>
    <row r="15" spans="1:21" x14ac:dyDescent="0.35">
      <c r="A15" t="s">
        <v>219</v>
      </c>
    </row>
    <row r="16" spans="1:21" x14ac:dyDescent="0.35">
      <c r="G16" s="326" t="s">
        <v>127</v>
      </c>
      <c r="H16" s="326" t="s">
        <v>149</v>
      </c>
      <c r="I16" t="s">
        <v>150</v>
      </c>
      <c r="J16" t="s">
        <v>152</v>
      </c>
      <c r="K16" t="s">
        <v>153</v>
      </c>
      <c r="M16" t="s">
        <v>251</v>
      </c>
      <c r="O16" t="s">
        <v>258</v>
      </c>
      <c r="R16" t="s">
        <v>260</v>
      </c>
      <c r="U16" t="s">
        <v>259</v>
      </c>
    </row>
    <row r="17" spans="7:21" x14ac:dyDescent="0.3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61">
        <v>2</v>
      </c>
      <c r="O17" t="s">
        <v>293</v>
      </c>
      <c r="R17" t="s">
        <v>247</v>
      </c>
      <c r="U17" t="s">
        <v>274</v>
      </c>
    </row>
    <row r="18" spans="7:21" x14ac:dyDescent="0.3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61">
        <v>3</v>
      </c>
      <c r="O18" t="s">
        <v>288</v>
      </c>
      <c r="R18" t="s">
        <v>252</v>
      </c>
      <c r="U18" t="s">
        <v>276</v>
      </c>
    </row>
    <row r="19" spans="7:21" x14ac:dyDescent="0.35">
      <c r="G19" t="s">
        <v>146</v>
      </c>
      <c r="H19" t="s">
        <v>148</v>
      </c>
      <c r="M19" s="261" t="s">
        <v>288</v>
      </c>
      <c r="R19" t="s">
        <v>253</v>
      </c>
      <c r="U19" t="s">
        <v>275</v>
      </c>
    </row>
    <row r="20" spans="7:21" x14ac:dyDescent="0.35">
      <c r="G20" t="s">
        <v>129</v>
      </c>
      <c r="H20" t="s">
        <v>137</v>
      </c>
      <c r="R20" t="s">
        <v>254</v>
      </c>
    </row>
    <row r="21" spans="7:21" x14ac:dyDescent="0.35">
      <c r="G21" t="s">
        <v>232</v>
      </c>
      <c r="H21" t="s">
        <v>298</v>
      </c>
    </row>
    <row r="22" spans="7:21" x14ac:dyDescent="0.35">
      <c r="G22" t="s">
        <v>301</v>
      </c>
    </row>
    <row r="35" spans="2:2" x14ac:dyDescent="0.35">
      <c r="B35" t="s">
        <v>222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R10" sqref="R1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176</v>
      </c>
      <c r="G9" s="5"/>
      <c r="H9" s="73" t="s">
        <v>30</v>
      </c>
      <c r="I9" s="73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/>
      <c r="F10" s="213" t="s">
        <v>177</v>
      </c>
      <c r="G10" s="5"/>
      <c r="H10" s="66" t="s">
        <v>2</v>
      </c>
      <c r="I10" s="67"/>
      <c r="J10" s="216" t="s">
        <v>177</v>
      </c>
      <c r="K10" s="5"/>
      <c r="L10" s="5"/>
      <c r="M10" s="66" t="s">
        <v>73</v>
      </c>
      <c r="N10" s="178"/>
      <c r="O10" s="178"/>
      <c r="P10" s="179"/>
      <c r="Q10" s="180"/>
      <c r="R10" s="5" t="s">
        <v>193</v>
      </c>
      <c r="S10" s="102"/>
      <c r="T10" s="103"/>
      <c r="U10" s="104"/>
      <c r="V10" s="83"/>
      <c r="W10" s="137"/>
      <c r="X10" s="82"/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/>
      <c r="F11" s="213" t="s">
        <v>177</v>
      </c>
      <c r="G11" s="5"/>
      <c r="H11" s="68" t="s">
        <v>65</v>
      </c>
      <c r="I11" s="104"/>
      <c r="J11" s="213" t="s">
        <v>186</v>
      </c>
      <c r="K11" s="5"/>
      <c r="L11" s="5"/>
      <c r="M11" s="75" t="s">
        <v>74</v>
      </c>
      <c r="N11" s="124"/>
      <c r="O11" s="124"/>
      <c r="P11" s="78"/>
      <c r="Q11" s="126"/>
      <c r="R11" s="5" t="s">
        <v>187</v>
      </c>
      <c r="S11" s="102"/>
      <c r="T11" s="103"/>
      <c r="U11" s="104"/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177</v>
      </c>
      <c r="G12" s="5"/>
      <c r="H12" s="68" t="s">
        <v>66</v>
      </c>
      <c r="I12" s="104"/>
      <c r="J12" s="213" t="str">
        <f>J15</f>
        <v>t/h</v>
      </c>
      <c r="K12" s="5"/>
      <c r="L12" s="5"/>
      <c r="M12" s="245" t="s">
        <v>75</v>
      </c>
      <c r="N12" s="253"/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177</v>
      </c>
      <c r="G13" s="5"/>
      <c r="H13" s="68" t="s">
        <v>67</v>
      </c>
      <c r="I13" s="104"/>
      <c r="J13" s="213" t="s">
        <v>177</v>
      </c>
      <c r="K13" s="5"/>
      <c r="L13" s="5"/>
      <c r="M13" s="246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/>
      <c r="J14" s="213" t="s">
        <v>189</v>
      </c>
      <c r="K14" s="5"/>
      <c r="L14" s="5"/>
      <c r="M14" s="247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177</v>
      </c>
      <c r="G15" s="5"/>
      <c r="H15" s="257" t="s">
        <v>69</v>
      </c>
      <c r="I15" s="69" t="s">
        <v>12</v>
      </c>
      <c r="J15" s="213" t="s">
        <v>187</v>
      </c>
      <c r="K15" s="5"/>
      <c r="L15" s="5"/>
      <c r="M15" s="247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177</v>
      </c>
      <c r="G16" s="5"/>
      <c r="H16" s="240" t="s">
        <v>53</v>
      </c>
      <c r="I16" s="241"/>
      <c r="J16" s="216" t="s">
        <v>177</v>
      </c>
      <c r="K16" s="5"/>
      <c r="L16" s="5"/>
      <c r="M16" s="247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/>
      <c r="F17" s="213" t="s">
        <v>192</v>
      </c>
      <c r="G17" s="5"/>
      <c r="H17" s="75"/>
      <c r="I17" s="242"/>
      <c r="J17" s="213" t="s">
        <v>177</v>
      </c>
      <c r="K17" s="5"/>
      <c r="L17" s="5"/>
      <c r="M17" s="247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/>
      <c r="F18" s="213" t="s">
        <v>192</v>
      </c>
      <c r="G18" s="5"/>
      <c r="H18" s="76"/>
      <c r="I18" s="242"/>
      <c r="J18" s="213" t="s">
        <v>177</v>
      </c>
      <c r="K18" s="5"/>
      <c r="L18" s="5"/>
      <c r="M18" s="247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192</v>
      </c>
      <c r="G19" s="5"/>
      <c r="H19" s="76"/>
      <c r="I19" s="242"/>
      <c r="J19" s="213" t="s">
        <v>177</v>
      </c>
      <c r="K19" s="5"/>
      <c r="L19" s="5"/>
      <c r="M19" s="247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192</v>
      </c>
      <c r="G20" s="5"/>
      <c r="H20" s="76"/>
      <c r="I20" s="242"/>
      <c r="J20" s="213" t="s">
        <v>177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242"/>
      <c r="J21" s="213" t="s">
        <v>177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177</v>
      </c>
      <c r="G22" s="5"/>
      <c r="H22" s="109"/>
      <c r="I22" s="242"/>
      <c r="J22" s="213" t="s">
        <v>177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177</v>
      </c>
      <c r="G23" s="5"/>
      <c r="H23" s="109"/>
      <c r="I23" s="243"/>
      <c r="J23" s="213" t="s">
        <v>177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177</v>
      </c>
      <c r="G24" s="11"/>
      <c r="H24" s="109"/>
      <c r="I24" s="243"/>
      <c r="J24" s="213" t="s">
        <v>177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177</v>
      </c>
      <c r="G25" s="11"/>
      <c r="H25" s="109"/>
      <c r="I25" s="243"/>
      <c r="J25" s="213" t="s">
        <v>177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177</v>
      </c>
      <c r="G26" s="5"/>
      <c r="H26" s="109"/>
      <c r="I26" s="243"/>
      <c r="J26" s="213" t="s">
        <v>177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179</v>
      </c>
      <c r="G27" s="5"/>
      <c r="H27" s="110"/>
      <c r="I27" s="244"/>
      <c r="J27" s="214" t="s">
        <v>177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176</v>
      </c>
      <c r="G9" s="5"/>
      <c r="H9" s="73" t="s">
        <v>30</v>
      </c>
      <c r="I9" s="73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177</v>
      </c>
      <c r="G10" s="5"/>
      <c r="H10" s="68" t="s">
        <v>2</v>
      </c>
      <c r="I10" s="69"/>
      <c r="J10" s="216" t="s">
        <v>177</v>
      </c>
      <c r="K10" s="78"/>
      <c r="L10" s="78"/>
      <c r="M10" s="251" t="s">
        <v>73</v>
      </c>
      <c r="N10" s="178"/>
      <c r="O10" s="178"/>
      <c r="P10" s="179"/>
      <c r="Q10" s="180"/>
      <c r="R10" s="5" t="s">
        <v>193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177</v>
      </c>
      <c r="G11" s="5"/>
      <c r="H11" s="68" t="s">
        <v>65</v>
      </c>
      <c r="I11" s="104"/>
      <c r="J11" s="213" t="s">
        <v>186</v>
      </c>
      <c r="K11" s="78"/>
      <c r="L11" s="78"/>
      <c r="M11" s="252" t="s">
        <v>74</v>
      </c>
      <c r="N11" s="124"/>
      <c r="O11" s="124"/>
      <c r="P11" s="78"/>
      <c r="Q11" s="126"/>
      <c r="R11" s="5" t="s">
        <v>187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223</v>
      </c>
      <c r="F12" s="213" t="s">
        <v>177</v>
      </c>
      <c r="G12" s="5"/>
      <c r="H12" s="68" t="s">
        <v>66</v>
      </c>
      <c r="I12" s="104"/>
      <c r="J12" s="213" t="str">
        <f>J15</f>
        <v>t/h</v>
      </c>
      <c r="K12" s="78"/>
      <c r="L12" s="78"/>
      <c r="M12" s="245" t="s">
        <v>75</v>
      </c>
      <c r="N12" s="253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177</v>
      </c>
      <c r="G13" s="5"/>
      <c r="H13" s="68" t="s">
        <v>67</v>
      </c>
      <c r="I13" s="104"/>
      <c r="J13" s="213" t="s">
        <v>177</v>
      </c>
      <c r="K13" s="78"/>
      <c r="L13" s="78"/>
      <c r="M13" s="246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/>
      <c r="J14" s="213" t="s">
        <v>189</v>
      </c>
      <c r="K14" s="78"/>
      <c r="L14" s="78"/>
      <c r="M14" s="247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177</v>
      </c>
      <c r="G15" s="5"/>
      <c r="H15" s="75" t="s">
        <v>69</v>
      </c>
      <c r="I15" s="69"/>
      <c r="J15" s="213" t="s">
        <v>187</v>
      </c>
      <c r="K15" s="78"/>
      <c r="L15" s="78"/>
      <c r="M15" s="247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177</v>
      </c>
      <c r="G16" s="5"/>
      <c r="H16" s="240" t="s">
        <v>53</v>
      </c>
      <c r="I16" s="241"/>
      <c r="J16" s="216" t="s">
        <v>177</v>
      </c>
      <c r="K16" s="78"/>
      <c r="L16" s="78"/>
      <c r="M16" s="247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181</v>
      </c>
      <c r="G17" s="5"/>
      <c r="H17" s="75"/>
      <c r="I17" s="242"/>
      <c r="J17" s="213" t="s">
        <v>177</v>
      </c>
      <c r="K17" s="78"/>
      <c r="L17" s="78"/>
      <c r="M17" s="247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181</v>
      </c>
      <c r="G18" s="5"/>
      <c r="H18" s="76"/>
      <c r="I18" s="242"/>
      <c r="J18" s="213" t="s">
        <v>177</v>
      </c>
      <c r="K18" s="78"/>
      <c r="L18" s="78"/>
      <c r="M18" s="247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181</v>
      </c>
      <c r="G19" s="5"/>
      <c r="H19" s="76"/>
      <c r="I19" s="242"/>
      <c r="J19" s="213" t="s">
        <v>177</v>
      </c>
      <c r="K19" s="78"/>
      <c r="L19" s="78"/>
      <c r="M19" s="247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181</v>
      </c>
      <c r="G20" s="5"/>
      <c r="H20" s="76"/>
      <c r="I20" s="242"/>
      <c r="J20" s="213" t="s">
        <v>177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242"/>
      <c r="J21" s="213" t="s">
        <v>177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177</v>
      </c>
      <c r="G22" s="5"/>
      <c r="H22" s="109"/>
      <c r="I22" s="242"/>
      <c r="J22" s="213" t="s">
        <v>177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177</v>
      </c>
      <c r="G23" s="5"/>
      <c r="H23" s="109"/>
      <c r="I23" s="243"/>
      <c r="J23" s="213" t="s">
        <v>177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177</v>
      </c>
      <c r="G24" s="11"/>
      <c r="H24" s="109"/>
      <c r="I24" s="243"/>
      <c r="J24" s="213" t="s">
        <v>177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177</v>
      </c>
      <c r="G25" s="11"/>
      <c r="H25" s="109"/>
      <c r="I25" s="243"/>
      <c r="J25" s="213" t="s">
        <v>177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177</v>
      </c>
      <c r="G26" s="5"/>
      <c r="H26" s="109"/>
      <c r="I26" s="243"/>
      <c r="J26" s="213" t="s">
        <v>177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179</v>
      </c>
      <c r="G27" s="5"/>
      <c r="H27" s="110"/>
      <c r="I27" s="244"/>
      <c r="J27" s="214" t="s">
        <v>177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51" t="s">
        <v>76</v>
      </c>
      <c r="T8" s="352"/>
      <c r="U8" s="353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11"/>
      <c r="AH8" s="351" t="s">
        <v>7</v>
      </c>
      <c r="AI8" s="352"/>
      <c r="AJ8" s="353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176</v>
      </c>
      <c r="G9" s="5"/>
      <c r="H9" s="98" t="s">
        <v>30</v>
      </c>
      <c r="I9" s="98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/>
      <c r="F10" s="213" t="s">
        <v>177</v>
      </c>
      <c r="G10" s="5"/>
      <c r="H10" s="66" t="s">
        <v>2</v>
      </c>
      <c r="I10" s="67"/>
      <c r="J10" s="95" t="s">
        <v>177</v>
      </c>
      <c r="K10" s="78"/>
      <c r="L10" s="78"/>
      <c r="M10" s="66" t="s">
        <v>73</v>
      </c>
      <c r="N10" s="178"/>
      <c r="O10" s="178"/>
      <c r="P10" s="179"/>
      <c r="Q10" s="180"/>
      <c r="R10" s="5" t="s">
        <v>193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02"/>
      <c r="AC10" s="103"/>
      <c r="AD10" s="103"/>
      <c r="AE10" s="103"/>
      <c r="AF10" s="69"/>
      <c r="AG10" s="119"/>
      <c r="AH10" s="139"/>
      <c r="AI10" s="82"/>
      <c r="AJ10" s="163"/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/>
      <c r="F11" s="213" t="s">
        <v>177</v>
      </c>
      <c r="G11" s="5"/>
      <c r="H11" s="68" t="s">
        <v>65</v>
      </c>
      <c r="I11" s="104"/>
      <c r="J11" s="86" t="s">
        <v>186</v>
      </c>
      <c r="K11" s="78"/>
      <c r="L11" s="78"/>
      <c r="M11" s="75" t="s">
        <v>74</v>
      </c>
      <c r="N11" s="124"/>
      <c r="O11" s="124"/>
      <c r="P11" s="78"/>
      <c r="Q11" s="126"/>
      <c r="R11" s="5" t="s">
        <v>187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58" t="s">
        <v>224</v>
      </c>
      <c r="F12" s="213" t="s">
        <v>177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5" t="s">
        <v>75</v>
      </c>
      <c r="N12" s="253"/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177</v>
      </c>
      <c r="G13" s="5"/>
      <c r="H13" s="68" t="s">
        <v>67</v>
      </c>
      <c r="I13" s="104"/>
      <c r="J13" s="86" t="s">
        <v>177</v>
      </c>
      <c r="K13" s="78"/>
      <c r="L13" s="78"/>
      <c r="M13" s="246"/>
      <c r="N13" s="125"/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/>
      <c r="J14" s="86" t="s">
        <v>189</v>
      </c>
      <c r="K14" s="78"/>
      <c r="L14" s="78"/>
      <c r="M14" s="247"/>
      <c r="N14" s="109"/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177</v>
      </c>
      <c r="G15" s="5"/>
      <c r="H15" s="75" t="s">
        <v>69</v>
      </c>
      <c r="I15" s="69"/>
      <c r="J15" s="86" t="s">
        <v>187</v>
      </c>
      <c r="K15" s="78"/>
      <c r="L15" s="78"/>
      <c r="M15" s="247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177</v>
      </c>
      <c r="G16" s="5"/>
      <c r="H16" s="240" t="s">
        <v>53</v>
      </c>
      <c r="I16" s="241"/>
      <c r="J16" s="216" t="s">
        <v>177</v>
      </c>
      <c r="K16" s="78"/>
      <c r="L16" s="78"/>
      <c r="M16" s="247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/>
      <c r="F17" s="213" t="s">
        <v>181</v>
      </c>
      <c r="G17" s="5"/>
      <c r="H17" s="75"/>
      <c r="I17" s="242"/>
      <c r="J17" s="213" t="s">
        <v>177</v>
      </c>
      <c r="K17" s="78"/>
      <c r="L17" s="78"/>
      <c r="M17" s="247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/>
      <c r="F18" s="213" t="s">
        <v>181</v>
      </c>
      <c r="G18" s="5"/>
      <c r="H18" s="76"/>
      <c r="I18" s="242"/>
      <c r="J18" s="213" t="s">
        <v>177</v>
      </c>
      <c r="K18" s="78"/>
      <c r="L18" s="78"/>
      <c r="M18" s="247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181</v>
      </c>
      <c r="G19" s="5"/>
      <c r="H19" s="76"/>
      <c r="I19" s="242"/>
      <c r="J19" s="213" t="s">
        <v>177</v>
      </c>
      <c r="K19" s="78"/>
      <c r="L19" s="78"/>
      <c r="M19" s="247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181</v>
      </c>
      <c r="G20" s="5"/>
      <c r="H20" s="76"/>
      <c r="I20" s="242"/>
      <c r="J20" s="213" t="s">
        <v>177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242"/>
      <c r="J21" s="213" t="s">
        <v>177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177</v>
      </c>
      <c r="G22" s="5"/>
      <c r="H22" s="109"/>
      <c r="I22" s="242"/>
      <c r="J22" s="213" t="s">
        <v>177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177</v>
      </c>
      <c r="G23" s="5"/>
      <c r="H23" s="109"/>
      <c r="I23" s="243"/>
      <c r="J23" s="213" t="s">
        <v>177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177</v>
      </c>
      <c r="G24" s="11"/>
      <c r="H24" s="109"/>
      <c r="I24" s="243"/>
      <c r="J24" s="213" t="s">
        <v>177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177</v>
      </c>
      <c r="G25" s="11"/>
      <c r="H25" s="109"/>
      <c r="I25" s="243"/>
      <c r="J25" s="213" t="s">
        <v>177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177</v>
      </c>
      <c r="G26" s="5"/>
      <c r="H26" s="109"/>
      <c r="I26" s="243"/>
      <c r="J26" s="213" t="s">
        <v>177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179</v>
      </c>
      <c r="G27" s="5"/>
      <c r="H27" s="110"/>
      <c r="I27" s="244"/>
      <c r="J27" s="214" t="s">
        <v>177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176</v>
      </c>
      <c r="G9" s="5"/>
      <c r="H9" s="98" t="s">
        <v>30</v>
      </c>
      <c r="I9" s="98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177</v>
      </c>
      <c r="G10" s="5"/>
      <c r="H10" s="66" t="s">
        <v>2</v>
      </c>
      <c r="I10" s="67"/>
      <c r="J10" s="95" t="s">
        <v>177</v>
      </c>
      <c r="K10" s="78"/>
      <c r="L10" s="78"/>
      <c r="M10" s="66" t="s">
        <v>73</v>
      </c>
      <c r="N10" s="178"/>
      <c r="O10" s="178"/>
      <c r="P10" s="179"/>
      <c r="Q10" s="180"/>
      <c r="R10" s="5" t="s">
        <v>193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177</v>
      </c>
      <c r="G11" s="5"/>
      <c r="H11" s="68" t="s">
        <v>65</v>
      </c>
      <c r="I11" s="104"/>
      <c r="J11" s="86" t="s">
        <v>186</v>
      </c>
      <c r="K11" s="78"/>
      <c r="L11" s="78"/>
      <c r="M11" s="75" t="s">
        <v>74</v>
      </c>
      <c r="N11" s="124"/>
      <c r="O11" s="124"/>
      <c r="P11" s="78"/>
      <c r="Q11" s="126"/>
      <c r="R11" s="5" t="s">
        <v>187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177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5" t="s">
        <v>75</v>
      </c>
      <c r="N12" s="253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177</v>
      </c>
      <c r="G13" s="5"/>
      <c r="H13" s="68" t="s">
        <v>67</v>
      </c>
      <c r="I13" s="104"/>
      <c r="J13" s="86" t="s">
        <v>177</v>
      </c>
      <c r="K13" s="78"/>
      <c r="L13" s="78"/>
      <c r="M13" s="246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/>
      <c r="J14" s="86" t="s">
        <v>189</v>
      </c>
      <c r="K14" s="78"/>
      <c r="L14" s="78"/>
      <c r="M14" s="247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177</v>
      </c>
      <c r="G15" s="5"/>
      <c r="H15" s="75" t="s">
        <v>69</v>
      </c>
      <c r="I15" s="69"/>
      <c r="J15" s="86" t="s">
        <v>187</v>
      </c>
      <c r="K15" s="78"/>
      <c r="L15" s="78"/>
      <c r="M15" s="247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177</v>
      </c>
      <c r="G16" s="5"/>
      <c r="H16" s="240" t="s">
        <v>53</v>
      </c>
      <c r="I16" s="241"/>
      <c r="J16" s="216" t="s">
        <v>177</v>
      </c>
      <c r="K16" s="78"/>
      <c r="L16" s="78"/>
      <c r="M16" s="247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192</v>
      </c>
      <c r="G17" s="5"/>
      <c r="H17" s="75"/>
      <c r="I17" s="242"/>
      <c r="J17" s="213" t="s">
        <v>177</v>
      </c>
      <c r="K17" s="78"/>
      <c r="L17" s="78"/>
      <c r="M17" s="247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192</v>
      </c>
      <c r="G18" s="5"/>
      <c r="H18" s="76"/>
      <c r="I18" s="242"/>
      <c r="J18" s="213" t="s">
        <v>177</v>
      </c>
      <c r="K18" s="78"/>
      <c r="L18" s="78"/>
      <c r="M18" s="247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192</v>
      </c>
      <c r="G19" s="5"/>
      <c r="H19" s="76"/>
      <c r="I19" s="242"/>
      <c r="J19" s="213" t="s">
        <v>177</v>
      </c>
      <c r="K19" s="78"/>
      <c r="L19" s="78"/>
      <c r="M19" s="247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192</v>
      </c>
      <c r="G20" s="5"/>
      <c r="H20" s="76"/>
      <c r="I20" s="242"/>
      <c r="J20" s="213" t="s">
        <v>177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177</v>
      </c>
      <c r="G21" s="5"/>
      <c r="H21" s="109"/>
      <c r="I21" s="242"/>
      <c r="J21" s="213" t="s">
        <v>177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177</v>
      </c>
      <c r="G22" s="5"/>
      <c r="H22" s="109"/>
      <c r="I22" s="242"/>
      <c r="J22" s="213" t="s">
        <v>177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177</v>
      </c>
      <c r="G23" s="5"/>
      <c r="H23" s="109"/>
      <c r="I23" s="243"/>
      <c r="J23" s="213" t="s">
        <v>177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177</v>
      </c>
      <c r="G24" s="11"/>
      <c r="H24" s="109"/>
      <c r="I24" s="243"/>
      <c r="J24" s="213" t="s">
        <v>177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177</v>
      </c>
      <c r="G25" s="11"/>
      <c r="H25" s="109"/>
      <c r="I25" s="243"/>
      <c r="J25" s="213" t="s">
        <v>177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177</v>
      </c>
      <c r="G26" s="5"/>
      <c r="H26" s="109"/>
      <c r="I26" s="243"/>
      <c r="J26" s="213" t="s">
        <v>177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179</v>
      </c>
      <c r="G27" s="5"/>
      <c r="H27" s="110"/>
      <c r="I27" s="244"/>
      <c r="J27" s="214" t="s">
        <v>177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5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176</v>
      </c>
      <c r="G9" s="5"/>
      <c r="H9" s="98" t="s">
        <v>30</v>
      </c>
      <c r="I9" s="98" t="s">
        <v>52</v>
      </c>
      <c r="J9" s="73" t="s">
        <v>176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177</v>
      </c>
      <c r="G10" s="5"/>
      <c r="H10" s="66" t="s">
        <v>2</v>
      </c>
      <c r="I10" s="67"/>
      <c r="J10" s="95" t="s">
        <v>177</v>
      </c>
      <c r="K10" s="5"/>
      <c r="L10" s="78"/>
      <c r="M10" s="66" t="s">
        <v>73</v>
      </c>
      <c r="N10" s="178"/>
      <c r="O10" s="178"/>
      <c r="P10" s="179"/>
      <c r="Q10" s="180"/>
      <c r="R10" s="5" t="s">
        <v>193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177</v>
      </c>
      <c r="G11" s="5"/>
      <c r="H11" s="68" t="s">
        <v>65</v>
      </c>
      <c r="I11" s="104"/>
      <c r="J11" s="86" t="s">
        <v>186</v>
      </c>
      <c r="K11" s="5"/>
      <c r="L11" s="78"/>
      <c r="M11" s="75" t="s">
        <v>74</v>
      </c>
      <c r="N11" s="124"/>
      <c r="O11" s="124"/>
      <c r="P11" s="78"/>
      <c r="Q11" s="126"/>
      <c r="R11" s="5" t="s">
        <v>187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177</v>
      </c>
      <c r="G12" s="5"/>
      <c r="H12" s="68" t="s">
        <v>66</v>
      </c>
      <c r="I12" s="104"/>
      <c r="J12" s="86" t="str">
        <f>J15</f>
        <v>t/h</v>
      </c>
      <c r="K12" s="5"/>
      <c r="L12" s="78"/>
      <c r="M12" s="245" t="s">
        <v>75</v>
      </c>
      <c r="N12" s="253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177</v>
      </c>
      <c r="G13" s="5"/>
      <c r="H13" s="68" t="s">
        <v>67</v>
      </c>
      <c r="I13" s="104"/>
      <c r="J13" s="86" t="s">
        <v>177</v>
      </c>
      <c r="K13" s="5"/>
      <c r="L13" s="78"/>
      <c r="M13" s="246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/>
      <c r="J14" s="86" t="s">
        <v>189</v>
      </c>
      <c r="K14" s="5"/>
      <c r="L14" s="78"/>
      <c r="M14" s="247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177</v>
      </c>
      <c r="G15" s="5"/>
      <c r="H15" s="75" t="s">
        <v>69</v>
      </c>
      <c r="I15" s="69"/>
      <c r="J15" s="86" t="s">
        <v>187</v>
      </c>
      <c r="K15" s="5"/>
      <c r="L15" s="78"/>
      <c r="M15" s="247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177</v>
      </c>
      <c r="G16" s="5"/>
      <c r="H16" s="240" t="s">
        <v>53</v>
      </c>
      <c r="I16" s="241"/>
      <c r="J16" s="216" t="s">
        <v>177</v>
      </c>
      <c r="K16" s="5"/>
      <c r="L16" s="78"/>
      <c r="M16" s="247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192</v>
      </c>
      <c r="G17" s="5"/>
      <c r="H17" s="75"/>
      <c r="I17" s="242"/>
      <c r="J17" s="213" t="s">
        <v>177</v>
      </c>
      <c r="K17" s="5"/>
      <c r="L17" s="78"/>
      <c r="M17" s="247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192</v>
      </c>
      <c r="G18" s="5"/>
      <c r="H18" s="76"/>
      <c r="I18" s="242"/>
      <c r="J18" s="213" t="s">
        <v>177</v>
      </c>
      <c r="K18" s="5"/>
      <c r="L18" s="78"/>
      <c r="M18" s="247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192</v>
      </c>
      <c r="G19" s="5"/>
      <c r="H19" s="76"/>
      <c r="I19" s="242"/>
      <c r="J19" s="213" t="s">
        <v>177</v>
      </c>
      <c r="K19" s="5"/>
      <c r="L19" s="78"/>
      <c r="M19" s="247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192</v>
      </c>
      <c r="G20" s="5"/>
      <c r="H20" s="76"/>
      <c r="I20" s="242"/>
      <c r="J20" s="213" t="s">
        <v>177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177</v>
      </c>
      <c r="G21" s="5"/>
      <c r="H21" s="109"/>
      <c r="I21" s="242"/>
      <c r="J21" s="213" t="s">
        <v>177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177</v>
      </c>
      <c r="G22" s="5"/>
      <c r="H22" s="109"/>
      <c r="I22" s="242"/>
      <c r="J22" s="213" t="s">
        <v>177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177</v>
      </c>
      <c r="G23" s="5"/>
      <c r="H23" s="109"/>
      <c r="I23" s="243"/>
      <c r="J23" s="213" t="s">
        <v>177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177</v>
      </c>
      <c r="G24" s="11"/>
      <c r="H24" s="109"/>
      <c r="I24" s="243"/>
      <c r="J24" s="213" t="s">
        <v>177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177</v>
      </c>
      <c r="G25" s="11"/>
      <c r="H25" s="109"/>
      <c r="I25" s="243"/>
      <c r="J25" s="213" t="s">
        <v>177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177</v>
      </c>
      <c r="G26" s="5"/>
      <c r="H26" s="109"/>
      <c r="I26" s="243"/>
      <c r="J26" s="213" t="s">
        <v>177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179</v>
      </c>
      <c r="G27" s="5"/>
      <c r="H27" s="110"/>
      <c r="I27" s="244"/>
      <c r="J27" s="214" t="s">
        <v>177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58"/>
  <sheetViews>
    <sheetView zoomScale="80" zoomScaleNormal="80" workbookViewId="0">
      <selection activeCell="H22" sqref="H22"/>
    </sheetView>
  </sheetViews>
  <sheetFormatPr baseColWidth="10" defaultColWidth="10.90625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9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327" t="s">
        <v>304</v>
      </c>
      <c r="C5" s="370" t="s">
        <v>99</v>
      </c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372"/>
      <c r="R5" t="s">
        <v>22</v>
      </c>
    </row>
    <row r="6" spans="2:18" ht="18.5" x14ac:dyDescent="0.45">
      <c r="B6" s="298"/>
      <c r="C6" s="172" t="s">
        <v>1</v>
      </c>
      <c r="D6" s="168" t="s">
        <v>196</v>
      </c>
      <c r="E6" s="168" t="s">
        <v>191</v>
      </c>
      <c r="F6" s="168" t="s">
        <v>169</v>
      </c>
      <c r="G6" s="168" t="s">
        <v>226</v>
      </c>
      <c r="H6" s="168" t="s">
        <v>327</v>
      </c>
      <c r="I6" s="168" t="s">
        <v>333</v>
      </c>
      <c r="J6" s="168"/>
      <c r="K6" s="168"/>
      <c r="L6" s="168"/>
      <c r="M6" s="168"/>
      <c r="N6" s="168"/>
      <c r="O6" s="168"/>
      <c r="P6" s="168"/>
      <c r="Q6" s="389"/>
    </row>
    <row r="7" spans="2:18" ht="18.5" x14ac:dyDescent="0.45">
      <c r="B7" s="300"/>
      <c r="C7" s="169" t="s">
        <v>100</v>
      </c>
      <c r="D7" s="390">
        <v>1000</v>
      </c>
      <c r="E7" s="390">
        <v>2000</v>
      </c>
      <c r="F7" s="390">
        <v>3000</v>
      </c>
      <c r="G7" s="390">
        <v>1100</v>
      </c>
      <c r="H7" s="390">
        <v>4000</v>
      </c>
      <c r="I7" s="390">
        <v>5000</v>
      </c>
      <c r="J7" s="390"/>
      <c r="K7" s="390"/>
      <c r="L7" s="390"/>
      <c r="M7" s="390"/>
      <c r="N7" s="390"/>
      <c r="O7" s="390"/>
      <c r="P7" s="390"/>
      <c r="Q7" s="120"/>
    </row>
    <row r="8" spans="2:18" ht="18.5" x14ac:dyDescent="0.45">
      <c r="B8" s="300"/>
      <c r="C8" s="170" t="s">
        <v>40</v>
      </c>
      <c r="D8" s="390" t="s">
        <v>10</v>
      </c>
      <c r="E8" s="390" t="s">
        <v>10</v>
      </c>
      <c r="F8" s="390" t="s">
        <v>10</v>
      </c>
      <c r="G8" s="390" t="s">
        <v>10</v>
      </c>
      <c r="H8" s="390" t="s">
        <v>10</v>
      </c>
      <c r="I8" s="390" t="s">
        <v>10</v>
      </c>
      <c r="J8" s="390"/>
      <c r="K8" s="390"/>
      <c r="L8" s="390"/>
      <c r="M8" s="390"/>
      <c r="N8" s="390"/>
      <c r="O8" s="390"/>
      <c r="P8" s="390"/>
      <c r="Q8" s="120"/>
    </row>
    <row r="9" spans="2:18" ht="18.5" x14ac:dyDescent="0.45">
      <c r="B9" s="300"/>
      <c r="C9" s="171" t="s">
        <v>101</v>
      </c>
      <c r="D9" s="390"/>
      <c r="E9" s="390"/>
      <c r="F9" s="390"/>
      <c r="G9" s="392"/>
      <c r="H9" s="390"/>
      <c r="I9" s="390"/>
      <c r="J9" s="390"/>
      <c r="K9" s="390"/>
      <c r="L9" s="390"/>
      <c r="M9" s="390"/>
      <c r="N9" s="390"/>
      <c r="O9" s="390"/>
      <c r="P9" s="390"/>
      <c r="Q9" s="120"/>
    </row>
    <row r="10" spans="2:18" ht="18.5" x14ac:dyDescent="0.45">
      <c r="B10" s="300"/>
      <c r="C10" s="169" t="s">
        <v>205</v>
      </c>
      <c r="D10" s="390">
        <v>0</v>
      </c>
      <c r="E10" s="390">
        <f>(C35+C36)/2</f>
        <v>765.33</v>
      </c>
      <c r="F10" s="390">
        <f xml:space="preserve"> (C21+C22)/2 * 1000</f>
        <v>129000</v>
      </c>
      <c r="G10" s="390">
        <v>0</v>
      </c>
      <c r="H10" s="390">
        <f>(C44+C45)/2 * 1000</f>
        <v>2715</v>
      </c>
      <c r="I10" s="390">
        <v>1150</v>
      </c>
      <c r="J10" s="390"/>
      <c r="K10" s="390"/>
      <c r="L10" s="390"/>
      <c r="M10" s="390"/>
      <c r="N10" s="390"/>
      <c r="O10" s="390"/>
      <c r="P10" s="390"/>
      <c r="Q10" s="120"/>
    </row>
    <row r="11" spans="2:18" ht="18.5" x14ac:dyDescent="0.45">
      <c r="B11" s="300"/>
      <c r="C11" s="169" t="s">
        <v>9</v>
      </c>
      <c r="D11" s="390" t="s">
        <v>8</v>
      </c>
      <c r="E11" s="390" t="s">
        <v>8</v>
      </c>
      <c r="F11" s="390" t="s">
        <v>11</v>
      </c>
      <c r="G11" s="390" t="s">
        <v>11</v>
      </c>
      <c r="H11" s="390" t="s">
        <v>11</v>
      </c>
      <c r="I11" s="390" t="s">
        <v>11</v>
      </c>
      <c r="J11" s="390"/>
      <c r="K11" s="390"/>
      <c r="L11" s="390"/>
      <c r="M11" s="390"/>
      <c r="N11" s="390"/>
      <c r="O11" s="390"/>
      <c r="P11" s="390"/>
      <c r="Q11" s="120"/>
    </row>
    <row r="12" spans="2:18" ht="18.5" x14ac:dyDescent="0.45">
      <c r="B12" s="300"/>
      <c r="C12" s="173" t="s">
        <v>117</v>
      </c>
      <c r="D12" s="390">
        <v>0.5</v>
      </c>
      <c r="E12" s="390">
        <v>0.58499999999999996</v>
      </c>
      <c r="F12" s="390">
        <v>0</v>
      </c>
      <c r="G12" s="390">
        <v>0</v>
      </c>
      <c r="H12" s="390">
        <v>0</v>
      </c>
      <c r="I12" s="390">
        <v>0</v>
      </c>
      <c r="J12" s="390"/>
      <c r="K12" s="390"/>
      <c r="L12" s="390"/>
      <c r="M12" s="390"/>
      <c r="N12" s="390"/>
      <c r="O12" s="390"/>
      <c r="P12" s="390"/>
      <c r="Q12" s="120"/>
    </row>
    <row r="13" spans="2:18" ht="18.5" x14ac:dyDescent="0.45">
      <c r="B13" s="300"/>
      <c r="C13" s="131" t="s">
        <v>118</v>
      </c>
      <c r="D13" s="391"/>
      <c r="E13" s="391"/>
      <c r="F13" s="391"/>
      <c r="G13" s="390"/>
      <c r="H13" s="390"/>
      <c r="I13" s="390"/>
      <c r="J13" s="390"/>
      <c r="K13" s="390"/>
      <c r="L13" s="390"/>
      <c r="M13" s="390"/>
      <c r="N13" s="390"/>
      <c r="O13" s="390"/>
      <c r="P13" s="390"/>
      <c r="Q13" s="120"/>
    </row>
    <row r="14" spans="2:18" ht="18.5" x14ac:dyDescent="0.45">
      <c r="B14" s="300" t="s">
        <v>187</v>
      </c>
      <c r="C14" s="131" t="s">
        <v>305</v>
      </c>
      <c r="D14" s="390"/>
      <c r="E14" s="390">
        <v>0</v>
      </c>
      <c r="F14" s="390">
        <v>0</v>
      </c>
      <c r="G14" s="390">
        <v>0</v>
      </c>
      <c r="H14" s="390">
        <v>0</v>
      </c>
      <c r="I14" s="390"/>
      <c r="J14" s="390"/>
      <c r="K14" s="390"/>
      <c r="L14" s="390"/>
      <c r="M14" s="390"/>
      <c r="N14" s="390"/>
      <c r="O14" s="390"/>
      <c r="P14" s="390"/>
      <c r="Q14" s="120"/>
    </row>
    <row r="15" spans="2:18" ht="19" thickBot="1" x14ac:dyDescent="0.5">
      <c r="B15" s="301" t="s">
        <v>187</v>
      </c>
      <c r="C15" s="174" t="s">
        <v>306</v>
      </c>
      <c r="D15" s="93"/>
      <c r="E15" s="93"/>
      <c r="F15" s="93"/>
      <c r="G15" s="93"/>
      <c r="H15" s="122"/>
      <c r="I15" s="122"/>
      <c r="J15" s="122"/>
      <c r="K15" s="122"/>
      <c r="L15" s="122"/>
      <c r="M15" s="122"/>
      <c r="N15" s="122"/>
      <c r="O15" s="122"/>
      <c r="P15" s="122"/>
      <c r="Q15" s="123"/>
    </row>
    <row r="16" spans="2:18" x14ac:dyDescent="0.35">
      <c r="I16" s="11"/>
      <c r="J16" s="11"/>
      <c r="K16" s="11"/>
      <c r="L16" s="11"/>
    </row>
    <row r="19" spans="2:11" x14ac:dyDescent="0.35">
      <c r="B19" t="s">
        <v>309</v>
      </c>
    </row>
    <row r="20" spans="2:11" x14ac:dyDescent="0.35">
      <c r="B20" s="329" t="s">
        <v>312</v>
      </c>
      <c r="F20">
        <v>3000</v>
      </c>
    </row>
    <row r="21" spans="2:11" x14ac:dyDescent="0.35">
      <c r="B21" t="s">
        <v>310</v>
      </c>
      <c r="C21">
        <v>76</v>
      </c>
      <c r="D21" t="s">
        <v>313</v>
      </c>
    </row>
    <row r="22" spans="2:11" x14ac:dyDescent="0.35">
      <c r="B22" t="s">
        <v>311</v>
      </c>
      <c r="C22">
        <v>182</v>
      </c>
      <c r="D22" t="s">
        <v>313</v>
      </c>
    </row>
    <row r="23" spans="2:11" x14ac:dyDescent="0.35">
      <c r="B23" t="s">
        <v>320</v>
      </c>
      <c r="C23">
        <f>_xlfn.STDEV.P(C21:C22)/AVERAGE(C21:C22)</f>
        <v>0.41085271317829458</v>
      </c>
    </row>
    <row r="24" spans="2:11" x14ac:dyDescent="0.35">
      <c r="C24">
        <f>F10 - F10*C23</f>
        <v>76000</v>
      </c>
    </row>
    <row r="25" spans="2:11" x14ac:dyDescent="0.35">
      <c r="C25">
        <f>F10 + F10*C23</f>
        <v>182000</v>
      </c>
    </row>
    <row r="26" spans="2:11" x14ac:dyDescent="0.35">
      <c r="K26" t="s">
        <v>22</v>
      </c>
    </row>
    <row r="29" spans="2:11" x14ac:dyDescent="0.35">
      <c r="B29" s="329" t="s">
        <v>314</v>
      </c>
      <c r="F29">
        <v>2000</v>
      </c>
    </row>
    <row r="30" spans="2:11" x14ac:dyDescent="0.35">
      <c r="B30" t="s">
        <v>315</v>
      </c>
      <c r="C30">
        <v>1.04</v>
      </c>
      <c r="D30" t="s">
        <v>317</v>
      </c>
    </row>
    <row r="31" spans="2:11" x14ac:dyDescent="0.35">
      <c r="B31" t="s">
        <v>316</v>
      </c>
      <c r="C31">
        <v>0.9</v>
      </c>
      <c r="D31" t="s">
        <v>317</v>
      </c>
    </row>
    <row r="33" spans="2:6" x14ac:dyDescent="0.35">
      <c r="B33" t="s">
        <v>318</v>
      </c>
      <c r="C33">
        <v>0.78900000000000003</v>
      </c>
      <c r="D33" t="s">
        <v>319</v>
      </c>
    </row>
    <row r="35" spans="2:6" x14ac:dyDescent="0.35">
      <c r="B35" t="s">
        <v>315</v>
      </c>
      <c r="C35">
        <f>C30*C33 *1000</f>
        <v>820.56000000000006</v>
      </c>
      <c r="D35" t="s">
        <v>321</v>
      </c>
    </row>
    <row r="36" spans="2:6" x14ac:dyDescent="0.35">
      <c r="B36" t="s">
        <v>316</v>
      </c>
      <c r="C36">
        <f>C31*C33*1000</f>
        <v>710.1</v>
      </c>
      <c r="D36" t="s">
        <v>321</v>
      </c>
    </row>
    <row r="38" spans="2:6" x14ac:dyDescent="0.35">
      <c r="B38" t="s">
        <v>320</v>
      </c>
      <c r="C38" s="393">
        <f>_xlfn.STDEV.P(C35:C36)/AVERAGE(C35:C36)</f>
        <v>7.2164948453608269E-2</v>
      </c>
    </row>
    <row r="39" spans="2:6" x14ac:dyDescent="0.35">
      <c r="C39">
        <f>E10 + E10*C38</f>
        <v>820.56000000000006</v>
      </c>
    </row>
    <row r="40" spans="2:6" x14ac:dyDescent="0.35">
      <c r="C40">
        <f>E10 - E10*C38</f>
        <v>710.1</v>
      </c>
    </row>
    <row r="43" spans="2:6" x14ac:dyDescent="0.35">
      <c r="B43" s="329" t="s">
        <v>324</v>
      </c>
      <c r="F43">
        <v>4000</v>
      </c>
    </row>
    <row r="44" spans="2:6" x14ac:dyDescent="0.35">
      <c r="B44" t="s">
        <v>315</v>
      </c>
      <c r="C44">
        <v>2.4</v>
      </c>
      <c r="D44" t="s">
        <v>325</v>
      </c>
    </row>
    <row r="45" spans="2:6" x14ac:dyDescent="0.35">
      <c r="B45" t="s">
        <v>316</v>
      </c>
      <c r="C45">
        <v>3.03</v>
      </c>
      <c r="D45" t="s">
        <v>325</v>
      </c>
    </row>
    <row r="47" spans="2:6" x14ac:dyDescent="0.35">
      <c r="B47" t="s">
        <v>326</v>
      </c>
      <c r="C47">
        <f>_xlfn.STDEV.P(C44:C45)/AVERAGE(C44:C45)</f>
        <v>0.11602209944751414</v>
      </c>
    </row>
    <row r="48" spans="2:6" x14ac:dyDescent="0.35">
      <c r="B48" t="s">
        <v>315</v>
      </c>
      <c r="C48">
        <f>H10 - C47*H10</f>
        <v>2399.9999999999991</v>
      </c>
      <c r="D48" t="s">
        <v>321</v>
      </c>
    </row>
    <row r="49" spans="2:6" x14ac:dyDescent="0.35">
      <c r="B49" t="s">
        <v>316</v>
      </c>
      <c r="C49">
        <f>H10 + C47*H10</f>
        <v>3030.0000000000009</v>
      </c>
      <c r="D49" t="s">
        <v>321</v>
      </c>
    </row>
    <row r="53" spans="2:6" x14ac:dyDescent="0.35">
      <c r="B53" s="329" t="s">
        <v>332</v>
      </c>
      <c r="F53">
        <v>5000</v>
      </c>
    </row>
    <row r="54" spans="2:6" x14ac:dyDescent="0.35">
      <c r="B54" t="s">
        <v>315</v>
      </c>
      <c r="C54">
        <v>1000</v>
      </c>
      <c r="D54" t="s">
        <v>321</v>
      </c>
    </row>
    <row r="55" spans="2:6" x14ac:dyDescent="0.35">
      <c r="B55" t="s">
        <v>316</v>
      </c>
      <c r="C55">
        <v>1300</v>
      </c>
      <c r="D55" t="s">
        <v>321</v>
      </c>
    </row>
    <row r="57" spans="2:6" x14ac:dyDescent="0.35">
      <c r="C57">
        <f>_xlfn.STDEV.P(C54:C55) / 1150</f>
        <v>0.13043478260869565</v>
      </c>
    </row>
    <row r="58" spans="2:6" x14ac:dyDescent="0.35">
      <c r="C58">
        <v>1150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</hyperlink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5"/>
  <sheetViews>
    <sheetView zoomScale="83" zoomScaleNormal="83" workbookViewId="0">
      <selection activeCell="T43" sqref="T43"/>
    </sheetView>
  </sheetViews>
  <sheetFormatPr baseColWidth="10" defaultColWidth="10.90625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20" t="s">
        <v>206</v>
      </c>
      <c r="D5" s="373" t="s">
        <v>102</v>
      </c>
      <c r="E5" s="374"/>
      <c r="F5" s="374"/>
      <c r="G5" s="374"/>
      <c r="H5" s="374"/>
      <c r="I5" s="374"/>
      <c r="J5" s="374"/>
      <c r="K5" s="374"/>
      <c r="L5" s="374"/>
      <c r="M5" s="374"/>
      <c r="N5" s="374"/>
      <c r="O5" s="375"/>
      <c r="P5" s="11"/>
      <c r="Q5" s="11"/>
    </row>
    <row r="6" spans="3:17" ht="18.5" x14ac:dyDescent="0.45">
      <c r="C6" s="221" t="s">
        <v>177</v>
      </c>
      <c r="D6" s="146" t="s">
        <v>1</v>
      </c>
      <c r="E6" s="209" t="s">
        <v>170</v>
      </c>
      <c r="F6" s="210" t="s">
        <v>173</v>
      </c>
      <c r="G6" s="210" t="s">
        <v>108</v>
      </c>
      <c r="H6" s="210" t="s">
        <v>227</v>
      </c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222" t="s">
        <v>177</v>
      </c>
      <c r="D7" s="146" t="s">
        <v>100</v>
      </c>
      <c r="E7" s="160">
        <v>11</v>
      </c>
      <c r="F7" s="149">
        <v>22</v>
      </c>
      <c r="G7" s="149">
        <v>33</v>
      </c>
      <c r="H7" s="149">
        <v>44</v>
      </c>
      <c r="I7" s="149"/>
      <c r="J7" s="149"/>
      <c r="K7" s="149"/>
      <c r="L7" s="149"/>
      <c r="M7" s="149"/>
      <c r="N7" s="149"/>
      <c r="O7" s="150"/>
      <c r="P7" s="11"/>
      <c r="Q7" s="11"/>
    </row>
    <row r="8" spans="3:17" ht="18.5" x14ac:dyDescent="0.45">
      <c r="C8" s="223" t="s">
        <v>207</v>
      </c>
      <c r="D8" s="146" t="s">
        <v>103</v>
      </c>
      <c r="E8" s="160">
        <v>0</v>
      </c>
      <c r="F8" s="149">
        <v>0</v>
      </c>
      <c r="G8" s="149">
        <v>0</v>
      </c>
      <c r="H8" s="149">
        <v>20</v>
      </c>
      <c r="I8" s="149"/>
      <c r="J8" s="149"/>
      <c r="K8" s="149"/>
      <c r="L8" s="149"/>
      <c r="M8" s="149"/>
      <c r="N8" s="149"/>
      <c r="O8" s="150"/>
      <c r="P8" s="11"/>
      <c r="Q8" s="11"/>
    </row>
    <row r="9" spans="3:17" ht="18.5" x14ac:dyDescent="0.45">
      <c r="C9" s="223" t="s">
        <v>187</v>
      </c>
      <c r="D9" s="146" t="s">
        <v>209</v>
      </c>
      <c r="E9" s="160">
        <v>1</v>
      </c>
      <c r="F9" s="149"/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223" t="s">
        <v>187</v>
      </c>
      <c r="D10" s="146" t="s">
        <v>210</v>
      </c>
      <c r="E10" s="160">
        <v>1</v>
      </c>
      <c r="F10" s="149"/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222" t="s">
        <v>177</v>
      </c>
      <c r="D11" s="146" t="s">
        <v>104</v>
      </c>
      <c r="E11" s="160"/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222" t="s">
        <v>177</v>
      </c>
      <c r="D12" s="146" t="s">
        <v>208</v>
      </c>
      <c r="E12" s="181">
        <v>0</v>
      </c>
      <c r="F12" s="207">
        <v>1</v>
      </c>
      <c r="G12" s="207">
        <v>0</v>
      </c>
      <c r="H12" s="11"/>
      <c r="I12" s="11"/>
      <c r="J12" s="11"/>
      <c r="K12" s="11"/>
      <c r="L12" s="11"/>
      <c r="M12" s="11"/>
      <c r="N12" s="11"/>
      <c r="O12" s="91"/>
      <c r="P12" s="11"/>
      <c r="Q12" s="11"/>
    </row>
    <row r="13" spans="3:17" ht="19" thickBot="1" x14ac:dyDescent="0.5">
      <c r="C13" s="224" t="s">
        <v>177</v>
      </c>
      <c r="D13" s="146" t="s">
        <v>105</v>
      </c>
      <c r="E13" s="161">
        <f>SUM(E14:E37)</f>
        <v>0.99999999999999989</v>
      </c>
      <c r="F13" s="157">
        <f t="shared" ref="F13:O13" si="0">SUM(F14:F37)</f>
        <v>1</v>
      </c>
      <c r="G13" s="157">
        <f t="shared" si="0"/>
        <v>1</v>
      </c>
      <c r="H13" s="157">
        <f t="shared" si="0"/>
        <v>1</v>
      </c>
      <c r="I13" s="157">
        <f t="shared" si="0"/>
        <v>0</v>
      </c>
      <c r="J13" s="157">
        <f t="shared" si="0"/>
        <v>0</v>
      </c>
      <c r="K13" s="157">
        <f t="shared" si="0"/>
        <v>0</v>
      </c>
      <c r="L13" s="157">
        <f t="shared" si="0"/>
        <v>0</v>
      </c>
      <c r="M13" s="157">
        <f t="shared" si="0"/>
        <v>0</v>
      </c>
      <c r="N13" s="157">
        <f t="shared" si="0"/>
        <v>0</v>
      </c>
      <c r="O13" s="158">
        <f t="shared" si="0"/>
        <v>0</v>
      </c>
      <c r="P13" s="11"/>
      <c r="Q13" s="11"/>
    </row>
    <row r="14" spans="3:17" ht="18.5" x14ac:dyDescent="0.45">
      <c r="C14" s="225"/>
      <c r="D14" s="151" t="s">
        <v>331</v>
      </c>
      <c r="E14" s="211">
        <f>(1.2+2.3)/(2*100)</f>
        <v>1.7500000000000002E-2</v>
      </c>
      <c r="F14" s="147"/>
      <c r="G14" s="147"/>
      <c r="H14" s="147"/>
      <c r="I14" s="147"/>
      <c r="J14" s="147"/>
      <c r="K14" s="147"/>
      <c r="L14" s="147"/>
      <c r="M14" s="147"/>
      <c r="N14" s="147"/>
      <c r="O14" s="148"/>
      <c r="P14" s="11"/>
      <c r="Q14" s="11"/>
    </row>
    <row r="15" spans="3:17" ht="18.5" x14ac:dyDescent="0.45">
      <c r="C15" s="175"/>
      <c r="D15" s="152" t="s">
        <v>171</v>
      </c>
      <c r="E15" s="211">
        <f>(0.1+0.4)/(2*100)</f>
        <v>2.5000000000000001E-3</v>
      </c>
      <c r="F15" s="149"/>
      <c r="G15" s="149"/>
      <c r="H15" s="153"/>
      <c r="I15" s="149"/>
      <c r="J15" s="149"/>
      <c r="K15" s="149"/>
      <c r="L15" s="149"/>
      <c r="M15" s="149"/>
      <c r="N15" s="149"/>
      <c r="O15" s="150"/>
      <c r="P15" s="11"/>
      <c r="Q15" s="11"/>
    </row>
    <row r="16" spans="3:17" ht="18.5" x14ac:dyDescent="0.45">
      <c r="C16" s="175"/>
      <c r="D16" s="152" t="s">
        <v>172</v>
      </c>
      <c r="E16" s="211">
        <v>2.75E-2</v>
      </c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22" ht="18.5" x14ac:dyDescent="0.45">
      <c r="C17" s="175"/>
      <c r="D17" s="152" t="s">
        <v>169</v>
      </c>
      <c r="E17" s="211">
        <f>(1.02 + 2.92)/(2*100)</f>
        <v>1.9699999999999999E-2</v>
      </c>
      <c r="F17" s="149"/>
      <c r="G17" s="149"/>
      <c r="H17" s="153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22" ht="18.5" x14ac:dyDescent="0.45">
      <c r="C18" s="175"/>
      <c r="D18" s="152" t="s">
        <v>14</v>
      </c>
      <c r="E18" s="211">
        <f>(83.3 + 85.1)/(2*100)</f>
        <v>0.84199999999999986</v>
      </c>
      <c r="F18" s="149">
        <v>1</v>
      </c>
      <c r="G18" s="149"/>
      <c r="H18" s="149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22" ht="18.5" x14ac:dyDescent="0.45">
      <c r="C19" s="175"/>
      <c r="D19" s="152" t="s">
        <v>4</v>
      </c>
      <c r="E19" s="211"/>
      <c r="F19" s="149"/>
      <c r="G19" s="149">
        <v>0.22</v>
      </c>
      <c r="H19" s="149"/>
      <c r="I19" s="149"/>
      <c r="J19" s="149"/>
      <c r="K19" s="154"/>
      <c r="L19" s="149"/>
      <c r="M19" s="149"/>
      <c r="N19" s="149"/>
      <c r="O19" s="150"/>
      <c r="P19" s="11"/>
      <c r="Q19" s="11"/>
    </row>
    <row r="20" spans="3:22" ht="18.5" x14ac:dyDescent="0.45">
      <c r="C20" s="175"/>
      <c r="D20" s="152" t="s">
        <v>17</v>
      </c>
      <c r="E20" s="211"/>
      <c r="F20" s="211"/>
      <c r="G20" s="149">
        <v>0.78</v>
      </c>
      <c r="H20" s="155"/>
      <c r="I20" s="149"/>
      <c r="J20" s="149"/>
      <c r="K20" s="154"/>
      <c r="L20" s="149"/>
      <c r="M20" s="149"/>
      <c r="N20" s="149"/>
      <c r="O20" s="150"/>
      <c r="P20" s="11"/>
      <c r="Q20" s="11"/>
    </row>
    <row r="21" spans="3:22" ht="18.5" x14ac:dyDescent="0.45">
      <c r="C21" s="175"/>
      <c r="D21" s="152" t="s">
        <v>228</v>
      </c>
      <c r="E21" s="149"/>
      <c r="F21" s="149"/>
      <c r="G21" s="149"/>
      <c r="H21" s="155">
        <v>1</v>
      </c>
      <c r="I21" s="149"/>
      <c r="J21" s="149"/>
      <c r="K21" s="149"/>
      <c r="L21" s="149"/>
      <c r="M21" s="149"/>
      <c r="N21" s="149"/>
      <c r="O21" s="150"/>
      <c r="P21" s="11"/>
      <c r="Q21" s="11"/>
    </row>
    <row r="22" spans="3:22" ht="18.5" x14ac:dyDescent="0.45">
      <c r="C22" s="175"/>
      <c r="D22" s="152" t="s">
        <v>330</v>
      </c>
      <c r="E22" s="149">
        <v>1.2800000000000001E-2</v>
      </c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22" ht="18.5" x14ac:dyDescent="0.45">
      <c r="C23" s="175"/>
      <c r="D23" s="152" t="s">
        <v>333</v>
      </c>
      <c r="E23" s="149">
        <v>7.8E-2</v>
      </c>
      <c r="F23" s="149"/>
      <c r="G23" s="149"/>
      <c r="H23" s="149"/>
      <c r="I23" s="149"/>
      <c r="J23" s="149"/>
      <c r="K23" s="149"/>
      <c r="L23" s="149"/>
      <c r="M23" s="149"/>
      <c r="N23" s="149"/>
      <c r="O23" s="150"/>
      <c r="P23" s="11"/>
      <c r="Q23" s="11"/>
    </row>
    <row r="24" spans="3:22" ht="18.5" x14ac:dyDescent="0.45">
      <c r="C24" s="175"/>
      <c r="D24" s="152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50"/>
      <c r="P24" s="11"/>
      <c r="V24" s="11" t="s">
        <v>22</v>
      </c>
    </row>
    <row r="25" spans="3:22" ht="18.5" x14ac:dyDescent="0.45">
      <c r="C25" s="175"/>
      <c r="D25" s="152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50"/>
      <c r="P25" s="11"/>
      <c r="Q25" s="11"/>
    </row>
    <row r="26" spans="3:22" x14ac:dyDescent="0.35">
      <c r="C26" s="175"/>
      <c r="D26" s="175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1"/>
      <c r="P26" s="11"/>
      <c r="Q26" s="11"/>
    </row>
    <row r="27" spans="3:22" x14ac:dyDescent="0.35">
      <c r="C27" s="175"/>
      <c r="D27" s="175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1"/>
      <c r="P27" s="11"/>
      <c r="Q27" s="11"/>
    </row>
    <row r="28" spans="3:22" x14ac:dyDescent="0.35">
      <c r="C28" s="175"/>
      <c r="D28" s="175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1"/>
      <c r="P28" s="11"/>
      <c r="Q28" s="11"/>
    </row>
    <row r="29" spans="3:22" x14ac:dyDescent="0.35">
      <c r="C29" s="175"/>
      <c r="D29" s="175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1"/>
      <c r="P29" s="11"/>
      <c r="Q29" s="11"/>
    </row>
    <row r="30" spans="3:22" x14ac:dyDescent="0.35">
      <c r="C30" s="175"/>
      <c r="D30" s="175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1"/>
      <c r="P30" s="11"/>
      <c r="Q30" s="11"/>
    </row>
    <row r="31" spans="3:22" x14ac:dyDescent="0.35">
      <c r="C31" s="175"/>
      <c r="D31" s="175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1"/>
      <c r="P31" s="11"/>
      <c r="Q31" s="11"/>
    </row>
    <row r="32" spans="3:22" x14ac:dyDescent="0.35">
      <c r="C32" s="175"/>
      <c r="D32" s="175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1"/>
      <c r="P32" s="11"/>
      <c r="Q32" s="11"/>
    </row>
    <row r="33" spans="2:17" x14ac:dyDescent="0.35">
      <c r="C33" s="175"/>
      <c r="D33" s="175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1"/>
      <c r="P33" s="11"/>
      <c r="Q33" s="11"/>
    </row>
    <row r="34" spans="2:17" x14ac:dyDescent="0.35">
      <c r="C34" s="175"/>
      <c r="D34" s="175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1"/>
      <c r="P34" s="11"/>
      <c r="Q34" s="11"/>
    </row>
    <row r="35" spans="2:17" x14ac:dyDescent="0.35">
      <c r="C35" s="175"/>
      <c r="D35" s="175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1"/>
      <c r="P35" s="11"/>
      <c r="Q35" s="11"/>
    </row>
    <row r="36" spans="2:17" x14ac:dyDescent="0.35">
      <c r="C36" s="175"/>
      <c r="D36" s="175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1"/>
      <c r="P36" s="11"/>
      <c r="Q36" s="11"/>
    </row>
    <row r="37" spans="2:17" ht="15" thickBot="1" x14ac:dyDescent="0.4">
      <c r="C37" s="176"/>
      <c r="D37" s="176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145"/>
      <c r="P37" s="11"/>
      <c r="Q37" s="11"/>
    </row>
    <row r="38" spans="2:17" x14ac:dyDescent="0.3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2" spans="2:17" x14ac:dyDescent="0.35">
      <c r="C42" t="s">
        <v>328</v>
      </c>
    </row>
    <row r="43" spans="2:17" x14ac:dyDescent="0.35">
      <c r="C43" t="s">
        <v>329</v>
      </c>
    </row>
    <row r="44" spans="2:17" x14ac:dyDescent="0.35">
      <c r="C44" s="397" t="s">
        <v>334</v>
      </c>
    </row>
    <row r="45" spans="2:17" x14ac:dyDescent="0.35">
      <c r="N45" s="11" t="s">
        <v>22</v>
      </c>
    </row>
  </sheetData>
  <mergeCells count="1">
    <mergeCell ref="D5:O5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ColWidth="10.90625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7" t="s">
        <v>241</v>
      </c>
      <c r="D6" s="270" t="s">
        <v>245</v>
      </c>
      <c r="E6" s="207"/>
      <c r="F6" s="275" t="s">
        <v>242</v>
      </c>
      <c r="G6" s="275" t="s">
        <v>246</v>
      </c>
      <c r="H6" s="275" t="s">
        <v>244</v>
      </c>
      <c r="I6" s="207"/>
      <c r="J6" s="265" t="s">
        <v>242</v>
      </c>
      <c r="K6" s="265" t="s">
        <v>246</v>
      </c>
      <c r="L6" s="265" t="s">
        <v>244</v>
      </c>
      <c r="M6" s="261"/>
      <c r="N6" s="265" t="s">
        <v>242</v>
      </c>
      <c r="O6" s="269" t="s">
        <v>243</v>
      </c>
      <c r="P6" s="265" t="s">
        <v>244</v>
      </c>
      <c r="Q6" s="207"/>
      <c r="R6" s="11"/>
      <c r="S6" s="11"/>
      <c r="T6" s="11"/>
    </row>
    <row r="7" spans="3:20" x14ac:dyDescent="0.35">
      <c r="C7" s="279" t="s">
        <v>233</v>
      </c>
      <c r="D7" s="280">
        <f>1/8</f>
        <v>0.125</v>
      </c>
      <c r="E7" s="207"/>
      <c r="F7" s="281">
        <v>11</v>
      </c>
      <c r="G7" s="276">
        <v>0.15</v>
      </c>
      <c r="H7" s="282" t="s">
        <v>172</v>
      </c>
      <c r="I7" s="207"/>
      <c r="J7" s="279">
        <v>11</v>
      </c>
      <c r="K7" s="290"/>
      <c r="L7" s="294" t="s">
        <v>169</v>
      </c>
      <c r="M7" s="207"/>
      <c r="N7" s="207"/>
      <c r="O7" s="207"/>
      <c r="P7" s="207"/>
      <c r="Q7" s="207"/>
      <c r="R7" s="11"/>
      <c r="S7" s="11"/>
      <c r="T7" s="11"/>
    </row>
    <row r="8" spans="3:20" x14ac:dyDescent="0.35">
      <c r="C8" s="181" t="s">
        <v>234</v>
      </c>
      <c r="D8" s="283">
        <f t="shared" ref="D8:D14" si="0">1/8</f>
        <v>0.125</v>
      </c>
      <c r="E8" s="207"/>
      <c r="F8" s="284">
        <v>11</v>
      </c>
      <c r="G8" s="277">
        <v>0.15</v>
      </c>
      <c r="H8" s="285" t="s">
        <v>172</v>
      </c>
      <c r="I8" s="207"/>
      <c r="J8" s="181">
        <v>11</v>
      </c>
      <c r="K8" s="207"/>
      <c r="L8" s="292"/>
      <c r="M8" s="207"/>
      <c r="N8" s="207"/>
      <c r="O8" s="207"/>
      <c r="P8" s="207"/>
      <c r="Q8" s="207"/>
      <c r="R8" s="11"/>
      <c r="S8" s="11"/>
      <c r="T8" s="11"/>
    </row>
    <row r="9" spans="3:20" x14ac:dyDescent="0.35">
      <c r="C9" s="181" t="s">
        <v>235</v>
      </c>
      <c r="D9" s="283">
        <f t="shared" si="0"/>
        <v>0.125</v>
      </c>
      <c r="E9" s="207"/>
      <c r="F9" s="284">
        <v>11</v>
      </c>
      <c r="G9" s="277">
        <v>-0.15</v>
      </c>
      <c r="H9" s="285" t="s">
        <v>172</v>
      </c>
      <c r="I9" s="207"/>
      <c r="J9" s="181">
        <v>11</v>
      </c>
      <c r="K9" s="207"/>
      <c r="L9" s="292"/>
      <c r="M9" s="207"/>
      <c r="N9" s="207"/>
      <c r="O9" s="207"/>
      <c r="P9" s="207"/>
      <c r="Q9" s="207"/>
      <c r="R9" s="11"/>
      <c r="S9" s="11"/>
      <c r="T9" s="11"/>
    </row>
    <row r="10" spans="3:20" x14ac:dyDescent="0.35">
      <c r="C10" s="181" t="s">
        <v>236</v>
      </c>
      <c r="D10" s="283">
        <f t="shared" si="0"/>
        <v>0.125</v>
      </c>
      <c r="E10" s="207"/>
      <c r="F10" s="284">
        <v>11</v>
      </c>
      <c r="G10" s="277">
        <v>-0.15</v>
      </c>
      <c r="H10" s="285" t="s">
        <v>172</v>
      </c>
      <c r="I10" s="207"/>
      <c r="J10" s="181">
        <v>11</v>
      </c>
      <c r="K10" s="207"/>
      <c r="L10" s="292"/>
      <c r="M10" s="207"/>
      <c r="N10" s="207"/>
      <c r="O10" s="207"/>
      <c r="P10" s="207"/>
      <c r="Q10" s="207"/>
      <c r="R10" s="11"/>
      <c r="S10" s="11"/>
      <c r="T10" s="11"/>
    </row>
    <row r="11" spans="3:20" x14ac:dyDescent="0.35">
      <c r="C11" s="181" t="s">
        <v>237</v>
      </c>
      <c r="D11" s="283">
        <f t="shared" si="0"/>
        <v>0.125</v>
      </c>
      <c r="E11" s="207"/>
      <c r="F11" s="284">
        <v>11</v>
      </c>
      <c r="G11" s="277">
        <v>0.15</v>
      </c>
      <c r="H11" s="285" t="s">
        <v>172</v>
      </c>
      <c r="I11" s="207"/>
      <c r="J11" s="181">
        <v>11</v>
      </c>
      <c r="K11" s="207"/>
      <c r="L11" s="292"/>
      <c r="M11" s="207"/>
      <c r="N11" s="207"/>
      <c r="O11" s="207"/>
      <c r="P11" s="207"/>
      <c r="Q11" s="207"/>
      <c r="R11" s="11"/>
      <c r="S11" s="11"/>
      <c r="T11" s="11"/>
    </row>
    <row r="12" spans="3:20" x14ac:dyDescent="0.35">
      <c r="C12" s="181" t="s">
        <v>238</v>
      </c>
      <c r="D12" s="283">
        <f>1/8</f>
        <v>0.125</v>
      </c>
      <c r="E12" s="207"/>
      <c r="F12" s="284">
        <v>11</v>
      </c>
      <c r="G12" s="277">
        <v>0.15</v>
      </c>
      <c r="H12" s="285" t="s">
        <v>172</v>
      </c>
      <c r="I12" s="207"/>
      <c r="J12" s="181">
        <v>11</v>
      </c>
      <c r="K12" s="207"/>
      <c r="L12" s="292"/>
      <c r="M12" s="207"/>
      <c r="N12" s="207"/>
      <c r="O12" s="207"/>
      <c r="P12" s="207"/>
      <c r="Q12" s="207"/>
      <c r="R12" s="11"/>
      <c r="S12" s="11"/>
      <c r="T12" s="11"/>
    </row>
    <row r="13" spans="3:20" x14ac:dyDescent="0.35">
      <c r="C13" s="181" t="s">
        <v>239</v>
      </c>
      <c r="D13" s="283">
        <f t="shared" si="0"/>
        <v>0.125</v>
      </c>
      <c r="E13" s="207"/>
      <c r="F13" s="284">
        <v>11</v>
      </c>
      <c r="G13" s="277">
        <v>-0.15</v>
      </c>
      <c r="H13" s="285" t="s">
        <v>172</v>
      </c>
      <c r="I13" s="207"/>
      <c r="J13" s="181">
        <v>11</v>
      </c>
      <c r="K13" s="207"/>
      <c r="L13" s="292"/>
      <c r="M13" s="207"/>
      <c r="N13" s="207"/>
      <c r="O13" s="207"/>
      <c r="P13" s="207"/>
      <c r="Q13" s="207"/>
      <c r="R13" s="11"/>
      <c r="S13" s="11"/>
      <c r="T13" s="11"/>
    </row>
    <row r="14" spans="3:20" ht="15" thickBot="1" x14ac:dyDescent="0.4">
      <c r="C14" s="286" t="s">
        <v>240</v>
      </c>
      <c r="D14" s="287">
        <f t="shared" si="0"/>
        <v>0.125</v>
      </c>
      <c r="E14" s="207"/>
      <c r="F14" s="288">
        <v>11</v>
      </c>
      <c r="G14" s="278">
        <v>-0.15</v>
      </c>
      <c r="H14" s="289" t="s">
        <v>172</v>
      </c>
      <c r="I14" s="207"/>
      <c r="J14" s="286">
        <v>11</v>
      </c>
      <c r="K14" s="162"/>
      <c r="L14" s="293"/>
      <c r="M14" s="207"/>
      <c r="N14" s="207"/>
      <c r="O14" s="207"/>
      <c r="P14" s="207"/>
      <c r="Q14" s="207"/>
      <c r="R14" s="11"/>
      <c r="S14" s="11"/>
      <c r="T14" s="11"/>
    </row>
    <row r="15" spans="3:20" x14ac:dyDescent="0.35"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11"/>
      <c r="S15" s="11"/>
      <c r="T15" s="11"/>
    </row>
    <row r="16" spans="3:20" x14ac:dyDescent="0.35"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376" t="s">
        <v>247</v>
      </c>
      <c r="D22" s="377"/>
      <c r="E22" s="377"/>
      <c r="F22" s="378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71" t="s">
        <v>248</v>
      </c>
      <c r="D23" s="272" t="s">
        <v>249</v>
      </c>
      <c r="E23" s="271" t="s">
        <v>250</v>
      </c>
      <c r="F23" s="264" t="s">
        <v>245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5">
        <v>11</v>
      </c>
      <c r="D24" s="296" t="s">
        <v>172</v>
      </c>
      <c r="E24" s="296">
        <v>0.15</v>
      </c>
      <c r="F24" s="16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92"/>
      <c r="D25" s="273" t="s">
        <v>169</v>
      </c>
      <c r="E25" s="207">
        <v>0.1</v>
      </c>
      <c r="F25" s="9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92"/>
      <c r="D26" s="273"/>
      <c r="E26" s="11"/>
      <c r="F26" s="9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92"/>
      <c r="D27" s="273"/>
      <c r="E27" s="11"/>
      <c r="F27" s="9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92"/>
      <c r="D28" s="273"/>
      <c r="E28" s="11"/>
      <c r="F28" s="9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92"/>
      <c r="D29" s="273"/>
      <c r="E29" s="11"/>
      <c r="F29" s="9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92"/>
      <c r="D30" s="273"/>
      <c r="E30" s="11"/>
      <c r="F30" s="9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92"/>
      <c r="D31" s="273"/>
      <c r="E31" s="11"/>
      <c r="F31" s="9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92"/>
      <c r="D32" s="273"/>
      <c r="E32" s="11"/>
      <c r="F32" s="9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92"/>
      <c r="D33" s="11"/>
      <c r="E33" s="11"/>
      <c r="F33" s="9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92"/>
      <c r="D34" s="11"/>
      <c r="E34" s="11"/>
      <c r="F34" s="9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92"/>
      <c r="D35" s="11"/>
      <c r="E35" s="11"/>
      <c r="F35" s="9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6"/>
      <c r="D36" s="93"/>
      <c r="E36" s="93"/>
      <c r="F36" s="145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E13" sqref="E13"/>
    </sheetView>
  </sheetViews>
  <sheetFormatPr baseColWidth="10" defaultColWidth="10.90625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79" t="s">
        <v>111</v>
      </c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1"/>
      <c r="P5" s="11"/>
      <c r="Q5" s="11"/>
    </row>
    <row r="6" spans="3:17" ht="18.5" x14ac:dyDescent="0.45">
      <c r="C6" s="11"/>
      <c r="D6" s="219" t="s">
        <v>1</v>
      </c>
      <c r="E6" s="210" t="s">
        <v>214</v>
      </c>
      <c r="F6" s="210" t="s">
        <v>229</v>
      </c>
      <c r="G6" s="159"/>
      <c r="H6" s="147"/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11"/>
      <c r="D7" s="146" t="s">
        <v>100</v>
      </c>
      <c r="E7" s="149">
        <v>888</v>
      </c>
      <c r="F7" s="149">
        <v>777</v>
      </c>
      <c r="G7" s="149"/>
      <c r="H7" s="149"/>
      <c r="I7" s="149"/>
      <c r="J7" s="149"/>
      <c r="K7" s="149"/>
      <c r="L7" s="149"/>
      <c r="M7" s="149"/>
      <c r="N7" s="149"/>
      <c r="O7" s="150"/>
      <c r="P7" s="11"/>
      <c r="Q7" s="11"/>
    </row>
    <row r="8" spans="3:17" ht="15" thickBot="1" x14ac:dyDescent="0.4">
      <c r="C8" s="11"/>
      <c r="D8" s="176" t="s">
        <v>113</v>
      </c>
      <c r="E8" s="162">
        <v>2</v>
      </c>
      <c r="F8" s="162">
        <v>2</v>
      </c>
      <c r="G8" s="93"/>
      <c r="H8" s="93"/>
      <c r="I8" s="93"/>
      <c r="J8" s="93"/>
      <c r="K8" s="93"/>
      <c r="L8" s="93"/>
      <c r="M8" s="93"/>
      <c r="N8" s="93"/>
      <c r="O8" s="145"/>
      <c r="P8" s="11"/>
      <c r="Q8" s="11"/>
    </row>
    <row r="9" spans="3:17" ht="18.5" x14ac:dyDescent="0.45">
      <c r="C9" s="11"/>
      <c r="D9" s="146" t="s">
        <v>112</v>
      </c>
      <c r="E9" s="160">
        <v>200</v>
      </c>
      <c r="F9" s="149">
        <v>300</v>
      </c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11"/>
      <c r="D10" s="146"/>
      <c r="E10" s="263">
        <v>210</v>
      </c>
      <c r="F10" s="149">
        <v>310</v>
      </c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11"/>
      <c r="D11" s="146"/>
      <c r="E11" s="160">
        <v>240</v>
      </c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11"/>
      <c r="D12" s="146"/>
      <c r="E12" s="160">
        <v>999</v>
      </c>
      <c r="F12" s="149"/>
      <c r="G12" s="149"/>
      <c r="H12" s="149"/>
      <c r="I12" s="149"/>
      <c r="J12" s="149"/>
      <c r="K12" s="149"/>
      <c r="L12" s="149"/>
      <c r="M12" s="149"/>
      <c r="N12" s="149"/>
      <c r="O12" s="150"/>
      <c r="P12" s="11"/>
      <c r="Q12" s="11"/>
    </row>
    <row r="13" spans="3:17" ht="18.5" x14ac:dyDescent="0.45">
      <c r="C13" s="11"/>
      <c r="D13" s="152"/>
      <c r="E13" s="263"/>
      <c r="F13" s="149"/>
      <c r="G13" s="149"/>
      <c r="H13" s="149"/>
      <c r="I13" s="149"/>
      <c r="J13" s="149"/>
      <c r="K13" s="149"/>
      <c r="L13" s="149"/>
      <c r="M13" s="149"/>
      <c r="N13" s="149"/>
      <c r="O13" s="150"/>
      <c r="P13" s="11"/>
      <c r="Q13" s="11"/>
    </row>
    <row r="14" spans="3:17" ht="18.5" x14ac:dyDescent="0.45">
      <c r="C14" s="11"/>
      <c r="D14" s="152"/>
      <c r="E14" s="160"/>
      <c r="F14" s="149"/>
      <c r="G14" s="149"/>
      <c r="H14" s="149"/>
      <c r="I14" s="149"/>
      <c r="J14" s="149"/>
      <c r="K14" s="154"/>
      <c r="L14" s="149"/>
      <c r="M14" s="149"/>
      <c r="N14" s="149"/>
      <c r="O14" s="150"/>
      <c r="P14" s="11"/>
      <c r="Q14" s="11"/>
    </row>
    <row r="15" spans="3:17" ht="18.5" x14ac:dyDescent="0.45">
      <c r="C15" s="11"/>
      <c r="D15" s="152"/>
      <c r="E15" s="160"/>
      <c r="F15" s="149"/>
      <c r="G15" s="149"/>
      <c r="H15" s="153"/>
      <c r="I15" s="149"/>
      <c r="J15" s="149"/>
      <c r="K15" s="154"/>
      <c r="L15" s="149"/>
      <c r="M15" s="149"/>
      <c r="N15" s="149"/>
      <c r="O15" s="150"/>
      <c r="P15" s="11"/>
      <c r="Q15" s="11"/>
    </row>
    <row r="16" spans="3:17" ht="18.5" x14ac:dyDescent="0.45">
      <c r="C16" s="11"/>
      <c r="D16" s="152"/>
      <c r="E16" s="160"/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17" ht="18.5" x14ac:dyDescent="0.45">
      <c r="C17" s="11"/>
      <c r="D17" s="152"/>
      <c r="E17" s="160"/>
      <c r="F17" s="149"/>
      <c r="G17" s="149"/>
      <c r="H17" s="149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17" ht="18.5" x14ac:dyDescent="0.45">
      <c r="C18" s="11"/>
      <c r="D18" s="152"/>
      <c r="E18" s="160"/>
      <c r="F18" s="149"/>
      <c r="G18" s="149"/>
      <c r="H18" s="155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17" ht="18.5" x14ac:dyDescent="0.45">
      <c r="C19" s="11"/>
      <c r="D19" s="152"/>
      <c r="E19" s="160"/>
      <c r="F19" s="149"/>
      <c r="G19" s="149"/>
      <c r="H19" s="155"/>
      <c r="I19" s="149"/>
      <c r="J19" s="149"/>
      <c r="K19" s="149"/>
      <c r="L19" s="149"/>
      <c r="M19" s="149"/>
      <c r="N19" s="149"/>
      <c r="O19" s="150"/>
      <c r="P19" s="11"/>
      <c r="Q19" s="11"/>
    </row>
    <row r="20" spans="3:17" ht="18.5" x14ac:dyDescent="0.45">
      <c r="C20" s="11"/>
      <c r="D20" s="152"/>
      <c r="E20" s="160"/>
      <c r="F20" s="149"/>
      <c r="G20" s="149"/>
      <c r="H20" s="149"/>
      <c r="I20" s="149"/>
      <c r="J20" s="149"/>
      <c r="K20" s="149"/>
      <c r="L20" s="149"/>
      <c r="M20" s="149"/>
      <c r="N20" s="149"/>
      <c r="O20" s="150"/>
      <c r="P20" s="11"/>
      <c r="Q20" s="11"/>
    </row>
    <row r="21" spans="3:17" ht="18.5" x14ac:dyDescent="0.45">
      <c r="C21" s="11"/>
      <c r="D21" s="152"/>
      <c r="E21" s="160"/>
      <c r="F21" s="149"/>
      <c r="G21" s="149"/>
      <c r="H21" s="149"/>
      <c r="I21" s="149"/>
      <c r="J21" s="149"/>
      <c r="K21" s="149"/>
      <c r="L21" s="149"/>
      <c r="M21" s="149"/>
      <c r="N21" s="149"/>
      <c r="O21" s="150"/>
      <c r="P21" s="11"/>
      <c r="Q21" s="11"/>
    </row>
    <row r="22" spans="3:17" ht="18.5" x14ac:dyDescent="0.45">
      <c r="C22" s="11"/>
      <c r="D22" s="152"/>
      <c r="E22" s="160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17" ht="19" thickBot="1" x14ac:dyDescent="0.5">
      <c r="C23" s="11"/>
      <c r="D23" s="156"/>
      <c r="E23" s="161"/>
      <c r="F23" s="157"/>
      <c r="G23" s="157"/>
      <c r="H23" s="157"/>
      <c r="I23" s="157"/>
      <c r="J23" s="157"/>
      <c r="K23" s="157"/>
      <c r="L23" s="157"/>
      <c r="M23" s="157"/>
      <c r="N23" s="157"/>
      <c r="O23" s="158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AI67"/>
  <sheetViews>
    <sheetView zoomScale="90" zoomScaleNormal="90" workbookViewId="0">
      <selection activeCell="E14" sqref="E14"/>
    </sheetView>
  </sheetViews>
  <sheetFormatPr baseColWidth="10" defaultColWidth="10.90625" defaultRowHeight="14.5" x14ac:dyDescent="0.35"/>
  <cols>
    <col min="2" max="2" width="21.179687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7" width="11.1796875" bestFit="1" customWidth="1"/>
    <col min="8" max="8" width="10.26953125" customWidth="1"/>
    <col min="9" max="9" width="17.90625" customWidth="1"/>
    <col min="10" max="11" width="16.54296875" bestFit="1" customWidth="1"/>
    <col min="12" max="12" width="12.26953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8.6328125" customWidth="1"/>
    <col min="19" max="19" width="12.7265625" bestFit="1" customWidth="1"/>
    <col min="20" max="20" width="12.26953125" bestFit="1" customWidth="1"/>
    <col min="21" max="21" width="16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376" t="s">
        <v>255</v>
      </c>
      <c r="C3" s="378"/>
      <c r="D3" s="11"/>
      <c r="E3" s="264" t="s">
        <v>262</v>
      </c>
      <c r="F3" s="299" t="s">
        <v>261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4" t="s">
        <v>256</v>
      </c>
      <c r="C4" s="319">
        <v>2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292</v>
      </c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92" t="s">
        <v>257</v>
      </c>
      <c r="C5" s="306" t="s">
        <v>293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P5" s="267" t="s">
        <v>266</v>
      </c>
      <c r="Q5" s="268"/>
      <c r="R5" s="302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6"/>
      <c r="C6" s="145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81">
        <v>2</v>
      </c>
      <c r="Q6" s="307" t="s">
        <v>290</v>
      </c>
      <c r="R6" s="9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P7" s="181">
        <v>3</v>
      </c>
      <c r="Q7" s="307" t="s">
        <v>289</v>
      </c>
      <c r="R7" s="9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08" t="s">
        <v>271</v>
      </c>
      <c r="C8" s="11"/>
      <c r="D8" s="11"/>
      <c r="E8" s="11"/>
      <c r="F8" s="11"/>
      <c r="G8" s="11"/>
      <c r="H8" s="11"/>
      <c r="I8" s="309" t="s">
        <v>273</v>
      </c>
      <c r="J8" s="11"/>
      <c r="K8" s="11"/>
      <c r="L8" s="11"/>
      <c r="M8" s="11"/>
      <c r="N8" s="11"/>
      <c r="O8" s="11"/>
      <c r="P8" s="181">
        <v>4</v>
      </c>
      <c r="Q8" s="307" t="s">
        <v>297</v>
      </c>
      <c r="R8" s="9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385" t="s">
        <v>280</v>
      </c>
      <c r="C9" s="386"/>
      <c r="D9" s="386"/>
      <c r="E9" s="386"/>
      <c r="F9" s="387"/>
      <c r="G9" s="207"/>
      <c r="H9" s="11"/>
      <c r="I9" s="382" t="s">
        <v>281</v>
      </c>
      <c r="J9" s="383"/>
      <c r="K9" s="383"/>
      <c r="L9" s="383"/>
      <c r="M9" s="384"/>
      <c r="N9" s="265"/>
      <c r="O9" s="207"/>
      <c r="P9" s="266"/>
      <c r="Q9" s="93" t="s">
        <v>268</v>
      </c>
      <c r="R9" s="145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301" t="s">
        <v>264</v>
      </c>
      <c r="C10" s="303" t="s">
        <v>33</v>
      </c>
      <c r="D10" s="304" t="s">
        <v>267</v>
      </c>
      <c r="E10" s="270" t="s">
        <v>265</v>
      </c>
      <c r="F10" s="298" t="s">
        <v>269</v>
      </c>
      <c r="G10" s="388" t="s">
        <v>322</v>
      </c>
      <c r="H10" s="11"/>
      <c r="I10" s="301" t="s">
        <v>264</v>
      </c>
      <c r="J10" s="301" t="s">
        <v>33</v>
      </c>
      <c r="K10" s="305" t="s">
        <v>263</v>
      </c>
      <c r="L10" s="301" t="s">
        <v>267</v>
      </c>
      <c r="M10" s="301" t="s">
        <v>265</v>
      </c>
      <c r="N10" s="265" t="s">
        <v>269</v>
      </c>
      <c r="O10" s="207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5">
        <v>11</v>
      </c>
      <c r="C11" s="296" t="s">
        <v>172</v>
      </c>
      <c r="D11" s="395">
        <f>_xlfn.STDEV.P(8.7,12.4) / AVERAGE(8.7,12.4)</f>
        <v>0.17535545023696644</v>
      </c>
      <c r="E11" s="296">
        <v>1</v>
      </c>
      <c r="F11" s="279" t="s">
        <v>275</v>
      </c>
      <c r="G11" s="298" t="s">
        <v>323</v>
      </c>
      <c r="H11" s="11"/>
      <c r="I11" s="181">
        <v>200</v>
      </c>
      <c r="J11" s="273" t="s">
        <v>172</v>
      </c>
      <c r="K11" s="207">
        <v>2</v>
      </c>
      <c r="L11" s="207">
        <v>0.2</v>
      </c>
      <c r="M11" s="292">
        <v>1</v>
      </c>
      <c r="N11" s="300" t="s">
        <v>274</v>
      </c>
      <c r="O11" s="207"/>
      <c r="P11" s="320" t="s">
        <v>291</v>
      </c>
      <c r="Q11" s="11"/>
      <c r="R11" s="321" t="s">
        <v>294</v>
      </c>
      <c r="S11" s="302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81">
        <v>11</v>
      </c>
      <c r="C12" s="273" t="s">
        <v>169</v>
      </c>
      <c r="D12" s="396">
        <f>_xlfn.STDEV.P(1.02, 2.92) / AVERAGE(1.02, 2.92)</f>
        <v>0.48223350253807096</v>
      </c>
      <c r="E12" s="207">
        <v>1</v>
      </c>
      <c r="F12" s="181" t="s">
        <v>276</v>
      </c>
      <c r="G12" s="300" t="s">
        <v>323</v>
      </c>
      <c r="H12" s="11"/>
      <c r="I12" s="181">
        <v>210</v>
      </c>
      <c r="J12" s="273" t="s">
        <v>172</v>
      </c>
      <c r="K12" s="207">
        <v>1</v>
      </c>
      <c r="L12" s="207">
        <v>0.1</v>
      </c>
      <c r="M12" s="292">
        <v>1</v>
      </c>
      <c r="N12" s="300" t="s">
        <v>274</v>
      </c>
      <c r="O12" s="207"/>
      <c r="P12" s="225" t="s">
        <v>287</v>
      </c>
      <c r="Q12" s="11"/>
      <c r="R12" s="175" t="s">
        <v>295</v>
      </c>
      <c r="S12" s="176" t="s">
        <v>296</v>
      </c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81"/>
      <c r="C13" s="273"/>
      <c r="D13" s="207"/>
      <c r="E13" s="207"/>
      <c r="F13" s="181"/>
      <c r="G13" s="300"/>
      <c r="H13" s="11"/>
      <c r="I13" s="181"/>
      <c r="J13" s="273"/>
      <c r="K13" s="207"/>
      <c r="L13" s="207"/>
      <c r="M13" s="292"/>
      <c r="N13" s="300"/>
      <c r="O13" s="207"/>
      <c r="P13" s="225">
        <v>1</v>
      </c>
      <c r="Q13" s="207"/>
      <c r="R13" s="225">
        <v>1</v>
      </c>
      <c r="S13" s="225">
        <v>0.3</v>
      </c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81"/>
      <c r="C14" s="273"/>
      <c r="D14" s="207"/>
      <c r="E14" s="207"/>
      <c r="F14" s="181"/>
      <c r="G14" s="300"/>
      <c r="H14" s="11"/>
      <c r="I14" s="181"/>
      <c r="J14" s="273"/>
      <c r="K14" s="207"/>
      <c r="L14" s="207"/>
      <c r="M14" s="292"/>
      <c r="N14" s="300"/>
      <c r="O14" s="207"/>
      <c r="P14" s="175">
        <v>0.5</v>
      </c>
      <c r="Q14" s="11"/>
      <c r="R14" s="175">
        <v>2</v>
      </c>
      <c r="S14" s="175">
        <v>0.2</v>
      </c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81"/>
      <c r="C15" s="273"/>
      <c r="D15" s="207"/>
      <c r="E15" s="207"/>
      <c r="F15" s="181"/>
      <c r="G15" s="300"/>
      <c r="H15" s="11"/>
      <c r="I15" s="181"/>
      <c r="J15" s="273"/>
      <c r="K15" s="207"/>
      <c r="L15" s="207"/>
      <c r="M15" s="292"/>
      <c r="N15" s="300"/>
      <c r="O15" s="207"/>
      <c r="P15" s="175">
        <v>0</v>
      </c>
      <c r="Q15" s="11"/>
      <c r="R15" s="175"/>
      <c r="S15" s="175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81"/>
      <c r="C16" s="273"/>
      <c r="D16" s="207"/>
      <c r="E16" s="207"/>
      <c r="F16" s="181"/>
      <c r="G16" s="300"/>
      <c r="H16" s="11"/>
      <c r="I16" s="181"/>
      <c r="J16" s="273"/>
      <c r="K16" s="207"/>
      <c r="L16" s="207"/>
      <c r="M16" s="292"/>
      <c r="N16" s="300"/>
      <c r="O16" s="207"/>
      <c r="P16" s="175">
        <v>-0.5</v>
      </c>
      <c r="Q16" s="11"/>
      <c r="R16" s="175"/>
      <c r="S16" s="175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81"/>
      <c r="C17" s="273"/>
      <c r="D17" s="207"/>
      <c r="E17" s="207"/>
      <c r="F17" s="181"/>
      <c r="G17" s="300"/>
      <c r="H17" s="11"/>
      <c r="I17" s="181"/>
      <c r="J17" s="273"/>
      <c r="K17" s="207"/>
      <c r="L17" s="207"/>
      <c r="M17" s="292"/>
      <c r="N17" s="300"/>
      <c r="O17" s="207"/>
      <c r="P17" s="175">
        <v>-1</v>
      </c>
      <c r="Q17" s="11"/>
      <c r="R17" s="175"/>
      <c r="S17" s="175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81"/>
      <c r="C18" s="273"/>
      <c r="D18" s="207"/>
      <c r="E18" s="207"/>
      <c r="F18" s="181"/>
      <c r="G18" s="300"/>
      <c r="H18" s="11"/>
      <c r="I18" s="181"/>
      <c r="J18" s="273"/>
      <c r="K18" s="207"/>
      <c r="L18" s="207"/>
      <c r="M18" s="292"/>
      <c r="N18" s="300"/>
      <c r="O18" s="207"/>
      <c r="P18" s="175"/>
      <c r="Q18" s="11"/>
      <c r="R18" s="175"/>
      <c r="S18" s="175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81"/>
      <c r="C19" s="273"/>
      <c r="D19" s="207"/>
      <c r="E19" s="207"/>
      <c r="F19" s="181"/>
      <c r="G19" s="300"/>
      <c r="H19" s="11"/>
      <c r="I19" s="181"/>
      <c r="J19" s="273"/>
      <c r="K19" s="207"/>
      <c r="L19" s="207"/>
      <c r="M19" s="292"/>
      <c r="N19" s="300"/>
      <c r="O19" s="207"/>
      <c r="P19" s="175"/>
      <c r="Q19" s="11"/>
      <c r="R19" s="175"/>
      <c r="S19" s="175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81"/>
      <c r="C20" s="273"/>
      <c r="D20" s="207"/>
      <c r="E20" s="207"/>
      <c r="F20" s="181"/>
      <c r="G20" s="300"/>
      <c r="H20" s="11"/>
      <c r="I20" s="181"/>
      <c r="J20" s="273"/>
      <c r="K20" s="207"/>
      <c r="L20" s="207"/>
      <c r="M20" s="292"/>
      <c r="N20" s="300"/>
      <c r="O20" s="207"/>
      <c r="P20" s="226"/>
      <c r="Q20" s="11"/>
      <c r="R20" s="226"/>
      <c r="S20" s="17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35">
      <c r="A21" s="11"/>
      <c r="B21" s="181"/>
      <c r="C21" s="273"/>
      <c r="D21" s="207"/>
      <c r="E21" s="207"/>
      <c r="F21" s="181"/>
      <c r="G21" s="300"/>
      <c r="H21" s="11"/>
      <c r="I21" s="181"/>
      <c r="J21" s="273"/>
      <c r="K21" s="207"/>
      <c r="L21" s="207"/>
      <c r="M21" s="292"/>
      <c r="N21" s="300"/>
      <c r="O21" s="207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81"/>
      <c r="C22" s="273"/>
      <c r="D22" s="207"/>
      <c r="E22" s="207"/>
      <c r="F22" s="181"/>
      <c r="G22" s="300"/>
      <c r="H22" s="11"/>
      <c r="I22" s="181"/>
      <c r="J22" s="273"/>
      <c r="K22" s="207"/>
      <c r="L22" s="207"/>
      <c r="M22" s="292"/>
      <c r="N22" s="300"/>
      <c r="O22" s="207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6"/>
      <c r="C23" s="297"/>
      <c r="D23" s="162"/>
      <c r="E23" s="162"/>
      <c r="F23" s="286"/>
      <c r="G23" s="301"/>
      <c r="H23" s="11"/>
      <c r="I23" s="286"/>
      <c r="J23" s="162"/>
      <c r="K23" s="162"/>
      <c r="L23" s="162"/>
      <c r="M23" s="293"/>
      <c r="N23" s="301"/>
      <c r="O23" s="207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7"/>
      <c r="C24" s="207"/>
      <c r="D24" s="207"/>
      <c r="E24" s="207"/>
      <c r="F24" s="207"/>
      <c r="G24" s="207"/>
      <c r="H24" s="11"/>
      <c r="I24" s="207"/>
      <c r="J24" s="207"/>
      <c r="K24" s="207"/>
      <c r="L24" s="207"/>
      <c r="M24" s="207"/>
      <c r="N24" s="207"/>
      <c r="O24" s="20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7"/>
      <c r="C25" s="207"/>
      <c r="D25" s="207"/>
      <c r="E25" s="207"/>
      <c r="F25" s="207"/>
      <c r="G25" s="207"/>
      <c r="H25" s="11"/>
      <c r="I25" s="207"/>
      <c r="J25" s="207"/>
      <c r="K25" s="207"/>
      <c r="L25" s="207"/>
      <c r="M25" s="207"/>
      <c r="N25" s="207"/>
      <c r="O25" s="20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09" t="s">
        <v>277</v>
      </c>
      <c r="C26" s="207"/>
      <c r="D26" s="207"/>
      <c r="E26" s="207"/>
      <c r="F26" s="207"/>
      <c r="G26" s="207"/>
      <c r="H26" s="207"/>
      <c r="I26" s="309" t="s">
        <v>273</v>
      </c>
      <c r="J26" s="207"/>
      <c r="K26" s="207"/>
      <c r="L26" s="207"/>
      <c r="M26" s="207"/>
      <c r="N26" s="207"/>
      <c r="O26" s="207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7" t="s">
        <v>278</v>
      </c>
      <c r="C27" s="268"/>
      <c r="D27" s="268"/>
      <c r="E27" s="268"/>
      <c r="F27" s="269"/>
      <c r="G27" s="269"/>
      <c r="H27" s="207"/>
      <c r="I27" s="382" t="s">
        <v>279</v>
      </c>
      <c r="J27" s="383"/>
      <c r="K27" s="383"/>
      <c r="L27" s="383"/>
      <c r="M27" s="383"/>
      <c r="N27" s="384"/>
      <c r="O27" s="20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65" t="s">
        <v>264</v>
      </c>
      <c r="C28" s="270" t="s">
        <v>307</v>
      </c>
      <c r="D28" s="265" t="s">
        <v>33</v>
      </c>
      <c r="E28" s="270" t="s">
        <v>267</v>
      </c>
      <c r="F28" s="265" t="s">
        <v>265</v>
      </c>
      <c r="G28" s="298" t="s">
        <v>269</v>
      </c>
      <c r="H28" s="207"/>
      <c r="I28" s="298" t="s">
        <v>264</v>
      </c>
      <c r="J28" s="265" t="s">
        <v>33</v>
      </c>
      <c r="K28" s="270" t="s">
        <v>263</v>
      </c>
      <c r="L28" s="291" t="s">
        <v>267</v>
      </c>
      <c r="M28" s="298" t="s">
        <v>265</v>
      </c>
      <c r="N28" s="298" t="s">
        <v>269</v>
      </c>
      <c r="O28" s="207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s="11"/>
      <c r="B29" s="279">
        <v>220</v>
      </c>
      <c r="C29" s="290">
        <v>320</v>
      </c>
      <c r="D29" s="296" t="s">
        <v>169</v>
      </c>
      <c r="E29" s="290">
        <v>0.1</v>
      </c>
      <c r="F29" s="291">
        <v>2</v>
      </c>
      <c r="G29" s="291" t="s">
        <v>275</v>
      </c>
      <c r="H29" s="207"/>
      <c r="I29" s="279"/>
      <c r="J29" s="273" t="s">
        <v>172</v>
      </c>
      <c r="K29" s="207">
        <v>2</v>
      </c>
      <c r="L29" s="290">
        <v>0.1</v>
      </c>
      <c r="M29" s="290">
        <v>2</v>
      </c>
      <c r="N29" s="298" t="s">
        <v>276</v>
      </c>
      <c r="O29" s="207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s="11"/>
      <c r="B30" s="181">
        <v>230</v>
      </c>
      <c r="C30" s="207">
        <v>330</v>
      </c>
      <c r="D30" s="273" t="s">
        <v>169</v>
      </c>
      <c r="E30" s="207">
        <v>0.1</v>
      </c>
      <c r="F30" s="292">
        <v>2</v>
      </c>
      <c r="G30" s="292" t="s">
        <v>274</v>
      </c>
      <c r="H30" s="207"/>
      <c r="I30" s="181"/>
      <c r="J30" s="273" t="s">
        <v>172</v>
      </c>
      <c r="K30" s="207">
        <v>1</v>
      </c>
      <c r="L30" s="207">
        <v>0.2</v>
      </c>
      <c r="M30" s="207">
        <v>2</v>
      </c>
      <c r="N30" s="300" t="s">
        <v>276</v>
      </c>
      <c r="O30" s="207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81"/>
      <c r="C31" s="207"/>
      <c r="D31" s="273"/>
      <c r="E31" s="207"/>
      <c r="F31" s="292"/>
      <c r="G31" s="292"/>
      <c r="H31" s="207"/>
      <c r="I31" s="181"/>
      <c r="J31" s="273"/>
      <c r="K31" s="207"/>
      <c r="L31" s="207"/>
      <c r="M31" s="207"/>
      <c r="N31" s="300"/>
      <c r="O31" s="207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81"/>
      <c r="C32" s="11"/>
      <c r="D32" s="273"/>
      <c r="E32" s="207"/>
      <c r="F32" s="292"/>
      <c r="G32" s="292"/>
      <c r="H32" s="207"/>
      <c r="I32" s="181"/>
      <c r="J32" s="273"/>
      <c r="K32" s="207"/>
      <c r="L32" s="207"/>
      <c r="M32" s="207"/>
      <c r="N32" s="300"/>
      <c r="O32" s="207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81"/>
      <c r="C33" s="11"/>
      <c r="D33" s="273"/>
      <c r="E33" s="207"/>
      <c r="F33" s="292"/>
      <c r="G33" s="292"/>
      <c r="H33" s="207"/>
      <c r="I33" s="181"/>
      <c r="J33" s="273"/>
      <c r="K33" s="207"/>
      <c r="L33" s="207"/>
      <c r="M33" s="207"/>
      <c r="N33" s="300"/>
      <c r="O33" s="20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81"/>
      <c r="C34" s="11"/>
      <c r="D34" s="273"/>
      <c r="E34" s="207"/>
      <c r="F34" s="292"/>
      <c r="G34" s="292"/>
      <c r="H34" s="207"/>
      <c r="I34" s="181"/>
      <c r="J34" s="273"/>
      <c r="K34" s="207"/>
      <c r="L34" s="207"/>
      <c r="M34" s="207"/>
      <c r="N34" s="300"/>
      <c r="O34" s="207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81"/>
      <c r="C35" s="11"/>
      <c r="D35" s="273"/>
      <c r="E35" s="207"/>
      <c r="F35" s="292"/>
      <c r="G35" s="292"/>
      <c r="H35" s="207"/>
      <c r="I35" s="181"/>
      <c r="J35" s="273"/>
      <c r="K35" s="207"/>
      <c r="L35" s="207"/>
      <c r="M35" s="207"/>
      <c r="N35" s="300"/>
      <c r="O35" s="207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81"/>
      <c r="C36" s="11"/>
      <c r="D36" s="273"/>
      <c r="E36" s="207"/>
      <c r="F36" s="292"/>
      <c r="G36" s="292"/>
      <c r="H36" s="207"/>
      <c r="I36" s="181"/>
      <c r="J36" s="273"/>
      <c r="K36" s="207"/>
      <c r="L36" s="207"/>
      <c r="M36" s="207"/>
      <c r="N36" s="300"/>
      <c r="O36" s="207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81"/>
      <c r="C37" s="11"/>
      <c r="D37" s="273"/>
      <c r="E37" s="207"/>
      <c r="F37" s="292"/>
      <c r="G37" s="292"/>
      <c r="H37" s="207"/>
      <c r="I37" s="181"/>
      <c r="J37" s="273"/>
      <c r="K37" s="207"/>
      <c r="L37" s="207"/>
      <c r="M37" s="207"/>
      <c r="N37" s="300"/>
      <c r="O37" s="207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81"/>
      <c r="C38" s="11"/>
      <c r="D38" s="273"/>
      <c r="E38" s="207"/>
      <c r="F38" s="292"/>
      <c r="G38" s="292"/>
      <c r="H38" s="207"/>
      <c r="I38" s="181"/>
      <c r="J38" s="273"/>
      <c r="K38" s="207"/>
      <c r="L38" s="207"/>
      <c r="M38" s="207"/>
      <c r="N38" s="300"/>
      <c r="O38" s="207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328"/>
      <c r="C39" s="11"/>
      <c r="D39" s="273"/>
      <c r="E39" s="207"/>
      <c r="F39" s="292"/>
      <c r="G39" s="292"/>
      <c r="H39" s="207"/>
      <c r="I39" s="181"/>
      <c r="J39" s="273"/>
      <c r="K39" s="207"/>
      <c r="L39" s="207"/>
      <c r="M39" s="207"/>
      <c r="N39" s="300"/>
      <c r="O39" s="207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81"/>
      <c r="C40" s="11"/>
      <c r="D40" s="273"/>
      <c r="E40" s="207"/>
      <c r="F40" s="292"/>
      <c r="G40" s="292"/>
      <c r="H40" s="207"/>
      <c r="I40" s="181"/>
      <c r="J40" s="273"/>
      <c r="K40" s="207"/>
      <c r="L40" s="207"/>
      <c r="M40" s="207"/>
      <c r="N40" s="300"/>
      <c r="O40" s="207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6"/>
      <c r="C41" s="93"/>
      <c r="D41" s="162"/>
      <c r="E41" s="162"/>
      <c r="F41" s="293"/>
      <c r="G41" s="293"/>
      <c r="H41" s="207"/>
      <c r="I41" s="286"/>
      <c r="J41" s="162"/>
      <c r="K41" s="162"/>
      <c r="L41" s="162"/>
      <c r="M41" s="162"/>
      <c r="N41" s="301"/>
      <c r="O41" s="207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09" t="s">
        <v>272</v>
      </c>
      <c r="C45" s="11"/>
      <c r="D45" s="11"/>
      <c r="E45" s="11"/>
      <c r="F45" s="11"/>
      <c r="G45" s="11"/>
      <c r="H45" s="11"/>
      <c r="I45" s="309" t="s">
        <v>283</v>
      </c>
      <c r="J45" s="11"/>
      <c r="K45" s="11"/>
      <c r="L45" s="11"/>
      <c r="M45" s="11"/>
      <c r="N45" s="309" t="s">
        <v>284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382" t="s">
        <v>270</v>
      </c>
      <c r="C46" s="383"/>
      <c r="D46" s="383"/>
      <c r="E46" s="383"/>
      <c r="F46" s="384"/>
      <c r="H46" s="11"/>
      <c r="I46" s="382" t="s">
        <v>285</v>
      </c>
      <c r="J46" s="383"/>
      <c r="K46" s="383"/>
      <c r="L46" s="384"/>
      <c r="M46" s="11"/>
      <c r="N46" s="382" t="s">
        <v>286</v>
      </c>
      <c r="O46" s="383"/>
      <c r="P46" s="383"/>
      <c r="Q46" s="384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298" t="s">
        <v>264</v>
      </c>
      <c r="C47" s="298" t="s">
        <v>33</v>
      </c>
      <c r="D47" s="291" t="s">
        <v>267</v>
      </c>
      <c r="E47" s="298" t="s">
        <v>265</v>
      </c>
      <c r="F47" s="298" t="s">
        <v>269</v>
      </c>
      <c r="G47" s="11"/>
      <c r="H47" s="11"/>
      <c r="I47" s="298" t="s">
        <v>264</v>
      </c>
      <c r="J47" s="291" t="s">
        <v>267</v>
      </c>
      <c r="K47" s="298" t="s">
        <v>265</v>
      </c>
      <c r="L47" s="298" t="s">
        <v>269</v>
      </c>
      <c r="M47" s="11"/>
      <c r="N47" s="298" t="s">
        <v>264</v>
      </c>
      <c r="O47" s="291" t="s">
        <v>267</v>
      </c>
      <c r="P47" s="298" t="s">
        <v>265</v>
      </c>
      <c r="Q47" s="298" t="s">
        <v>269</v>
      </c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79">
        <v>555</v>
      </c>
      <c r="C48" s="296" t="s">
        <v>282</v>
      </c>
      <c r="D48" s="290">
        <v>0.2</v>
      </c>
      <c r="E48" s="290">
        <v>3</v>
      </c>
      <c r="F48" s="298" t="s">
        <v>275</v>
      </c>
      <c r="G48" s="11"/>
      <c r="H48" s="11"/>
      <c r="I48" s="279"/>
      <c r="J48" s="290"/>
      <c r="K48" s="291"/>
      <c r="L48" s="298"/>
      <c r="M48" s="11"/>
      <c r="N48" s="279">
        <v>2000</v>
      </c>
      <c r="O48" s="394">
        <v>7.2160000000000002E-2</v>
      </c>
      <c r="P48" s="291">
        <v>4</v>
      </c>
      <c r="Q48" s="298" t="s">
        <v>275</v>
      </c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81"/>
      <c r="C49" s="273"/>
      <c r="D49" s="207"/>
      <c r="E49" s="207"/>
      <c r="F49" s="300"/>
      <c r="G49" s="11"/>
      <c r="H49" s="11"/>
      <c r="I49" s="181"/>
      <c r="J49" s="207"/>
      <c r="K49" s="292"/>
      <c r="L49" s="300"/>
      <c r="M49" s="11"/>
      <c r="N49" s="181">
        <v>3000</v>
      </c>
      <c r="O49" s="207">
        <v>0.41</v>
      </c>
      <c r="P49" s="292">
        <v>5</v>
      </c>
      <c r="Q49" s="300" t="s">
        <v>275</v>
      </c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81"/>
      <c r="C50" s="273"/>
      <c r="D50" s="207"/>
      <c r="E50" s="207"/>
      <c r="F50" s="300"/>
      <c r="G50" s="11"/>
      <c r="H50" s="11"/>
      <c r="I50" s="181"/>
      <c r="J50" s="207"/>
      <c r="K50" s="292"/>
      <c r="L50" s="300"/>
      <c r="M50" s="11"/>
      <c r="N50" s="181">
        <v>4000</v>
      </c>
      <c r="O50" s="207">
        <v>0.11</v>
      </c>
      <c r="P50" s="292">
        <v>6</v>
      </c>
      <c r="Q50" s="300" t="s">
        <v>275</v>
      </c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81"/>
      <c r="C51" s="273"/>
      <c r="D51" s="207"/>
      <c r="E51" s="207"/>
      <c r="F51" s="300"/>
      <c r="G51" s="11"/>
      <c r="H51" s="11"/>
      <c r="I51" s="181"/>
      <c r="J51" s="207"/>
      <c r="K51" s="292"/>
      <c r="L51" s="300"/>
      <c r="M51" s="11"/>
      <c r="N51" s="181">
        <v>5000</v>
      </c>
      <c r="O51" s="207">
        <v>0.13</v>
      </c>
      <c r="P51" s="292">
        <v>7</v>
      </c>
      <c r="Q51" s="300" t="s">
        <v>275</v>
      </c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81"/>
      <c r="C52" s="273"/>
      <c r="D52" s="207"/>
      <c r="E52" s="207"/>
      <c r="F52" s="300"/>
      <c r="G52" s="11"/>
      <c r="H52" s="11"/>
      <c r="I52" s="181"/>
      <c r="J52" s="207"/>
      <c r="K52" s="292"/>
      <c r="L52" s="300"/>
      <c r="M52" s="11"/>
      <c r="N52" s="181"/>
      <c r="O52" s="207"/>
      <c r="P52" s="292"/>
      <c r="Q52" s="300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81"/>
      <c r="C53" s="273"/>
      <c r="D53" s="207"/>
      <c r="E53" s="207"/>
      <c r="F53" s="300"/>
      <c r="G53" s="11"/>
      <c r="H53" s="11"/>
      <c r="I53" s="181"/>
      <c r="J53" s="207"/>
      <c r="K53" s="292"/>
      <c r="L53" s="300"/>
      <c r="M53" s="11"/>
      <c r="N53" s="181"/>
      <c r="O53" s="207"/>
      <c r="P53" s="292"/>
      <c r="Q53" s="300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81"/>
      <c r="C54" s="273"/>
      <c r="D54" s="207"/>
      <c r="E54" s="207"/>
      <c r="F54" s="300"/>
      <c r="G54" s="11"/>
      <c r="H54" s="11"/>
      <c r="I54" s="181"/>
      <c r="J54" s="207"/>
      <c r="K54" s="292"/>
      <c r="L54" s="300"/>
      <c r="M54" s="11"/>
      <c r="N54" s="181"/>
      <c r="O54" s="207"/>
      <c r="P54" s="292"/>
      <c r="Q54" s="300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81"/>
      <c r="C55" s="273"/>
      <c r="D55" s="207"/>
      <c r="E55" s="207"/>
      <c r="F55" s="300"/>
      <c r="G55" s="11"/>
      <c r="H55" s="11"/>
      <c r="I55" s="181"/>
      <c r="J55" s="207"/>
      <c r="K55" s="292"/>
      <c r="L55" s="300"/>
      <c r="M55" s="11"/>
      <c r="N55" s="181"/>
      <c r="O55" s="207"/>
      <c r="P55" s="292"/>
      <c r="Q55" s="300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81"/>
      <c r="C56" s="273"/>
      <c r="D56" s="207"/>
      <c r="E56" s="207"/>
      <c r="F56" s="300"/>
      <c r="G56" s="11"/>
      <c r="H56" s="11"/>
      <c r="I56" s="181"/>
      <c r="J56" s="207"/>
      <c r="K56" s="292"/>
      <c r="L56" s="300"/>
      <c r="M56" s="11"/>
      <c r="N56" s="181"/>
      <c r="O56" s="207"/>
      <c r="P56" s="292"/>
      <c r="Q56" s="300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81"/>
      <c r="C57" s="273"/>
      <c r="D57" s="207"/>
      <c r="E57" s="207"/>
      <c r="F57" s="300"/>
      <c r="G57" s="11"/>
      <c r="H57" s="11"/>
      <c r="I57" s="181"/>
      <c r="J57" s="207"/>
      <c r="K57" s="292"/>
      <c r="L57" s="300"/>
      <c r="M57" s="11"/>
      <c r="N57" s="181"/>
      <c r="O57" s="207"/>
      <c r="P57" s="292"/>
      <c r="Q57" s="300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81"/>
      <c r="C58" s="273"/>
      <c r="D58" s="207"/>
      <c r="E58" s="207"/>
      <c r="F58" s="300"/>
      <c r="G58" s="11"/>
      <c r="H58" s="11"/>
      <c r="I58" s="181"/>
      <c r="J58" s="207"/>
      <c r="K58" s="292"/>
      <c r="L58" s="300"/>
      <c r="M58" s="11"/>
      <c r="N58" s="181"/>
      <c r="O58" s="207"/>
      <c r="P58" s="292"/>
      <c r="Q58" s="300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81"/>
      <c r="C59" s="273"/>
      <c r="D59" s="207"/>
      <c r="E59" s="207"/>
      <c r="F59" s="300"/>
      <c r="G59" s="11"/>
      <c r="H59" s="11"/>
      <c r="I59" s="181"/>
      <c r="J59" s="207"/>
      <c r="K59" s="292"/>
      <c r="L59" s="300"/>
      <c r="M59" s="11"/>
      <c r="N59" s="181"/>
      <c r="O59" s="207"/>
      <c r="P59" s="292"/>
      <c r="Q59" s="300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6"/>
      <c r="C60" s="297"/>
      <c r="D60" s="162"/>
      <c r="E60" s="162"/>
      <c r="F60" s="301"/>
      <c r="G60" s="11"/>
      <c r="H60" s="11"/>
      <c r="I60" s="286"/>
      <c r="J60" s="162"/>
      <c r="K60" s="293"/>
      <c r="L60" s="301"/>
      <c r="M60" s="11"/>
      <c r="N60" s="286"/>
      <c r="O60" s="162"/>
      <c r="P60" s="293"/>
      <c r="Q60" s="30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35"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</sheetData>
  <mergeCells count="7">
    <mergeCell ref="B3:C3"/>
    <mergeCell ref="B46:F46"/>
    <mergeCell ref="I46:L46"/>
    <mergeCell ref="N46:Q46"/>
    <mergeCell ref="I9:M9"/>
    <mergeCell ref="I27:N27"/>
    <mergeCell ref="B9:F9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9FADE1F-C18D-4177-9188-2E8A55B0CCD1}">
          <x14:formula1>
            <xm:f>Sources!$D$14:$D$21</xm:f>
          </x14:formula1>
          <xm:sqref>C11:C23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N29:N41 G29:G41 F48:F60 N11:N23 L48:L60 Q48:Q60</xm:sqref>
        </x14:dataValidation>
        <x14:dataValidation type="list" allowBlank="1" showInputMessage="1" showErrorMessage="1" xr:uid="{A5696FB3-84E9-4321-84E2-28D8B3189C79}">
          <x14:formula1>
            <xm:f>Systemblatt!$N$5:$N$9</xm:f>
          </x14:formula1>
          <xm:sqref>K11 K29:K39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N48:N60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J29:J40 J11:J22 B39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zoomScale="91" zoomScaleNormal="91" workbookViewId="0">
      <selection activeCell="L13" sqref="L1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176</v>
      </c>
      <c r="G9" s="5"/>
      <c r="H9" s="73" t="s">
        <v>30</v>
      </c>
      <c r="I9" s="73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100" t="s">
        <v>77</v>
      </c>
      <c r="T9" s="100" t="s">
        <v>33</v>
      </c>
      <c r="U9" s="100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335</v>
      </c>
      <c r="F10" s="213" t="s">
        <v>177</v>
      </c>
      <c r="G10" s="5"/>
      <c r="H10" s="68" t="s">
        <v>2</v>
      </c>
      <c r="I10" s="69"/>
      <c r="J10" s="216" t="s">
        <v>177</v>
      </c>
      <c r="K10" s="5"/>
      <c r="L10" s="5"/>
      <c r="M10" s="66" t="s">
        <v>73</v>
      </c>
      <c r="N10" s="178">
        <f>2.5/1000</f>
        <v>2.5000000000000001E-3</v>
      </c>
      <c r="O10" s="178"/>
      <c r="P10" s="82"/>
      <c r="Q10" s="180"/>
      <c r="R10" s="5" t="s">
        <v>193</v>
      </c>
      <c r="S10" s="139">
        <v>110</v>
      </c>
      <c r="T10" s="140" t="s">
        <v>331</v>
      </c>
      <c r="U10" s="101">
        <v>1</v>
      </c>
      <c r="V10" s="83"/>
      <c r="W10" s="137">
        <v>11</v>
      </c>
      <c r="X10" s="82">
        <v>110</v>
      </c>
      <c r="Y10" s="262">
        <v>250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100</v>
      </c>
      <c r="F11" s="213" t="s">
        <v>177</v>
      </c>
      <c r="G11" s="5"/>
      <c r="H11" s="68" t="s">
        <v>65</v>
      </c>
      <c r="I11" s="104">
        <f>33000/1000000</f>
        <v>3.3000000000000002E-2</v>
      </c>
      <c r="J11" s="213" t="s">
        <v>186</v>
      </c>
      <c r="K11" s="5"/>
      <c r="L11" s="5"/>
      <c r="M11" s="75" t="s">
        <v>74</v>
      </c>
      <c r="N11" s="124" t="s">
        <v>12</v>
      </c>
      <c r="O11" s="124"/>
      <c r="P11" s="74"/>
      <c r="Q11" s="126"/>
      <c r="R11" s="5" t="s">
        <v>187</v>
      </c>
      <c r="S11" s="102">
        <v>110</v>
      </c>
      <c r="T11" s="103" t="s">
        <v>171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59"/>
      <c r="F12" s="213" t="s">
        <v>177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75" t="s">
        <v>75</v>
      </c>
      <c r="N12" s="124" t="s">
        <v>172</v>
      </c>
      <c r="O12" s="124"/>
      <c r="P12" s="74"/>
      <c r="Q12" s="126"/>
      <c r="R12" s="5"/>
      <c r="S12" s="102">
        <v>110</v>
      </c>
      <c r="T12" s="124" t="s">
        <v>172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/>
      <c r="F13" s="213" t="s">
        <v>177</v>
      </c>
      <c r="G13" s="5"/>
      <c r="H13" s="68" t="s">
        <v>67</v>
      </c>
      <c r="I13" s="104">
        <v>0.6</v>
      </c>
      <c r="J13" s="213" t="s">
        <v>177</v>
      </c>
      <c r="K13" s="5"/>
      <c r="L13" s="5"/>
      <c r="M13" s="75"/>
      <c r="N13" s="124" t="s">
        <v>171</v>
      </c>
      <c r="O13" s="74"/>
      <c r="P13" s="74"/>
      <c r="Q13" s="69"/>
      <c r="R13" s="5"/>
      <c r="S13" s="102">
        <v>110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20</v>
      </c>
      <c r="F14" s="213" t="s">
        <v>177</v>
      </c>
      <c r="G14" s="5"/>
      <c r="H14" s="68" t="s">
        <v>68</v>
      </c>
      <c r="I14" s="104">
        <v>2018</v>
      </c>
      <c r="J14" s="213" t="s">
        <v>189</v>
      </c>
      <c r="K14" s="5"/>
      <c r="L14" s="5"/>
      <c r="M14" s="76"/>
      <c r="N14" s="74" t="s">
        <v>331</v>
      </c>
      <c r="O14" s="74"/>
      <c r="P14" s="74"/>
      <c r="Q14" s="69"/>
      <c r="R14" s="5"/>
      <c r="S14" s="102">
        <v>110</v>
      </c>
      <c r="T14" s="74" t="s">
        <v>333</v>
      </c>
      <c r="U14" s="30">
        <v>0.05</v>
      </c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177</v>
      </c>
      <c r="G15" s="5"/>
      <c r="H15" s="75" t="s">
        <v>69</v>
      </c>
      <c r="I15" s="69" t="s">
        <v>12</v>
      </c>
      <c r="J15" s="213" t="s">
        <v>187</v>
      </c>
      <c r="K15" s="5"/>
      <c r="L15" s="5"/>
      <c r="M15" s="76"/>
      <c r="N15" s="74" t="s">
        <v>169</v>
      </c>
      <c r="O15" s="74"/>
      <c r="P15" s="74"/>
      <c r="Q15" s="69"/>
      <c r="R15" s="5"/>
      <c r="S15" s="50">
        <v>250</v>
      </c>
      <c r="T15" s="103" t="s">
        <v>333</v>
      </c>
      <c r="U15" s="104">
        <v>0.95</v>
      </c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177</v>
      </c>
      <c r="G16" s="5"/>
      <c r="H16" s="240" t="s">
        <v>53</v>
      </c>
      <c r="I16" s="241" t="s">
        <v>171</v>
      </c>
      <c r="J16" s="213" t="s">
        <v>177</v>
      </c>
      <c r="K16" s="5"/>
      <c r="L16" s="5"/>
      <c r="M16" s="76"/>
      <c r="N16" s="74" t="s">
        <v>333</v>
      </c>
      <c r="O16" s="74"/>
      <c r="P16" s="74"/>
      <c r="Q16" s="69"/>
      <c r="R16" s="5"/>
      <c r="S16" s="50">
        <v>110</v>
      </c>
      <c r="T16" s="103" t="s">
        <v>14</v>
      </c>
      <c r="U16" s="104">
        <v>0.5</v>
      </c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181</v>
      </c>
      <c r="G17" s="5"/>
      <c r="H17" s="217"/>
      <c r="I17" s="242" t="s">
        <v>172</v>
      </c>
      <c r="J17" s="213" t="s">
        <v>177</v>
      </c>
      <c r="K17" s="5"/>
      <c r="L17" s="5"/>
      <c r="M17" s="76"/>
      <c r="N17" s="74"/>
      <c r="O17" s="74"/>
      <c r="P17" s="74"/>
      <c r="Q17" s="69"/>
      <c r="R17" s="5"/>
      <c r="S17" s="50">
        <v>250</v>
      </c>
      <c r="T17" s="124" t="s">
        <v>14</v>
      </c>
      <c r="U17" s="126">
        <v>0.5</v>
      </c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181</v>
      </c>
      <c r="G18" s="5"/>
      <c r="H18" s="76"/>
      <c r="I18" s="242" t="s">
        <v>331</v>
      </c>
      <c r="J18" s="213" t="s">
        <v>177</v>
      </c>
      <c r="K18" s="5"/>
      <c r="L18" s="5"/>
      <c r="M18" s="76"/>
      <c r="N18" s="74"/>
      <c r="O18" s="74"/>
      <c r="P18" s="74"/>
      <c r="Q18" s="69"/>
      <c r="R18" s="5"/>
      <c r="S18" s="50"/>
      <c r="T18" s="119"/>
      <c r="U18" s="120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181</v>
      </c>
      <c r="G19" s="5"/>
      <c r="H19" s="76"/>
      <c r="I19" s="242" t="s">
        <v>169</v>
      </c>
      <c r="J19" s="213" t="s">
        <v>177</v>
      </c>
      <c r="K19" s="5"/>
      <c r="L19" s="5"/>
      <c r="M19" s="76"/>
      <c r="N19" s="74"/>
      <c r="O19" s="74"/>
      <c r="P19" s="74"/>
      <c r="Q19" s="69"/>
      <c r="R19" s="5"/>
      <c r="S19" s="50"/>
      <c r="T19" s="74"/>
      <c r="U19" s="30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181</v>
      </c>
      <c r="G20" s="5"/>
      <c r="H20" s="76"/>
      <c r="I20" s="242" t="s">
        <v>333</v>
      </c>
      <c r="J20" s="213" t="s">
        <v>177</v>
      </c>
      <c r="K20" s="5"/>
      <c r="L20" s="5"/>
      <c r="M20" s="109"/>
      <c r="N20" s="74"/>
      <c r="O20" s="74"/>
      <c r="P20" s="74"/>
      <c r="Q20" s="69"/>
      <c r="R20" s="5"/>
      <c r="S20" s="50"/>
      <c r="T20" s="103"/>
      <c r="U20" s="104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242"/>
      <c r="J21" s="213" t="s">
        <v>177</v>
      </c>
      <c r="K21" s="5"/>
      <c r="L21" s="5"/>
      <c r="M21" s="109"/>
      <c r="N21" s="74"/>
      <c r="O21" s="74"/>
      <c r="P21" s="74"/>
      <c r="Q21" s="69"/>
      <c r="R21" s="5"/>
      <c r="S21" s="50"/>
      <c r="T21" s="103"/>
      <c r="U21" s="104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177</v>
      </c>
      <c r="G22" s="5"/>
      <c r="H22" s="109"/>
      <c r="I22" s="242"/>
      <c r="J22" s="213" t="s">
        <v>177</v>
      </c>
      <c r="K22" s="5"/>
      <c r="L22" s="5"/>
      <c r="M22" s="109"/>
      <c r="N22" s="74"/>
      <c r="O22" s="74"/>
      <c r="P22" s="74"/>
      <c r="Q22" s="69"/>
      <c r="R22" s="5"/>
      <c r="S22" s="50"/>
      <c r="T22" s="124"/>
      <c r="U22" s="126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177</v>
      </c>
      <c r="G23" s="5"/>
      <c r="H23" s="109"/>
      <c r="I23" s="243"/>
      <c r="J23" s="213" t="s">
        <v>177</v>
      </c>
      <c r="K23" s="5"/>
      <c r="L23" s="5"/>
      <c r="M23" s="109"/>
      <c r="N23" s="74"/>
      <c r="O23" s="74"/>
      <c r="P23" s="74"/>
      <c r="Q23" s="69"/>
      <c r="R23" s="5"/>
      <c r="S23" s="50"/>
      <c r="T23" s="119"/>
      <c r="U23" s="120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177</v>
      </c>
      <c r="G24" s="11"/>
      <c r="H24" s="109"/>
      <c r="I24" s="243"/>
      <c r="J24" s="213" t="s">
        <v>177</v>
      </c>
      <c r="K24" s="11"/>
      <c r="L24" s="11"/>
      <c r="M24" s="109"/>
      <c r="N24" s="74"/>
      <c r="O24" s="74"/>
      <c r="P24" s="74"/>
      <c r="Q24" s="69"/>
      <c r="R24" s="5"/>
      <c r="S24" s="50"/>
      <c r="T24" s="74"/>
      <c r="U24" s="30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177</v>
      </c>
      <c r="G25" s="11"/>
      <c r="H25" s="109"/>
      <c r="I25" s="243"/>
      <c r="J25" s="213" t="s">
        <v>177</v>
      </c>
      <c r="K25" s="11"/>
      <c r="L25" s="11"/>
      <c r="M25" s="109"/>
      <c r="N25" s="74"/>
      <c r="O25" s="74"/>
      <c r="P25" s="74"/>
      <c r="Q25" s="69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177</v>
      </c>
      <c r="G26" s="5"/>
      <c r="H26" s="109"/>
      <c r="I26" s="243"/>
      <c r="J26" s="213" t="s">
        <v>177</v>
      </c>
      <c r="K26" s="5"/>
      <c r="L26" s="5"/>
      <c r="M26" s="109"/>
      <c r="N26" s="74"/>
      <c r="O26" s="74"/>
      <c r="P26" s="74"/>
      <c r="Q26" s="69"/>
      <c r="R26" s="5"/>
      <c r="S26" s="218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215</v>
      </c>
      <c r="E27" s="228">
        <f>Systemblatt!C11</f>
        <v>8000</v>
      </c>
      <c r="F27" s="229" t="s">
        <v>179</v>
      </c>
      <c r="G27" s="5"/>
      <c r="H27" s="110"/>
      <c r="I27" s="244"/>
      <c r="J27" s="214" t="s">
        <v>177</v>
      </c>
      <c r="K27" s="5"/>
      <c r="L27" s="5"/>
      <c r="M27" s="110"/>
      <c r="N27" s="112"/>
      <c r="O27" s="112"/>
      <c r="P27" s="112"/>
      <c r="Q27" s="71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329" t="s">
        <v>342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>
        <v>250</v>
      </c>
      <c r="I30" s="5" t="s">
        <v>343</v>
      </c>
      <c r="J30" s="5"/>
      <c r="K30" s="5"/>
      <c r="L30" s="5"/>
      <c r="M30" s="329"/>
      <c r="N30" s="5"/>
      <c r="O30" s="5"/>
      <c r="P30" s="5"/>
      <c r="Q30" s="5"/>
      <c r="R30" s="5"/>
      <c r="S30" s="398" t="s">
        <v>337</v>
      </c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3" t="s">
        <v>344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 t="s">
        <v>345</v>
      </c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 t="s">
        <v>346</v>
      </c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H29" r:id="rId1" display="https://jh-starchmachine.en.made-in-china.com/product/TZsfrGgXbBRW/China-High-Speed-250kw-Rasper-Equipment-Cassava-Starch-Production-Line-Cassava-Crushing-Machine.html" xr:uid="{6FF9581C-E244-4579-A591-16C0F8E894D4}"/>
  </hyperlinks>
  <pageMargins left="0.7" right="0.7" top="0.78740157499999996" bottom="0.78740157499999996" header="0.3" footer="0.3"/>
  <pageSetup paperSize="0" orientation="portrait"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A51F-61AF-4E3B-910C-A19374473D62}">
  <sheetPr codeName="Tabelle48"/>
  <dimension ref="A1:AJ144"/>
  <sheetViews>
    <sheetView tabSelected="1" zoomScale="75" zoomScaleNormal="47" workbookViewId="0">
      <selection activeCell="E10" sqref="E1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5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5" width="27.26953125" style="3" bestFit="1" customWidth="1"/>
    <col min="16" max="16" width="25.81640625" style="3" bestFit="1" customWidth="1"/>
    <col min="17" max="17" width="15.26953125" style="3" customWidth="1"/>
    <col min="18" max="18" width="18.089843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176</v>
      </c>
      <c r="G9" s="5"/>
      <c r="H9" s="73" t="s">
        <v>30</v>
      </c>
      <c r="I9" s="73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336</v>
      </c>
      <c r="F10" s="213" t="s">
        <v>177</v>
      </c>
      <c r="G10" s="5"/>
      <c r="H10" s="66" t="s">
        <v>2</v>
      </c>
      <c r="I10" s="67"/>
      <c r="J10" s="216" t="s">
        <v>177</v>
      </c>
      <c r="K10" s="5"/>
      <c r="L10" s="5"/>
      <c r="M10" s="66" t="s">
        <v>73</v>
      </c>
      <c r="N10" s="178"/>
      <c r="O10" s="178">
        <v>1.5</v>
      </c>
      <c r="P10" s="179"/>
      <c r="Q10" s="180"/>
      <c r="R10" s="5" t="s">
        <v>193</v>
      </c>
      <c r="S10" s="139">
        <v>888</v>
      </c>
      <c r="T10" s="140" t="s">
        <v>331</v>
      </c>
      <c r="U10" s="101">
        <v>1</v>
      </c>
      <c r="V10" s="83"/>
      <c r="W10" s="137"/>
      <c r="X10" s="82">
        <v>888</v>
      </c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110</v>
      </c>
      <c r="F11" s="213" t="s">
        <v>177</v>
      </c>
      <c r="G11" s="5"/>
      <c r="H11" s="68" t="s">
        <v>65</v>
      </c>
      <c r="I11" s="104">
        <v>2</v>
      </c>
      <c r="J11" s="213" t="s">
        <v>186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187</v>
      </c>
      <c r="S11" s="102">
        <v>888</v>
      </c>
      <c r="T11" s="103" t="s">
        <v>171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177</v>
      </c>
      <c r="G12" s="5"/>
      <c r="H12" s="68" t="s">
        <v>66</v>
      </c>
      <c r="I12" s="104">
        <v>1</v>
      </c>
      <c r="J12" s="213" t="str">
        <f>J15</f>
        <v>t/h</v>
      </c>
      <c r="K12" s="5"/>
      <c r="L12" s="5"/>
      <c r="M12" s="245" t="s">
        <v>75</v>
      </c>
      <c r="N12" s="253"/>
      <c r="O12" s="178" t="s">
        <v>14</v>
      </c>
      <c r="P12" s="179"/>
      <c r="Q12" s="180"/>
      <c r="R12" s="5"/>
      <c r="S12" s="102">
        <v>888</v>
      </c>
      <c r="T12" s="124" t="s">
        <v>172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177</v>
      </c>
      <c r="G13" s="5"/>
      <c r="H13" s="68" t="s">
        <v>67</v>
      </c>
      <c r="I13" s="104">
        <v>0.6</v>
      </c>
      <c r="J13" s="213" t="s">
        <v>177</v>
      </c>
      <c r="K13" s="5"/>
      <c r="L13" s="5"/>
      <c r="M13" s="246"/>
      <c r="N13" s="125"/>
      <c r="O13" s="74"/>
      <c r="P13" s="74"/>
      <c r="Q13" s="69"/>
      <c r="R13" s="5"/>
      <c r="S13" s="102">
        <v>888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>
        <v>2018</v>
      </c>
      <c r="J14" s="213" t="s">
        <v>189</v>
      </c>
      <c r="K14" s="5"/>
      <c r="L14" s="5"/>
      <c r="M14" s="247"/>
      <c r="N14" s="109"/>
      <c r="O14" s="78"/>
      <c r="P14" s="78"/>
      <c r="Q14" s="81"/>
      <c r="R14" s="5"/>
      <c r="S14" s="50">
        <v>888</v>
      </c>
      <c r="T14" s="74" t="s">
        <v>333</v>
      </c>
      <c r="U14" s="30">
        <v>1</v>
      </c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177</v>
      </c>
      <c r="G15" s="5"/>
      <c r="H15" s="257" t="s">
        <v>69</v>
      </c>
      <c r="I15" s="69" t="s">
        <v>12</v>
      </c>
      <c r="J15" s="213" t="s">
        <v>187</v>
      </c>
      <c r="K15" s="5"/>
      <c r="L15" s="5"/>
      <c r="M15" s="247"/>
      <c r="N15" s="109"/>
      <c r="O15" s="78"/>
      <c r="P15" s="78"/>
      <c r="Q15" s="81"/>
      <c r="R15" s="5"/>
      <c r="S15" s="50">
        <v>888</v>
      </c>
      <c r="T15" s="74" t="s">
        <v>14</v>
      </c>
      <c r="U15" s="30">
        <v>0.05</v>
      </c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177</v>
      </c>
      <c r="G16" s="5"/>
      <c r="H16" s="240" t="s">
        <v>53</v>
      </c>
      <c r="I16" s="241" t="s">
        <v>14</v>
      </c>
      <c r="J16" s="216" t="s">
        <v>177</v>
      </c>
      <c r="K16" s="5"/>
      <c r="L16" s="5"/>
      <c r="M16" s="247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192</v>
      </c>
      <c r="G17" s="5"/>
      <c r="H17" s="75"/>
      <c r="I17" s="242" t="s">
        <v>172</v>
      </c>
      <c r="J17" s="213" t="s">
        <v>177</v>
      </c>
      <c r="K17" s="5"/>
      <c r="L17" s="5"/>
      <c r="M17" s="247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80</v>
      </c>
      <c r="F18" s="213" t="s">
        <v>192</v>
      </c>
      <c r="G18" s="5"/>
      <c r="H18" s="76"/>
      <c r="I18" s="242" t="s">
        <v>333</v>
      </c>
      <c r="J18" s="213" t="s">
        <v>177</v>
      </c>
      <c r="K18" s="5"/>
      <c r="L18" s="5"/>
      <c r="M18" s="247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192</v>
      </c>
      <c r="G19" s="5"/>
      <c r="H19" s="76"/>
      <c r="I19" s="242" t="s">
        <v>331</v>
      </c>
      <c r="J19" s="213" t="s">
        <v>177</v>
      </c>
      <c r="K19" s="5"/>
      <c r="L19" s="5"/>
      <c r="M19" s="247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192</v>
      </c>
      <c r="G20" s="5"/>
      <c r="H20" s="76"/>
      <c r="I20" s="242"/>
      <c r="J20" s="213" t="s">
        <v>177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242"/>
      <c r="J21" s="213" t="s">
        <v>177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177</v>
      </c>
      <c r="G22" s="5"/>
      <c r="H22" s="109"/>
      <c r="I22" s="242"/>
      <c r="J22" s="213" t="s">
        <v>177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177</v>
      </c>
      <c r="G23" s="5"/>
      <c r="H23" s="109"/>
      <c r="I23" s="243"/>
      <c r="J23" s="213" t="s">
        <v>177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177</v>
      </c>
      <c r="G24" s="11"/>
      <c r="H24" s="109"/>
      <c r="I24" s="243"/>
      <c r="J24" s="213" t="s">
        <v>177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177</v>
      </c>
      <c r="G25" s="11"/>
      <c r="H25" s="109"/>
      <c r="I25" s="243"/>
      <c r="J25" s="213" t="s">
        <v>177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177</v>
      </c>
      <c r="G26" s="5"/>
      <c r="H26" s="109"/>
      <c r="I26" s="243"/>
      <c r="J26" s="213" t="s">
        <v>177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179</v>
      </c>
      <c r="G27" s="5"/>
      <c r="H27" s="110"/>
      <c r="I27" s="244"/>
      <c r="J27" s="214" t="s">
        <v>177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329" t="s">
        <v>338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398" t="s">
        <v>339</v>
      </c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M30" r:id="rId1" display="https://www.researchgate.net/figure/Sliced-crop-data-on-solar-drying-potential_tbl1_304771464" xr:uid="{C5CD2317-87F1-490E-A573-7ED60662C860}"/>
  </hyperlinks>
  <pageMargins left="0.7" right="0.7" top="0.78740157499999996" bottom="0.78740157499999996" header="0.3" footer="0.3"/>
  <pageSetup paperSize="0" orientation="portrait"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57437FA-246E-42D8-A053-88AFCB889E3A}">
          <x14:formula1>
            <xm:f>Systemblatt!$F$5:$F$38</xm:f>
          </x14:formula1>
          <xm:sqref>I16:I27 N13 N12:Q12 N14:Q27 AE10:AE27 AC10:AC27 T10:T27</xm:sqref>
        </x14:dataValidation>
        <x14:dataValidation type="list" allowBlank="1" showInputMessage="1" showErrorMessage="1" xr:uid="{1B62ED8E-B0C8-45C0-B1F9-31DCF83EFDE1}">
          <x14:formula1>
            <xm:f>Systemblatt!$F$5:$F$11</xm:f>
          </x14:formula1>
          <xm:sqref>K16:K17</xm:sqref>
        </x14:dataValidation>
        <x14:dataValidation type="list" allowBlank="1" showInputMessage="1" showErrorMessage="1" xr:uid="{7294A592-7423-4F55-9210-74B847211C67}">
          <x14:formula1>
            <xm:f>DataBank!$A$3:$A$11</xm:f>
          </x14:formula1>
          <xm:sqref>N11</xm:sqref>
        </x14:dataValidation>
        <x14:dataValidation type="list" allowBlank="1" showInputMessage="1" showErrorMessage="1" xr:uid="{B1F05C9E-7A6C-49F8-8949-6BD2DE17C3F5}">
          <x14:formula1>
            <xm:f>Sources!$E$6:$O$6</xm:f>
          </x14:formula1>
          <xm:sqref>O13:Q13</xm:sqref>
        </x14:dataValidation>
        <x14:dataValidation type="list" allowBlank="1" showInputMessage="1" showErrorMessage="1" xr:uid="{668CE088-470D-4AFF-AAA2-8C002252F09D}">
          <x14:formula1>
            <xm:f>DataBank!$B$2:$B$3</xm:f>
          </x14:formula1>
          <xm:sqref>J15</xm:sqref>
        </x14:dataValidation>
        <x14:dataValidation type="list" allowBlank="1" showInputMessage="1" showErrorMessage="1" xr:uid="{14E20A30-9E74-4823-B795-806865D6F910}">
          <x14:formula1>
            <xm:f>Sources!$E$7:$O$7</xm:f>
          </x14:formula1>
          <xm:sqref>W10:W27</xm:sqref>
        </x14:dataValidation>
        <x14:dataValidation type="list" allowBlank="1" showInputMessage="1" showErrorMessage="1" xr:uid="{5C065EB8-56F5-4599-A3BB-14CDA3F1C9B6}">
          <x14:formula1>
            <xm:f>DataBank!$K$17:$K$18</xm:f>
          </x14:formula1>
          <xm:sqref>E26</xm:sqref>
        </x14:dataValidation>
        <x14:dataValidation type="list" allowBlank="1" showInputMessage="1" showErrorMessage="1" xr:uid="{CBBBE327-E161-4C1C-8F27-A189BD17F5A3}">
          <x14:formula1>
            <xm:f>DataBank!$A$3:$A$10</xm:f>
          </x14:formula1>
          <xm:sqref>O11:Q11</xm:sqref>
        </x14:dataValidation>
        <x14:dataValidation type="list" allowBlank="1" showInputMessage="1" showErrorMessage="1" xr:uid="{0E42D66E-8993-4384-92AF-81932F9A9D3D}">
          <x14:formula1>
            <xm:f>DataBank!$C$2:$C$7</xm:f>
          </x14:formula1>
          <xm:sqref>I15</xm:sqref>
        </x14:dataValidation>
        <x14:dataValidation type="list" allowBlank="1" showInputMessage="1" showErrorMessage="1" xr:uid="{72C52CF7-BCB1-4A24-8BAE-4E5CA6B30A42}">
          <x14:formula1>
            <xm:f>DataBank!$A$3:$A$4</xm:f>
          </x14:formula1>
          <xm:sqref>AB10 AD10</xm:sqref>
        </x14:dataValidation>
        <x14:dataValidation type="list" allowBlank="1" showInputMessage="1" showErrorMessage="1" xr:uid="{5FD9002A-19C2-492B-9A38-20F345A62EC9}">
          <x14:formula1>
            <xm:f>DataBank!$A$3:$A$5</xm:f>
          </x14:formula1>
          <xm:sqref>K15</xm:sqref>
        </x14:dataValidation>
        <x14:dataValidation type="whole" allowBlank="1" showInputMessage="1" showErrorMessage="1" xr:uid="{74CBFA8B-E773-4DCD-BBF6-F988790CEA00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294E-9CA4-4B55-871B-A6C4BF3C7578}">
  <sheetPr codeName="Tabelle49"/>
  <dimension ref="A1:AJ144"/>
  <sheetViews>
    <sheetView zoomScale="75" zoomScaleNormal="47" workbookViewId="0">
      <selection activeCell="J34" sqref="J34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9.269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5" width="27.26953125" style="3" bestFit="1" customWidth="1"/>
    <col min="16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176</v>
      </c>
      <c r="G9" s="5"/>
      <c r="H9" s="73" t="s">
        <v>30</v>
      </c>
      <c r="I9" s="73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347</v>
      </c>
      <c r="F10" s="213" t="s">
        <v>177</v>
      </c>
      <c r="G10" s="5"/>
      <c r="H10" s="66" t="s">
        <v>2</v>
      </c>
      <c r="I10" s="67"/>
      <c r="J10" s="216" t="s">
        <v>177</v>
      </c>
      <c r="K10" s="5"/>
      <c r="L10" s="5"/>
      <c r="M10" s="66" t="s">
        <v>73</v>
      </c>
      <c r="N10" s="178">
        <v>0.01</v>
      </c>
      <c r="O10" s="178">
        <v>1.5</v>
      </c>
      <c r="P10" s="179"/>
      <c r="Q10" s="180"/>
      <c r="R10" s="5" t="s">
        <v>193</v>
      </c>
      <c r="S10" s="102">
        <v>5000</v>
      </c>
      <c r="T10" s="103" t="s">
        <v>333</v>
      </c>
      <c r="U10" s="104">
        <v>1</v>
      </c>
      <c r="V10" s="83"/>
      <c r="W10" s="137"/>
      <c r="X10" s="82">
        <v>5000</v>
      </c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250</v>
      </c>
      <c r="F11" s="213" t="s">
        <v>177</v>
      </c>
      <c r="G11" s="5"/>
      <c r="H11" s="68" t="s">
        <v>65</v>
      </c>
      <c r="I11" s="104">
        <v>2</v>
      </c>
      <c r="J11" s="213" t="s">
        <v>186</v>
      </c>
      <c r="K11" s="5"/>
      <c r="L11" s="5"/>
      <c r="M11" s="75" t="s">
        <v>74</v>
      </c>
      <c r="N11" s="124" t="s">
        <v>12</v>
      </c>
      <c r="O11" s="124" t="s">
        <v>12</v>
      </c>
      <c r="P11" s="78"/>
      <c r="Q11" s="126"/>
      <c r="R11" s="5" t="s">
        <v>187</v>
      </c>
      <c r="S11" s="102">
        <v>5000</v>
      </c>
      <c r="T11" s="103" t="s">
        <v>14</v>
      </c>
      <c r="U11" s="104">
        <v>0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177</v>
      </c>
      <c r="G12" s="5"/>
      <c r="H12" s="68" t="s">
        <v>66</v>
      </c>
      <c r="I12" s="104">
        <v>1</v>
      </c>
      <c r="J12" s="213" t="str">
        <f>J15</f>
        <v>t/h</v>
      </c>
      <c r="K12" s="5"/>
      <c r="L12" s="5"/>
      <c r="M12" s="245" t="s">
        <v>75</v>
      </c>
      <c r="N12" s="253" t="s">
        <v>333</v>
      </c>
      <c r="O12" s="178" t="s">
        <v>14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177</v>
      </c>
      <c r="G13" s="5"/>
      <c r="H13" s="68" t="s">
        <v>67</v>
      </c>
      <c r="I13" s="104">
        <v>0.1</v>
      </c>
      <c r="J13" s="213" t="s">
        <v>177</v>
      </c>
      <c r="K13" s="5"/>
      <c r="L13" s="5"/>
      <c r="M13" s="246"/>
      <c r="N13" s="125" t="s">
        <v>14</v>
      </c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>
        <v>2018</v>
      </c>
      <c r="J14" s="213" t="s">
        <v>189</v>
      </c>
      <c r="K14" s="5"/>
      <c r="L14" s="5"/>
      <c r="M14" s="247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177</v>
      </c>
      <c r="G15" s="5"/>
      <c r="H15" s="257" t="s">
        <v>69</v>
      </c>
      <c r="I15" s="69" t="s">
        <v>12</v>
      </c>
      <c r="J15" s="213" t="s">
        <v>187</v>
      </c>
      <c r="K15" s="5"/>
      <c r="L15" s="5"/>
      <c r="M15" s="247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177</v>
      </c>
      <c r="G16" s="5"/>
      <c r="H16" s="240" t="s">
        <v>53</v>
      </c>
      <c r="I16" s="241" t="s">
        <v>333</v>
      </c>
      <c r="J16" s="216" t="s">
        <v>177</v>
      </c>
      <c r="K16" s="5"/>
      <c r="L16" s="5"/>
      <c r="M16" s="247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192</v>
      </c>
      <c r="G17" s="5"/>
      <c r="H17" s="75"/>
      <c r="I17" s="242"/>
      <c r="J17" s="213" t="s">
        <v>177</v>
      </c>
      <c r="K17" s="5"/>
      <c r="L17" s="5"/>
      <c r="M17" s="247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192</v>
      </c>
      <c r="G18" s="5"/>
      <c r="H18" s="76"/>
      <c r="I18" s="242"/>
      <c r="J18" s="213" t="s">
        <v>177</v>
      </c>
      <c r="K18" s="5"/>
      <c r="L18" s="5"/>
      <c r="M18" s="247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192</v>
      </c>
      <c r="G19" s="5"/>
      <c r="H19" s="76"/>
      <c r="I19" s="242"/>
      <c r="J19" s="213" t="s">
        <v>177</v>
      </c>
      <c r="K19" s="5"/>
      <c r="L19" s="5"/>
      <c r="M19" s="247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192</v>
      </c>
      <c r="G20" s="5"/>
      <c r="H20" s="76"/>
      <c r="I20" s="242"/>
      <c r="J20" s="213" t="s">
        <v>177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242"/>
      <c r="J21" s="213" t="s">
        <v>177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177</v>
      </c>
      <c r="G22" s="5"/>
      <c r="H22" s="109"/>
      <c r="I22" s="242"/>
      <c r="J22" s="213" t="s">
        <v>177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177</v>
      </c>
      <c r="G23" s="5"/>
      <c r="H23" s="109"/>
      <c r="I23" s="243"/>
      <c r="J23" s="213" t="s">
        <v>177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177</v>
      </c>
      <c r="G24" s="11"/>
      <c r="H24" s="109"/>
      <c r="I24" s="243"/>
      <c r="J24" s="213" t="s">
        <v>177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177</v>
      </c>
      <c r="G25" s="11"/>
      <c r="H25" s="109"/>
      <c r="I25" s="243"/>
      <c r="J25" s="213" t="s">
        <v>177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177</v>
      </c>
      <c r="G26" s="5"/>
      <c r="H26" s="109"/>
      <c r="I26" s="243"/>
      <c r="J26" s="213" t="s">
        <v>177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179</v>
      </c>
      <c r="G27" s="5"/>
      <c r="H27" s="110"/>
      <c r="I27" s="244"/>
      <c r="J27" s="214" t="s">
        <v>177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 t="s">
        <v>340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329" t="s">
        <v>338</v>
      </c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398" t="s">
        <v>339</v>
      </c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M31" r:id="rId1" display="https://www.researchgate.net/figure/Sliced-crop-data-on-solar-drying-potential_tbl1_304771464" xr:uid="{224DEB4E-4C43-4537-AA57-C83A19D0BE53}"/>
  </hyperlinks>
  <pageMargins left="0.7" right="0.7" top="0.78740157499999996" bottom="0.78740157499999996" header="0.3" footer="0.3"/>
  <pageSetup paperSize="0" orientation="portrait"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1FA1F1B2-D355-4A5A-95C2-3E4E8C48924E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4C8CE2FE-039D-4216-90FB-4D54F2ED8733}">
          <x14:formula1>
            <xm:f>Systemblatt!$F$5:$F$11</xm:f>
          </x14:formula1>
          <xm:sqref>K16:K17</xm:sqref>
        </x14:dataValidation>
        <x14:dataValidation type="list" allowBlank="1" showInputMessage="1" showErrorMessage="1" xr:uid="{2F7CD9E3-085B-45B0-9DA2-7FBA9A3EA5E0}">
          <x14:formula1>
            <xm:f>DataBank!$A$3:$A$11</xm:f>
          </x14:formula1>
          <xm:sqref>N11</xm:sqref>
        </x14:dataValidation>
        <x14:dataValidation type="list" allowBlank="1" showInputMessage="1" showErrorMessage="1" xr:uid="{38A04B6A-D3F7-4054-AC24-72C1FDE32A1A}">
          <x14:formula1>
            <xm:f>Sources!$E$6:$O$6</xm:f>
          </x14:formula1>
          <xm:sqref>O13:Q13</xm:sqref>
        </x14:dataValidation>
        <x14:dataValidation type="list" allowBlank="1" showInputMessage="1" showErrorMessage="1" xr:uid="{2EFF62CE-EB27-457B-9294-138367318E7B}">
          <x14:formula1>
            <xm:f>DataBank!$B$2:$B$3</xm:f>
          </x14:formula1>
          <xm:sqref>J15</xm:sqref>
        </x14:dataValidation>
        <x14:dataValidation type="list" allowBlank="1" showInputMessage="1" showErrorMessage="1" xr:uid="{5A2BF8F8-39B6-4F29-A04E-6C3AE294400C}">
          <x14:formula1>
            <xm:f>Sources!$E$7:$O$7</xm:f>
          </x14:formula1>
          <xm:sqref>W10:W27</xm:sqref>
        </x14:dataValidation>
        <x14:dataValidation type="list" allowBlank="1" showInputMessage="1" showErrorMessage="1" xr:uid="{37AD9025-B70C-41ED-BE73-24E82D07EBCB}">
          <x14:formula1>
            <xm:f>DataBank!$K$17:$K$18</xm:f>
          </x14:formula1>
          <xm:sqref>E26</xm:sqref>
        </x14:dataValidation>
        <x14:dataValidation type="list" allowBlank="1" showInputMessage="1" showErrorMessage="1" xr:uid="{778B4396-F9B7-448B-BBE3-F7925BA2280A}">
          <x14:formula1>
            <xm:f>DataBank!$A$3:$A$10</xm:f>
          </x14:formula1>
          <xm:sqref>O11:Q11</xm:sqref>
        </x14:dataValidation>
        <x14:dataValidation type="list" allowBlank="1" showInputMessage="1" showErrorMessage="1" xr:uid="{7EB9422E-A4EF-4C9A-B857-05A10EDE23E0}">
          <x14:formula1>
            <xm:f>DataBank!$C$2:$C$7</xm:f>
          </x14:formula1>
          <xm:sqref>I15</xm:sqref>
        </x14:dataValidation>
        <x14:dataValidation type="list" allowBlank="1" showInputMessage="1" showErrorMessage="1" xr:uid="{607F73F8-8420-464B-8FA9-ACAE1D0931E2}">
          <x14:formula1>
            <xm:f>DataBank!$A$3:$A$4</xm:f>
          </x14:formula1>
          <xm:sqref>AB10 AD10</xm:sqref>
        </x14:dataValidation>
        <x14:dataValidation type="list" allowBlank="1" showInputMessage="1" showErrorMessage="1" xr:uid="{AFBB5AF2-04C5-4FB0-9B8F-D4540B41C5F0}">
          <x14:formula1>
            <xm:f>DataBank!$A$3:$A$5</xm:f>
          </x14:formula1>
          <xm:sqref>K15</xm:sqref>
        </x14:dataValidation>
        <x14:dataValidation type="whole" allowBlank="1" showInputMessage="1" showErrorMessage="1" xr:uid="{438E4249-BC7A-43A7-B8E9-A1B297456DAD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0A6C-4743-4FFE-BD33-048604A28EA1}">
  <sheetPr codeName="Tabelle12"/>
  <dimension ref="A1:AO137"/>
  <sheetViews>
    <sheetView zoomScale="76" zoomScaleNormal="60" workbookViewId="0">
      <selection activeCell="E11" sqref="E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7" width="15.26953125" style="3" customWidth="1"/>
    <col min="18" max="18" width="17.81640625" style="3" bestFit="1" customWidth="1"/>
    <col min="19" max="19" width="22.81640625" style="3" customWidth="1"/>
    <col min="20" max="20" width="26.26953125" style="3" customWidth="1"/>
    <col min="21" max="22" width="10.81640625" style="3"/>
    <col min="23" max="23" width="29.54296875" style="3" bestFit="1" customWidth="1"/>
    <col min="24" max="24" width="19.453125" style="3" bestFit="1" customWidth="1"/>
    <col min="25" max="25" width="18.1796875" style="3" bestFit="1" customWidth="1"/>
    <col min="26" max="26" width="21.81640625" style="3" customWidth="1"/>
    <col min="27" max="27" width="10.81640625" style="3"/>
    <col min="28" max="28" width="31.453125" style="3" bestFit="1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5"/>
      <c r="L8" s="5"/>
      <c r="M8" s="316" t="s">
        <v>70</v>
      </c>
      <c r="N8" s="317"/>
      <c r="O8" s="317"/>
      <c r="P8" s="317"/>
      <c r="Q8" s="318"/>
      <c r="R8" s="5"/>
      <c r="S8" s="310" t="s">
        <v>76</v>
      </c>
      <c r="T8" s="311"/>
      <c r="U8" s="312"/>
      <c r="V8" s="12"/>
      <c r="W8" s="313" t="s">
        <v>106</v>
      </c>
      <c r="X8" s="314"/>
      <c r="Y8" s="314"/>
      <c r="Z8" s="315"/>
      <c r="AA8" s="11"/>
      <c r="AB8" s="313" t="s">
        <v>83</v>
      </c>
      <c r="AC8" s="314"/>
      <c r="AD8" s="314"/>
      <c r="AE8" s="314"/>
      <c r="AF8" s="315"/>
      <c r="AG8" s="11"/>
      <c r="AH8" s="313" t="s">
        <v>7</v>
      </c>
      <c r="AI8" s="314"/>
      <c r="AJ8" s="315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176</v>
      </c>
      <c r="G9" s="5"/>
      <c r="H9" s="98" t="s">
        <v>30</v>
      </c>
      <c r="I9" s="98" t="s">
        <v>52</v>
      </c>
      <c r="J9" s="73" t="s">
        <v>176</v>
      </c>
      <c r="K9" s="16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 t="s">
        <v>308</v>
      </c>
      <c r="F10" s="213" t="s">
        <v>177</v>
      </c>
      <c r="G10" s="5"/>
      <c r="H10" s="66" t="s">
        <v>2</v>
      </c>
      <c r="I10" s="67"/>
      <c r="J10" s="95" t="s">
        <v>177</v>
      </c>
      <c r="K10" s="17"/>
      <c r="L10" s="5"/>
      <c r="M10" s="66" t="s">
        <v>73</v>
      </c>
      <c r="N10" s="178">
        <v>2</v>
      </c>
      <c r="O10" s="178"/>
      <c r="P10" s="179"/>
      <c r="Q10" s="180"/>
      <c r="R10" s="5" t="s">
        <v>193</v>
      </c>
      <c r="S10" s="102">
        <v>4000</v>
      </c>
      <c r="T10" s="103" t="s">
        <v>282</v>
      </c>
      <c r="U10" s="104">
        <v>1</v>
      </c>
      <c r="V10" s="105"/>
      <c r="W10" s="137"/>
      <c r="X10" s="82">
        <v>4000</v>
      </c>
      <c r="Y10" s="138"/>
      <c r="Z10" s="136"/>
      <c r="AA10" s="74"/>
      <c r="AB10" s="102"/>
      <c r="AC10" s="103"/>
      <c r="AD10" s="103"/>
      <c r="AE10" s="103"/>
      <c r="AF10" s="69"/>
      <c r="AG10" s="119"/>
      <c r="AH10" s="139" t="s">
        <v>282</v>
      </c>
      <c r="AI10" s="82">
        <v>0.11</v>
      </c>
      <c r="AJ10" s="163" t="s">
        <v>14</v>
      </c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>
        <v>240</v>
      </c>
      <c r="F11" s="213" t="s">
        <v>177</v>
      </c>
      <c r="G11" s="5"/>
      <c r="H11" s="68" t="s">
        <v>65</v>
      </c>
      <c r="I11" s="104">
        <v>2</v>
      </c>
      <c r="J11" s="86" t="s">
        <v>186</v>
      </c>
      <c r="K11" s="78"/>
      <c r="L11" s="78"/>
      <c r="M11" s="75" t="s">
        <v>74</v>
      </c>
      <c r="N11" s="124" t="s">
        <v>12</v>
      </c>
      <c r="O11" s="124"/>
      <c r="P11" s="78"/>
      <c r="Q11" s="126"/>
      <c r="R11" s="5" t="s">
        <v>187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58" t="s">
        <v>224</v>
      </c>
      <c r="F12" s="213" t="s">
        <v>177</v>
      </c>
      <c r="G12" s="5"/>
      <c r="H12" s="68" t="s">
        <v>66</v>
      </c>
      <c r="I12" s="104">
        <v>1</v>
      </c>
      <c r="J12" s="86" t="str">
        <f>J15</f>
        <v>t/h</v>
      </c>
      <c r="K12" s="78"/>
      <c r="L12" s="78"/>
      <c r="M12" s="245" t="s">
        <v>75</v>
      </c>
      <c r="N12" s="253" t="s">
        <v>172</v>
      </c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177</v>
      </c>
      <c r="G13" s="5"/>
      <c r="H13" s="68" t="s">
        <v>67</v>
      </c>
      <c r="I13" s="104">
        <v>0.2</v>
      </c>
      <c r="J13" s="86" t="s">
        <v>177</v>
      </c>
      <c r="K13" s="78"/>
      <c r="L13" s="78"/>
      <c r="M13" s="246"/>
      <c r="N13" s="125" t="s">
        <v>169</v>
      </c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>
        <v>2018</v>
      </c>
      <c r="J14" s="86" t="s">
        <v>189</v>
      </c>
      <c r="K14" s="78"/>
      <c r="L14" s="78"/>
      <c r="M14" s="247"/>
      <c r="N14" s="108" t="s">
        <v>171</v>
      </c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177</v>
      </c>
      <c r="G15" s="5"/>
      <c r="H15" s="75" t="s">
        <v>69</v>
      </c>
      <c r="I15" s="69" t="s">
        <v>12</v>
      </c>
      <c r="J15" s="86" t="s">
        <v>187</v>
      </c>
      <c r="K15" s="78"/>
      <c r="L15" s="78"/>
      <c r="M15" s="247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177</v>
      </c>
      <c r="G16" s="5"/>
      <c r="H16" s="240" t="s">
        <v>53</v>
      </c>
      <c r="I16" s="241" t="s">
        <v>172</v>
      </c>
      <c r="J16" s="216" t="s">
        <v>177</v>
      </c>
      <c r="K16" s="78"/>
      <c r="L16" s="78"/>
      <c r="M16" s="247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>
        <v>25</v>
      </c>
      <c r="F17" s="213" t="s">
        <v>181</v>
      </c>
      <c r="G17" s="5"/>
      <c r="H17" s="75"/>
      <c r="I17" s="242" t="s">
        <v>169</v>
      </c>
      <c r="J17" s="213" t="s">
        <v>177</v>
      </c>
      <c r="K17" s="78"/>
      <c r="L17" s="78"/>
      <c r="M17" s="247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>
        <v>25</v>
      </c>
      <c r="F18" s="213" t="s">
        <v>181</v>
      </c>
      <c r="G18" s="5"/>
      <c r="H18" s="76"/>
      <c r="I18" s="242" t="s">
        <v>171</v>
      </c>
      <c r="J18" s="213" t="s">
        <v>177</v>
      </c>
      <c r="K18" s="78"/>
      <c r="L18" s="78"/>
      <c r="M18" s="247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181</v>
      </c>
      <c r="G19" s="5"/>
      <c r="H19" s="76"/>
      <c r="I19" s="242"/>
      <c r="J19" s="213" t="s">
        <v>177</v>
      </c>
      <c r="K19" s="78"/>
      <c r="L19" s="78"/>
      <c r="M19" s="247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181</v>
      </c>
      <c r="G20" s="5"/>
      <c r="H20" s="76"/>
      <c r="I20" s="242"/>
      <c r="J20" s="213" t="s">
        <v>177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242"/>
      <c r="J21" s="213" t="s">
        <v>177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177</v>
      </c>
      <c r="G22" s="5"/>
      <c r="H22" s="109"/>
      <c r="I22" s="242"/>
      <c r="J22" s="213" t="s">
        <v>177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177</v>
      </c>
      <c r="G23" s="5"/>
      <c r="H23" s="109"/>
      <c r="I23" s="243"/>
      <c r="J23" s="213" t="s">
        <v>177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177</v>
      </c>
      <c r="G24" s="11"/>
      <c r="H24" s="109"/>
      <c r="I24" s="243"/>
      <c r="J24" s="213" t="s">
        <v>177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177</v>
      </c>
      <c r="G25" s="11"/>
      <c r="H25" s="109"/>
      <c r="I25" s="243"/>
      <c r="J25" s="213" t="s">
        <v>177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177</v>
      </c>
      <c r="G26" s="5"/>
      <c r="H26" s="109"/>
      <c r="I26" s="243"/>
      <c r="J26" s="213" t="s">
        <v>177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179</v>
      </c>
      <c r="G27" s="5"/>
      <c r="H27" s="110"/>
      <c r="I27" s="244"/>
      <c r="J27" s="214" t="s">
        <v>177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6">
    <mergeCell ref="D6:E6"/>
    <mergeCell ref="H6:I6"/>
    <mergeCell ref="M6:P6"/>
    <mergeCell ref="S6:AF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AF91ADB5-D55F-465B-AB9A-1B8852CCF633}">
          <x14:formula1>
            <xm:f>DataBank!$A$3:$A$11</xm:f>
          </x14:formula1>
          <xm:sqref>N11</xm:sqref>
        </x14:dataValidation>
        <x14:dataValidation type="list" allowBlank="1" showInputMessage="1" showErrorMessage="1" xr:uid="{2B502081-4938-45BC-97BA-4B89C6F5D82A}">
          <x14:formula1>
            <xm:f>Sources!$E$6:$O$6</xm:f>
          </x14:formula1>
          <xm:sqref>O13:Q13</xm:sqref>
        </x14:dataValidation>
        <x14:dataValidation type="list" allowBlank="1" showInputMessage="1" showErrorMessage="1" xr:uid="{58C2537A-A72F-4BEF-9473-72268FC8E19E}">
          <x14:formula1>
            <xm:f>DataBank!$B$2:$B$3</xm:f>
          </x14:formula1>
          <xm:sqref>J15</xm:sqref>
        </x14:dataValidation>
        <x14:dataValidation type="list" allowBlank="1" showInputMessage="1" showErrorMessage="1" xr:uid="{08A55661-1EFB-47D8-852D-B1BCC5252CB2}">
          <x14:formula1>
            <xm:f>DataBank!$C$2:$C$7</xm:f>
          </x14:formula1>
          <xm:sqref>I15</xm:sqref>
        </x14:dataValidation>
        <x14:dataValidation type="list" allowBlank="1" showInputMessage="1" showErrorMessage="1" xr:uid="{D7E88136-5A5B-4950-BE64-AD4295F09CA7}">
          <x14:formula1>
            <xm:f>Sources!$E$7:$O$7</xm:f>
          </x14:formula1>
          <xm:sqref>W10:W27</xm:sqref>
        </x14:dataValidation>
        <x14:dataValidation type="list" allowBlank="1" showInputMessage="1" showErrorMessage="1" xr:uid="{2B2AED95-14B6-410B-8BC1-9282E260BE0C}">
          <x14:formula1>
            <xm:f>DataBank!$K$17:$K$18</xm:f>
          </x14:formula1>
          <xm:sqref>E26</xm:sqref>
        </x14:dataValidation>
        <x14:dataValidation type="list" allowBlank="1" showInputMessage="1" showErrorMessage="1" xr:uid="{D9C9FCEF-65C0-411A-B9B7-B33992EB2026}">
          <x14:formula1>
            <xm:f>DataBank!$A$3:$A$10</xm:f>
          </x14:formula1>
          <xm:sqref>O11:Q11</xm:sqref>
        </x14:dataValidation>
        <x14:dataValidation type="list" allowBlank="1" showInputMessage="1" showErrorMessage="1" xr:uid="{22224F39-D321-49BA-984B-58418B3D0A2C}">
          <x14:formula1>
            <xm:f>DataBank!$A$3:$A$4</xm:f>
          </x14:formula1>
          <xm:sqref>AB10 AD10</xm:sqref>
        </x14:dataValidation>
        <x14:dataValidation type="whole" allowBlank="1" showInputMessage="1" showErrorMessage="1" xr:uid="{2ECE309A-BF5C-4179-8F16-6FB49B94655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786BFEF-22CD-4500-8AAF-69F4D8E53DC9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7F9B2EDA-0221-4236-AFD9-466DC6B29AF5}">
          <x14:formula1>
            <xm:f>Systemblatt!$F$5:$F$11</xm:f>
          </x14:formula1>
          <xm:sqref>AH28:AH30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4" zoomScale="75" zoomScaleNormal="47" workbookViewId="0">
      <selection activeCell="I17" sqref="I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176</v>
      </c>
      <c r="G9" s="5"/>
      <c r="H9" s="73" t="s">
        <v>30</v>
      </c>
      <c r="I9" s="73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213</v>
      </c>
      <c r="F10" s="213" t="s">
        <v>177</v>
      </c>
      <c r="G10" s="5"/>
      <c r="H10" s="66" t="s">
        <v>2</v>
      </c>
      <c r="I10" s="67"/>
      <c r="J10" s="216" t="s">
        <v>177</v>
      </c>
      <c r="K10" s="5"/>
      <c r="L10" s="5"/>
      <c r="M10" s="66" t="s">
        <v>73</v>
      </c>
      <c r="N10" s="178"/>
      <c r="O10" s="178"/>
      <c r="P10" s="179"/>
      <c r="Q10" s="180"/>
      <c r="R10" s="5"/>
      <c r="S10" s="50">
        <v>220</v>
      </c>
      <c r="T10" s="103" t="s">
        <v>331</v>
      </c>
      <c r="U10" s="104">
        <v>1</v>
      </c>
      <c r="V10" s="83"/>
      <c r="W10" s="137"/>
      <c r="X10" s="82">
        <v>220</v>
      </c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999</v>
      </c>
      <c r="F11" s="213" t="s">
        <v>177</v>
      </c>
      <c r="G11" s="5"/>
      <c r="H11" s="68" t="s">
        <v>65</v>
      </c>
      <c r="I11" s="104">
        <v>1.0000000000000001E-9</v>
      </c>
      <c r="J11" s="213" t="s">
        <v>186</v>
      </c>
      <c r="K11" s="5"/>
      <c r="L11" s="5"/>
      <c r="M11" s="75" t="s">
        <v>74</v>
      </c>
      <c r="N11" s="124"/>
      <c r="O11" s="124"/>
      <c r="P11" s="78"/>
      <c r="Q11" s="126"/>
      <c r="R11" s="5"/>
      <c r="S11" s="50">
        <v>220</v>
      </c>
      <c r="T11" s="103" t="s">
        <v>171</v>
      </c>
      <c r="U11" s="104">
        <v>1</v>
      </c>
      <c r="V11" s="83"/>
      <c r="W11" s="108"/>
      <c r="X11" s="74">
        <v>230</v>
      </c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59"/>
      <c r="F12" s="213" t="s">
        <v>177</v>
      </c>
      <c r="G12" s="5"/>
      <c r="H12" s="68" t="s">
        <v>66</v>
      </c>
      <c r="I12" s="104">
        <v>1</v>
      </c>
      <c r="J12" s="213" t="str">
        <f>J15</f>
        <v>t/h</v>
      </c>
      <c r="K12" s="5"/>
      <c r="L12" s="5"/>
      <c r="M12" s="75" t="s">
        <v>75</v>
      </c>
      <c r="N12" s="124"/>
      <c r="O12" s="124"/>
      <c r="P12" s="78"/>
      <c r="Q12" s="126"/>
      <c r="R12" s="5"/>
      <c r="S12" s="108">
        <v>220</v>
      </c>
      <c r="T12" s="124" t="s">
        <v>172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 t="s">
        <v>212</v>
      </c>
      <c r="F13" s="213" t="s">
        <v>177</v>
      </c>
      <c r="G13" s="5"/>
      <c r="H13" s="68" t="s">
        <v>67</v>
      </c>
      <c r="I13" s="104">
        <v>1</v>
      </c>
      <c r="J13" s="213" t="s">
        <v>177</v>
      </c>
      <c r="K13" s="5"/>
      <c r="L13" s="5"/>
      <c r="M13" s="75" t="s">
        <v>190</v>
      </c>
      <c r="N13" s="74"/>
      <c r="O13" s="74"/>
      <c r="P13" s="74"/>
      <c r="Q13" s="69"/>
      <c r="R13" s="5"/>
      <c r="S13" s="108">
        <v>220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>
        <v>2018</v>
      </c>
      <c r="J14" s="213" t="s">
        <v>189</v>
      </c>
      <c r="K14" s="5"/>
      <c r="L14" s="5"/>
      <c r="M14" s="76"/>
      <c r="N14" s="78"/>
      <c r="O14" s="78"/>
      <c r="P14" s="78"/>
      <c r="Q14" s="81"/>
      <c r="R14" s="5"/>
      <c r="S14" s="50">
        <v>230</v>
      </c>
      <c r="T14" s="74" t="s">
        <v>331</v>
      </c>
      <c r="U14" s="30">
        <v>1</v>
      </c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8.5" x14ac:dyDescent="0.45">
      <c r="A15" s="5"/>
      <c r="B15" s="5"/>
      <c r="C15" s="85"/>
      <c r="D15" s="68" t="s">
        <v>56</v>
      </c>
      <c r="E15" s="69">
        <v>2.6</v>
      </c>
      <c r="F15" s="213" t="s">
        <v>177</v>
      </c>
      <c r="G15" s="5"/>
      <c r="H15" s="217" t="s">
        <v>69</v>
      </c>
      <c r="I15" s="69" t="s">
        <v>12</v>
      </c>
      <c r="J15" s="213" t="s">
        <v>187</v>
      </c>
      <c r="K15" s="5"/>
      <c r="L15" s="5"/>
      <c r="M15" s="76"/>
      <c r="N15" s="78"/>
      <c r="O15" s="78"/>
      <c r="P15" s="78"/>
      <c r="Q15" s="81"/>
      <c r="R15" s="5"/>
      <c r="S15" s="50">
        <v>230</v>
      </c>
      <c r="T15" s="74" t="s">
        <v>171</v>
      </c>
      <c r="U15" s="30">
        <v>1</v>
      </c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8.5" x14ac:dyDescent="0.45">
      <c r="A16" s="5"/>
      <c r="B16" s="5"/>
      <c r="C16" s="85"/>
      <c r="D16" s="68" t="s">
        <v>57</v>
      </c>
      <c r="E16" s="69">
        <v>1.44</v>
      </c>
      <c r="F16" s="213" t="s">
        <v>177</v>
      </c>
      <c r="G16" s="5"/>
      <c r="H16" s="75" t="s">
        <v>53</v>
      </c>
      <c r="I16" s="69" t="s">
        <v>172</v>
      </c>
      <c r="J16" s="213" t="s">
        <v>177</v>
      </c>
      <c r="K16" s="5"/>
      <c r="L16" s="5"/>
      <c r="M16" s="76"/>
      <c r="N16" s="78"/>
      <c r="O16" s="78"/>
      <c r="P16" s="78"/>
      <c r="Q16" s="81"/>
      <c r="R16" s="5"/>
      <c r="S16" s="108">
        <v>230</v>
      </c>
      <c r="T16" s="74" t="s">
        <v>172</v>
      </c>
      <c r="U16" s="69">
        <v>1</v>
      </c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192</v>
      </c>
      <c r="G17" s="5"/>
      <c r="H17" s="217"/>
      <c r="I17" s="69" t="s">
        <v>331</v>
      </c>
      <c r="J17" s="213" t="s">
        <v>177</v>
      </c>
      <c r="K17" s="5"/>
      <c r="L17" s="5"/>
      <c r="M17" s="76"/>
      <c r="N17" s="78"/>
      <c r="O17" s="78"/>
      <c r="P17" s="78"/>
      <c r="Q17" s="81"/>
      <c r="R17" s="5"/>
      <c r="S17" s="108">
        <v>230</v>
      </c>
      <c r="T17" s="74" t="s">
        <v>169</v>
      </c>
      <c r="U17" s="69">
        <v>1</v>
      </c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192</v>
      </c>
      <c r="G18" s="5"/>
      <c r="H18" s="76"/>
      <c r="I18" s="69" t="s">
        <v>171</v>
      </c>
      <c r="J18" s="213"/>
      <c r="K18" s="5"/>
      <c r="L18" s="5"/>
      <c r="M18" s="76"/>
      <c r="N18" s="78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192</v>
      </c>
      <c r="G19" s="5"/>
      <c r="H19" s="76"/>
      <c r="I19" s="69" t="s">
        <v>169</v>
      </c>
      <c r="J19" s="213"/>
      <c r="K19" s="5"/>
      <c r="L19" s="5"/>
      <c r="M19" s="76"/>
      <c r="N19" s="78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192</v>
      </c>
      <c r="G20" s="5"/>
      <c r="H20" s="76"/>
      <c r="I20" s="69"/>
      <c r="J20" s="213"/>
      <c r="K20" s="5"/>
      <c r="L20" s="5"/>
      <c r="M20" s="109"/>
      <c r="N20" s="78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69"/>
      <c r="J21" s="213"/>
      <c r="K21" s="5"/>
      <c r="L21" s="5"/>
      <c r="M21" s="109"/>
      <c r="N21" s="78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177</v>
      </c>
      <c r="G22" s="5"/>
      <c r="H22" s="109"/>
      <c r="I22" s="69"/>
      <c r="J22" s="213"/>
      <c r="K22" s="5"/>
      <c r="L22" s="5"/>
      <c r="M22" s="109"/>
      <c r="N22" s="78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177</v>
      </c>
      <c r="G23" s="5"/>
      <c r="H23" s="109"/>
      <c r="I23" s="81"/>
      <c r="J23" s="213"/>
      <c r="K23" s="5"/>
      <c r="L23" s="5"/>
      <c r="M23" s="109"/>
      <c r="N23" s="78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177</v>
      </c>
      <c r="G24" s="11"/>
      <c r="H24" s="109"/>
      <c r="I24" s="81"/>
      <c r="J24" s="175"/>
      <c r="K24" s="11"/>
      <c r="L24" s="11"/>
      <c r="M24" s="109"/>
      <c r="N24" s="78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177</v>
      </c>
      <c r="G25" s="11"/>
      <c r="H25" s="109"/>
      <c r="I25" s="81"/>
      <c r="J25" s="175"/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177</v>
      </c>
      <c r="G26" s="5"/>
      <c r="H26" s="109"/>
      <c r="I26" s="81"/>
      <c r="J26" s="213"/>
      <c r="K26" s="5"/>
      <c r="L26" s="5"/>
      <c r="M26" s="109"/>
      <c r="N26" s="78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215</v>
      </c>
      <c r="E27" s="228">
        <f>Systemblatt!C11</f>
        <v>8000</v>
      </c>
      <c r="F27" s="229" t="s">
        <v>179</v>
      </c>
      <c r="G27" s="5"/>
      <c r="H27" s="110"/>
      <c r="I27" s="71"/>
      <c r="J27" s="214"/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T10:T27 AC10:AC27 AE10:AE27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H1" zoomScale="75" zoomScaleNormal="47" workbookViewId="0">
      <selection activeCell="O19" sqref="O19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176</v>
      </c>
      <c r="G9" s="5"/>
      <c r="H9" s="73" t="s">
        <v>30</v>
      </c>
      <c r="I9" s="73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211</v>
      </c>
      <c r="F10" s="213" t="s">
        <v>177</v>
      </c>
      <c r="G10" s="5"/>
      <c r="H10" s="66" t="s">
        <v>2</v>
      </c>
      <c r="I10" s="67"/>
      <c r="J10" s="216" t="s">
        <v>177</v>
      </c>
      <c r="K10" s="5"/>
      <c r="L10" s="5"/>
      <c r="M10" s="66" t="s">
        <v>73</v>
      </c>
      <c r="N10" s="248">
        <v>0.5</v>
      </c>
      <c r="O10" s="248"/>
      <c r="P10" s="179"/>
      <c r="Q10" s="180"/>
      <c r="R10" s="5"/>
      <c r="S10" s="102">
        <v>320</v>
      </c>
      <c r="T10" s="103" t="s">
        <v>169</v>
      </c>
      <c r="U10" s="104">
        <v>0.95</v>
      </c>
      <c r="V10" s="83"/>
      <c r="W10" s="137">
        <v>44</v>
      </c>
      <c r="X10" s="82">
        <v>320</v>
      </c>
      <c r="Y10" s="138"/>
      <c r="Z10" s="136"/>
      <c r="AA10" s="15"/>
      <c r="AB10" s="135" t="s">
        <v>12</v>
      </c>
      <c r="AC10" s="82" t="s">
        <v>171</v>
      </c>
      <c r="AD10" s="138" t="s">
        <v>12</v>
      </c>
      <c r="AE10" s="82" t="s">
        <v>228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220</v>
      </c>
      <c r="F11" s="213" t="s">
        <v>177</v>
      </c>
      <c r="G11" s="5"/>
      <c r="H11" s="68" t="s">
        <v>65</v>
      </c>
      <c r="I11" s="104">
        <v>2</v>
      </c>
      <c r="J11" s="213" t="s">
        <v>186</v>
      </c>
      <c r="K11" s="5"/>
      <c r="L11" s="5"/>
      <c r="M11" s="75" t="s">
        <v>74</v>
      </c>
      <c r="N11" s="249" t="s">
        <v>12</v>
      </c>
      <c r="O11" s="249"/>
      <c r="P11" s="78"/>
      <c r="Q11" s="126"/>
      <c r="R11" s="5"/>
      <c r="S11" s="102">
        <v>320</v>
      </c>
      <c r="T11" s="103" t="s">
        <v>228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172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177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5" t="s">
        <v>75</v>
      </c>
      <c r="N12" s="248" t="s">
        <v>331</v>
      </c>
      <c r="O12" s="24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177</v>
      </c>
      <c r="G13" s="5"/>
      <c r="H13" s="68" t="s">
        <v>67</v>
      </c>
      <c r="I13" s="104">
        <v>0.1</v>
      </c>
      <c r="J13" s="213" t="s">
        <v>177</v>
      </c>
      <c r="K13" s="5"/>
      <c r="L13" s="5"/>
      <c r="M13" s="246"/>
      <c r="N13" s="250" t="s">
        <v>171</v>
      </c>
      <c r="O13" s="242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331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>
        <v>2018</v>
      </c>
      <c r="J14" s="213" t="s">
        <v>189</v>
      </c>
      <c r="K14" s="5"/>
      <c r="L14" s="5"/>
      <c r="M14" s="247"/>
      <c r="N14" s="250" t="s">
        <v>172</v>
      </c>
      <c r="O14" s="243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177</v>
      </c>
      <c r="G15" s="5"/>
      <c r="H15" s="217" t="s">
        <v>69</v>
      </c>
      <c r="I15" s="69" t="s">
        <v>12</v>
      </c>
      <c r="J15" s="213" t="s">
        <v>187</v>
      </c>
      <c r="K15" s="5"/>
      <c r="L15" s="5"/>
      <c r="M15" s="247"/>
      <c r="N15" s="242" t="s">
        <v>169</v>
      </c>
      <c r="O15" s="243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177</v>
      </c>
      <c r="G16" s="5"/>
      <c r="H16" s="239" t="s">
        <v>53</v>
      </c>
      <c r="I16" s="67" t="s">
        <v>172</v>
      </c>
      <c r="J16" s="213" t="s">
        <v>177</v>
      </c>
      <c r="K16" s="5"/>
      <c r="L16" s="5"/>
      <c r="M16" s="247"/>
      <c r="N16" s="243"/>
      <c r="O16" s="243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181</v>
      </c>
      <c r="G17" s="5"/>
      <c r="H17" s="217"/>
      <c r="I17" s="69" t="s">
        <v>169</v>
      </c>
      <c r="J17" s="213" t="s">
        <v>177</v>
      </c>
      <c r="K17" s="5"/>
      <c r="L17" s="5"/>
      <c r="M17" s="247"/>
      <c r="N17" s="243"/>
      <c r="O17" s="243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181</v>
      </c>
      <c r="G18" s="5"/>
      <c r="H18" s="76"/>
      <c r="I18" s="69" t="s">
        <v>331</v>
      </c>
      <c r="J18" s="213"/>
      <c r="K18" s="5"/>
      <c r="L18" s="5"/>
      <c r="M18" s="247"/>
      <c r="N18" s="243"/>
      <c r="O18" s="243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181</v>
      </c>
      <c r="G19" s="5"/>
      <c r="H19" s="76"/>
      <c r="I19" s="69" t="s">
        <v>171</v>
      </c>
      <c r="J19" s="213"/>
      <c r="K19" s="5"/>
      <c r="L19" s="5"/>
      <c r="M19" s="247"/>
      <c r="N19" s="243"/>
      <c r="O19" s="243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181</v>
      </c>
      <c r="G20" s="5"/>
      <c r="H20" s="76"/>
      <c r="I20" s="69"/>
      <c r="J20" s="213"/>
      <c r="K20" s="5"/>
      <c r="L20" s="5"/>
      <c r="M20" s="243"/>
      <c r="N20" s="243"/>
      <c r="O20" s="243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69"/>
      <c r="J21" s="213"/>
      <c r="K21" s="5"/>
      <c r="L21" s="5"/>
      <c r="M21" s="243"/>
      <c r="N21" s="243"/>
      <c r="O21" s="243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177</v>
      </c>
      <c r="G22" s="5"/>
      <c r="H22" s="109"/>
      <c r="I22" s="69"/>
      <c r="J22" s="213"/>
      <c r="K22" s="5"/>
      <c r="L22" s="5"/>
      <c r="M22" s="243"/>
      <c r="N22" s="243"/>
      <c r="O22" s="243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177</v>
      </c>
      <c r="G23" s="5"/>
      <c r="H23" s="109"/>
      <c r="I23" s="81"/>
      <c r="J23" s="213"/>
      <c r="K23" s="5"/>
      <c r="L23" s="5"/>
      <c r="M23" s="243"/>
      <c r="N23" s="243"/>
      <c r="O23" s="243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177</v>
      </c>
      <c r="G24" s="11"/>
      <c r="H24" s="109"/>
      <c r="I24" s="81"/>
      <c r="J24" s="175"/>
      <c r="K24" s="11"/>
      <c r="L24" s="11"/>
      <c r="M24" s="243"/>
      <c r="N24" s="243"/>
      <c r="O24" s="243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177</v>
      </c>
      <c r="G25" s="11"/>
      <c r="H25" s="109"/>
      <c r="I25" s="81"/>
      <c r="J25" s="175"/>
      <c r="K25" s="11"/>
      <c r="L25" s="11"/>
      <c r="M25" s="243"/>
      <c r="N25" s="243"/>
      <c r="O25" s="243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177</v>
      </c>
      <c r="G26" s="5"/>
      <c r="H26" s="109"/>
      <c r="I26" s="81"/>
      <c r="J26" s="213"/>
      <c r="K26" s="5"/>
      <c r="L26" s="5"/>
      <c r="M26" s="243"/>
      <c r="N26" s="243"/>
      <c r="O26" s="243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215</v>
      </c>
      <c r="E27" s="228">
        <f>Systemblatt!C11</f>
        <v>8000</v>
      </c>
      <c r="F27" s="229" t="s">
        <v>179</v>
      </c>
      <c r="G27" s="5"/>
      <c r="H27" s="110"/>
      <c r="I27" s="71"/>
      <c r="J27" s="214"/>
      <c r="K27" s="5"/>
      <c r="L27" s="5"/>
      <c r="M27" s="244"/>
      <c r="N27" s="244"/>
      <c r="O27" s="244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AC10:AC27 AE10:AE27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G32" sqref="G3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176</v>
      </c>
      <c r="G9" s="5"/>
      <c r="H9" s="73" t="s">
        <v>30</v>
      </c>
      <c r="I9" s="73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302</v>
      </c>
      <c r="F10" s="213" t="s">
        <v>177</v>
      </c>
      <c r="G10" s="5"/>
      <c r="H10" s="66" t="s">
        <v>2</v>
      </c>
      <c r="I10" s="67"/>
      <c r="J10" s="216" t="s">
        <v>177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193</v>
      </c>
      <c r="S10" s="102">
        <v>3000</v>
      </c>
      <c r="T10" s="103" t="s">
        <v>169</v>
      </c>
      <c r="U10" s="104">
        <v>0.95</v>
      </c>
      <c r="V10" s="83"/>
      <c r="W10" s="137"/>
      <c r="X10" s="82">
        <v>3000</v>
      </c>
      <c r="Y10" s="138">
        <v>220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320</v>
      </c>
      <c r="F11" s="213" t="s">
        <v>177</v>
      </c>
      <c r="G11" s="5"/>
      <c r="H11" s="68" t="s">
        <v>65</v>
      </c>
      <c r="I11" s="104">
        <v>2</v>
      </c>
      <c r="J11" s="213" t="s">
        <v>186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187</v>
      </c>
      <c r="S11" s="102">
        <v>220</v>
      </c>
      <c r="T11" s="103" t="s">
        <v>228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177</v>
      </c>
      <c r="G12" s="5"/>
      <c r="H12" s="68" t="s">
        <v>66</v>
      </c>
      <c r="I12" s="262">
        <v>10</v>
      </c>
      <c r="J12" s="213" t="str">
        <f>J15</f>
        <v>t/h</v>
      </c>
      <c r="K12" s="5"/>
      <c r="L12" s="5"/>
      <c r="M12" s="245" t="s">
        <v>75</v>
      </c>
      <c r="N12" s="253"/>
      <c r="O12" s="178" t="s">
        <v>228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177</v>
      </c>
      <c r="G13" s="5"/>
      <c r="H13" s="68" t="s">
        <v>67</v>
      </c>
      <c r="I13" s="104">
        <v>0.1</v>
      </c>
      <c r="J13" s="213" t="s">
        <v>177</v>
      </c>
      <c r="K13" s="5"/>
      <c r="L13" s="5"/>
      <c r="M13" s="246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>
        <v>2018</v>
      </c>
      <c r="J14" s="213" t="s">
        <v>189</v>
      </c>
      <c r="K14" s="5"/>
      <c r="L14" s="5"/>
      <c r="M14" s="247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177</v>
      </c>
      <c r="G15" s="5"/>
      <c r="H15" s="257" t="s">
        <v>69</v>
      </c>
      <c r="I15" s="69" t="s">
        <v>12</v>
      </c>
      <c r="J15" s="213" t="s">
        <v>187</v>
      </c>
      <c r="K15" s="5"/>
      <c r="L15" s="5"/>
      <c r="M15" s="247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177</v>
      </c>
      <c r="G16" s="5"/>
      <c r="H16" s="240" t="s">
        <v>53</v>
      </c>
      <c r="I16" s="241" t="s">
        <v>228</v>
      </c>
      <c r="J16" s="216" t="s">
        <v>177</v>
      </c>
      <c r="K16" s="5"/>
      <c r="L16" s="5"/>
      <c r="M16" s="247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192</v>
      </c>
      <c r="G17" s="5"/>
      <c r="H17" s="75"/>
      <c r="I17" s="242" t="s">
        <v>169</v>
      </c>
      <c r="J17" s="213" t="s">
        <v>177</v>
      </c>
      <c r="K17" s="5"/>
      <c r="L17" s="5"/>
      <c r="M17" s="247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60</v>
      </c>
      <c r="F18" s="213" t="s">
        <v>192</v>
      </c>
      <c r="G18" s="5"/>
      <c r="H18" s="76"/>
      <c r="I18" s="242"/>
      <c r="J18" s="213" t="s">
        <v>177</v>
      </c>
      <c r="K18" s="5"/>
      <c r="L18" s="5"/>
      <c r="M18" s="247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192</v>
      </c>
      <c r="G19" s="5"/>
      <c r="H19" s="76"/>
      <c r="I19" s="242"/>
      <c r="J19" s="213" t="s">
        <v>177</v>
      </c>
      <c r="K19" s="5"/>
      <c r="L19" s="5"/>
      <c r="M19" s="247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192</v>
      </c>
      <c r="G20" s="5"/>
      <c r="H20" s="76"/>
      <c r="I20" s="242"/>
      <c r="J20" s="213" t="s">
        <v>177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242"/>
      <c r="J21" s="213" t="s">
        <v>177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177</v>
      </c>
      <c r="G22" s="5"/>
      <c r="H22" s="109"/>
      <c r="I22" s="242"/>
      <c r="J22" s="213" t="s">
        <v>177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177</v>
      </c>
      <c r="G23" s="5"/>
      <c r="H23" s="109"/>
      <c r="I23" s="243"/>
      <c r="J23" s="213" t="s">
        <v>177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177</v>
      </c>
      <c r="G24" s="11"/>
      <c r="H24" s="109"/>
      <c r="I24" s="243"/>
      <c r="J24" s="213" t="s">
        <v>177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177</v>
      </c>
      <c r="G25" s="11"/>
      <c r="H25" s="109"/>
      <c r="I25" s="243"/>
      <c r="J25" s="213" t="s">
        <v>177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177</v>
      </c>
      <c r="G26" s="5"/>
      <c r="H26" s="109"/>
      <c r="I26" s="243"/>
      <c r="J26" s="213" t="s">
        <v>177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179</v>
      </c>
      <c r="G27" s="5"/>
      <c r="H27" s="110"/>
      <c r="I27" s="244"/>
      <c r="J27" s="214" t="s">
        <v>177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O13:Q13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zoomScale="75" zoomScaleNormal="47" workbookViewId="0">
      <selection activeCell="N12" sqref="N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176</v>
      </c>
      <c r="G9" s="5"/>
      <c r="H9" s="73" t="s">
        <v>30</v>
      </c>
      <c r="I9" s="73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230</v>
      </c>
      <c r="F10" s="213" t="s">
        <v>177</v>
      </c>
      <c r="G10" s="5"/>
      <c r="H10" s="66" t="s">
        <v>2</v>
      </c>
      <c r="I10" s="67"/>
      <c r="J10" s="216" t="s">
        <v>177</v>
      </c>
      <c r="K10" s="5"/>
      <c r="L10" s="5"/>
      <c r="M10" s="66" t="s">
        <v>73</v>
      </c>
      <c r="N10" s="248">
        <v>0.2</v>
      </c>
      <c r="O10" s="178"/>
      <c r="P10" s="179"/>
      <c r="Q10" s="180"/>
      <c r="R10" s="5" t="s">
        <v>193</v>
      </c>
      <c r="S10" s="102">
        <v>330</v>
      </c>
      <c r="T10" s="103" t="s">
        <v>169</v>
      </c>
      <c r="U10" s="104">
        <v>0.75</v>
      </c>
      <c r="V10" s="83"/>
      <c r="W10" s="137">
        <v>44</v>
      </c>
      <c r="X10" s="82">
        <v>330</v>
      </c>
      <c r="Y10" s="138"/>
      <c r="Z10" s="136"/>
      <c r="AA10" s="15"/>
      <c r="AB10" s="135" t="s">
        <v>12</v>
      </c>
      <c r="AC10" s="82" t="s">
        <v>171</v>
      </c>
      <c r="AD10" s="138" t="s">
        <v>12</v>
      </c>
      <c r="AE10" s="82" t="s">
        <v>228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230</v>
      </c>
      <c r="F11" s="213" t="s">
        <v>177</v>
      </c>
      <c r="G11" s="5"/>
      <c r="H11" s="68" t="s">
        <v>65</v>
      </c>
      <c r="I11" s="104">
        <v>2</v>
      </c>
      <c r="J11" s="213" t="s">
        <v>186</v>
      </c>
      <c r="K11" s="5"/>
      <c r="L11" s="5"/>
      <c r="M11" s="75" t="s">
        <v>74</v>
      </c>
      <c r="N11" s="249" t="s">
        <v>12</v>
      </c>
      <c r="O11" s="124"/>
      <c r="P11" s="78"/>
      <c r="Q11" s="126"/>
      <c r="R11" s="5" t="s">
        <v>187</v>
      </c>
      <c r="S11" s="102">
        <v>330</v>
      </c>
      <c r="T11" s="103" t="s">
        <v>228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172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177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5" t="s">
        <v>75</v>
      </c>
      <c r="N12" s="248" t="s">
        <v>331</v>
      </c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177</v>
      </c>
      <c r="G13" s="5"/>
      <c r="H13" s="68" t="s">
        <v>67</v>
      </c>
      <c r="I13" s="104">
        <v>0.1</v>
      </c>
      <c r="J13" s="213" t="s">
        <v>177</v>
      </c>
      <c r="K13" s="5"/>
      <c r="L13" s="5"/>
      <c r="M13" s="246"/>
      <c r="N13" s="250" t="s">
        <v>171</v>
      </c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331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>
        <v>2018</v>
      </c>
      <c r="J14" s="213" t="s">
        <v>189</v>
      </c>
      <c r="K14" s="5"/>
      <c r="L14" s="5"/>
      <c r="M14" s="247"/>
      <c r="N14" s="250" t="s">
        <v>172</v>
      </c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177</v>
      </c>
      <c r="G15" s="5"/>
      <c r="H15" s="257" t="s">
        <v>69</v>
      </c>
      <c r="I15" s="69" t="s">
        <v>12</v>
      </c>
      <c r="J15" s="213" t="s">
        <v>187</v>
      </c>
      <c r="K15" s="5"/>
      <c r="L15" s="5"/>
      <c r="M15" s="247"/>
      <c r="N15" s="242" t="s">
        <v>169</v>
      </c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177</v>
      </c>
      <c r="G16" s="5"/>
      <c r="H16" s="239" t="s">
        <v>53</v>
      </c>
      <c r="I16" s="67" t="s">
        <v>172</v>
      </c>
      <c r="J16" s="216" t="s">
        <v>177</v>
      </c>
      <c r="K16" s="5"/>
      <c r="L16" s="5"/>
      <c r="M16" s="247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192</v>
      </c>
      <c r="G17" s="5"/>
      <c r="H17" s="245"/>
      <c r="I17" s="69" t="s">
        <v>169</v>
      </c>
      <c r="J17" s="213" t="s">
        <v>177</v>
      </c>
      <c r="K17" s="5"/>
      <c r="L17" s="5"/>
      <c r="M17" s="247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192</v>
      </c>
      <c r="G18" s="5"/>
      <c r="H18" s="247"/>
      <c r="I18" s="69" t="s">
        <v>331</v>
      </c>
      <c r="J18" s="213" t="s">
        <v>177</v>
      </c>
      <c r="K18" s="5"/>
      <c r="L18" s="5"/>
      <c r="M18" s="247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192</v>
      </c>
      <c r="G19" s="5"/>
      <c r="H19" s="247"/>
      <c r="I19" s="69" t="s">
        <v>171</v>
      </c>
      <c r="J19" s="213" t="s">
        <v>177</v>
      </c>
      <c r="K19" s="5"/>
      <c r="L19" s="5"/>
      <c r="M19" s="247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192</v>
      </c>
      <c r="G20" s="5"/>
      <c r="H20" s="247"/>
      <c r="I20" s="69"/>
      <c r="J20" s="213" t="s">
        <v>177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177</v>
      </c>
      <c r="G21" s="5"/>
      <c r="H21" s="243"/>
      <c r="I21" s="69"/>
      <c r="J21" s="213" t="s">
        <v>177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177</v>
      </c>
      <c r="G22" s="5"/>
      <c r="H22" s="243"/>
      <c r="I22" s="69"/>
      <c r="J22" s="213" t="s">
        <v>177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177</v>
      </c>
      <c r="G23" s="5"/>
      <c r="H23" s="243"/>
      <c r="I23" s="81"/>
      <c r="J23" s="213" t="s">
        <v>177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177</v>
      </c>
      <c r="G24" s="11"/>
      <c r="H24" s="243"/>
      <c r="I24" s="81"/>
      <c r="J24" s="213" t="s">
        <v>177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177</v>
      </c>
      <c r="G25" s="11"/>
      <c r="H25" s="243"/>
      <c r="I25" s="81"/>
      <c r="J25" s="213" t="s">
        <v>177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177</v>
      </c>
      <c r="G26" s="5"/>
      <c r="H26" s="243"/>
      <c r="I26" s="81"/>
      <c r="J26" s="213" t="s">
        <v>177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179</v>
      </c>
      <c r="G27" s="5"/>
      <c r="H27" s="244"/>
      <c r="I27" s="80"/>
      <c r="J27" s="214" t="s">
        <v>177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topLeftCell="P1" zoomScale="75" zoomScaleNormal="47" workbookViewId="0">
      <selection activeCell="G37" sqref="G3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81640625" style="3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176</v>
      </c>
      <c r="G9" s="5"/>
      <c r="H9" s="73" t="s">
        <v>30</v>
      </c>
      <c r="I9" s="73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231</v>
      </c>
      <c r="F10" s="213" t="s">
        <v>177</v>
      </c>
      <c r="G10" s="5"/>
      <c r="H10" s="66" t="s">
        <v>2</v>
      </c>
      <c r="I10" s="67"/>
      <c r="J10" s="216" t="s">
        <v>177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193</v>
      </c>
      <c r="S10" s="102">
        <v>3000</v>
      </c>
      <c r="T10" s="103" t="s">
        <v>169</v>
      </c>
      <c r="U10" s="104">
        <v>1</v>
      </c>
      <c r="V10" s="83"/>
      <c r="W10" s="137"/>
      <c r="X10" s="82">
        <v>3000</v>
      </c>
      <c r="Y10" s="138">
        <v>230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330</v>
      </c>
      <c r="F11" s="213" t="s">
        <v>177</v>
      </c>
      <c r="G11" s="5"/>
      <c r="H11" s="68" t="s">
        <v>65</v>
      </c>
      <c r="I11" s="104">
        <v>2</v>
      </c>
      <c r="J11" s="213" t="s">
        <v>186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187</v>
      </c>
      <c r="S11" s="102">
        <v>230</v>
      </c>
      <c r="T11" s="103" t="s">
        <v>228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177</v>
      </c>
      <c r="G12" s="5"/>
      <c r="H12" s="68" t="s">
        <v>66</v>
      </c>
      <c r="I12" s="262">
        <v>10</v>
      </c>
      <c r="J12" s="213" t="str">
        <f>J15</f>
        <v>t/h</v>
      </c>
      <c r="K12" s="5"/>
      <c r="L12" s="5"/>
      <c r="M12" s="245" t="s">
        <v>75</v>
      </c>
      <c r="N12" s="253"/>
      <c r="O12" s="178" t="s">
        <v>228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177</v>
      </c>
      <c r="G13" s="5"/>
      <c r="H13" s="68" t="s">
        <v>67</v>
      </c>
      <c r="I13" s="104">
        <v>0.1</v>
      </c>
      <c r="J13" s="213" t="s">
        <v>177</v>
      </c>
      <c r="K13" s="5"/>
      <c r="L13" s="5"/>
      <c r="M13" s="246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>
        <v>2018</v>
      </c>
      <c r="J14" s="213" t="s">
        <v>189</v>
      </c>
      <c r="K14" s="5"/>
      <c r="L14" s="5"/>
      <c r="M14" s="247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177</v>
      </c>
      <c r="G15" s="5"/>
      <c r="H15" s="257" t="s">
        <v>69</v>
      </c>
      <c r="I15" s="69" t="s">
        <v>12</v>
      </c>
      <c r="J15" s="213" t="s">
        <v>187</v>
      </c>
      <c r="K15" s="5"/>
      <c r="L15" s="5"/>
      <c r="M15" s="247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177</v>
      </c>
      <c r="G16" s="5"/>
      <c r="H16" s="240" t="s">
        <v>53</v>
      </c>
      <c r="I16" s="241" t="s">
        <v>228</v>
      </c>
      <c r="J16" s="216" t="s">
        <v>177</v>
      </c>
      <c r="K16" s="5"/>
      <c r="L16" s="5"/>
      <c r="M16" s="247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192</v>
      </c>
      <c r="G17" s="5"/>
      <c r="H17" s="75"/>
      <c r="I17" s="242" t="s">
        <v>169</v>
      </c>
      <c r="J17" s="213" t="s">
        <v>177</v>
      </c>
      <c r="K17" s="5"/>
      <c r="L17" s="5"/>
      <c r="M17" s="247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65</v>
      </c>
      <c r="F18" s="213" t="s">
        <v>192</v>
      </c>
      <c r="G18" s="5"/>
      <c r="H18" s="76"/>
      <c r="I18" s="242"/>
      <c r="J18" s="213" t="s">
        <v>177</v>
      </c>
      <c r="K18" s="5"/>
      <c r="L18" s="5"/>
      <c r="M18" s="247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192</v>
      </c>
      <c r="G19" s="5"/>
      <c r="H19" s="76"/>
      <c r="I19" s="242"/>
      <c r="J19" s="213" t="s">
        <v>177</v>
      </c>
      <c r="K19" s="5"/>
      <c r="L19" s="5"/>
      <c r="M19" s="247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192</v>
      </c>
      <c r="G20" s="5"/>
      <c r="H20" s="76"/>
      <c r="I20" s="242"/>
      <c r="J20" s="213" t="s">
        <v>177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242"/>
      <c r="J21" s="213" t="s">
        <v>177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177</v>
      </c>
      <c r="G22" s="5"/>
      <c r="H22" s="109"/>
      <c r="I22" s="242"/>
      <c r="J22" s="213" t="s">
        <v>177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177</v>
      </c>
      <c r="G23" s="5"/>
      <c r="H23" s="109"/>
      <c r="I23" s="243"/>
      <c r="J23" s="213" t="s">
        <v>177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177</v>
      </c>
      <c r="G24" s="11"/>
      <c r="H24" s="109"/>
      <c r="I24" s="243"/>
      <c r="J24" s="213" t="s">
        <v>177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177</v>
      </c>
      <c r="G25" s="11"/>
      <c r="H25" s="109"/>
      <c r="I25" s="243"/>
      <c r="J25" s="213" t="s">
        <v>177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177</v>
      </c>
      <c r="G26" s="5"/>
      <c r="H26" s="109"/>
      <c r="I26" s="243"/>
      <c r="J26" s="213" t="s">
        <v>177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179</v>
      </c>
      <c r="G27" s="5"/>
      <c r="H27" s="110"/>
      <c r="I27" s="244"/>
      <c r="J27" s="214" t="s">
        <v>177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O13:Q13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DEAF84E3-2D52-48B1-B0FD-B38BEF4BD672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 T10:T27 I16:I27 N14:Q27 N12:Q12 AC10:AC27 AE10:AE27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O17" sqref="O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176</v>
      </c>
      <c r="G9" s="5"/>
      <c r="H9" s="73" t="s">
        <v>30</v>
      </c>
      <c r="I9" s="73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201</v>
      </c>
      <c r="F10" s="213" t="s">
        <v>177</v>
      </c>
      <c r="G10" s="5"/>
      <c r="H10" s="68" t="s">
        <v>2</v>
      </c>
      <c r="I10" s="69"/>
      <c r="J10" s="216" t="s">
        <v>177</v>
      </c>
      <c r="K10" s="78"/>
      <c r="L10" s="78"/>
      <c r="M10" s="251" t="s">
        <v>73</v>
      </c>
      <c r="N10" s="248">
        <v>1E-4</v>
      </c>
      <c r="O10" s="178">
        <v>0.2</v>
      </c>
      <c r="P10" s="254"/>
      <c r="Q10" s="180"/>
      <c r="R10" s="113"/>
      <c r="S10" s="102">
        <v>2000</v>
      </c>
      <c r="T10" s="103" t="s">
        <v>195</v>
      </c>
      <c r="U10" s="104">
        <v>0.99</v>
      </c>
      <c r="V10" s="105"/>
      <c r="W10" s="137">
        <v>22</v>
      </c>
      <c r="X10" s="82">
        <v>2000</v>
      </c>
      <c r="Y10" s="138">
        <v>1000</v>
      </c>
      <c r="Z10" s="136"/>
      <c r="AA10" s="74"/>
      <c r="AB10" s="135" t="s">
        <v>12</v>
      </c>
      <c r="AC10" s="82" t="s">
        <v>14</v>
      </c>
      <c r="AD10" s="138" t="s">
        <v>12</v>
      </c>
      <c r="AE10" s="82" t="s">
        <v>172</v>
      </c>
      <c r="AF10" s="136">
        <v>10</v>
      </c>
      <c r="AG10" s="119"/>
      <c r="AH10" s="125" t="s">
        <v>172</v>
      </c>
      <c r="AI10" s="124">
        <v>1</v>
      </c>
      <c r="AJ10" s="126">
        <v>-1</v>
      </c>
      <c r="AK10" s="114"/>
      <c r="AL10" s="127">
        <v>1</v>
      </c>
      <c r="AM10" s="128" t="s">
        <v>172</v>
      </c>
      <c r="AN10" s="129">
        <v>0.95</v>
      </c>
      <c r="AO10" s="86"/>
    </row>
    <row r="11" spans="3:41" ht="19" thickBot="1" x14ac:dyDescent="0.5">
      <c r="C11" s="85"/>
      <c r="D11" s="68" t="s">
        <v>3</v>
      </c>
      <c r="E11" s="69">
        <v>210</v>
      </c>
      <c r="F11" s="213" t="s">
        <v>177</v>
      </c>
      <c r="G11" s="5"/>
      <c r="H11" s="68" t="s">
        <v>65</v>
      </c>
      <c r="I11" s="104">
        <v>2</v>
      </c>
      <c r="J11" s="213" t="s">
        <v>186</v>
      </c>
      <c r="K11" s="78"/>
      <c r="L11" s="78"/>
      <c r="M11" s="252" t="s">
        <v>74</v>
      </c>
      <c r="N11" s="249" t="s">
        <v>12</v>
      </c>
      <c r="O11" s="124" t="s">
        <v>12</v>
      </c>
      <c r="P11" s="255"/>
      <c r="Q11" s="256"/>
      <c r="R11" s="113"/>
      <c r="S11" s="102">
        <v>2000</v>
      </c>
      <c r="T11" s="103" t="s">
        <v>14</v>
      </c>
      <c r="U11" s="104">
        <v>5.0000000000000001E-3</v>
      </c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1</v>
      </c>
      <c r="AJ11" s="126">
        <v>0.15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58" t="s">
        <v>223</v>
      </c>
      <c r="F12" s="213" t="s">
        <v>177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245" t="s">
        <v>75</v>
      </c>
      <c r="N12" s="248" t="s">
        <v>331</v>
      </c>
      <c r="O12" s="248" t="s">
        <v>331</v>
      </c>
      <c r="P12" s="179"/>
      <c r="Q12" s="180"/>
      <c r="R12" s="113"/>
      <c r="S12" s="102">
        <v>2000</v>
      </c>
      <c r="T12" s="103" t="s">
        <v>175</v>
      </c>
      <c r="U12" s="104">
        <v>0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195</v>
      </c>
      <c r="AI12" s="124">
        <v>1</v>
      </c>
      <c r="AJ12" s="126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177</v>
      </c>
      <c r="G13" s="5"/>
      <c r="H13" s="68" t="s">
        <v>67</v>
      </c>
      <c r="I13" s="104">
        <v>0.1</v>
      </c>
      <c r="J13" s="213" t="s">
        <v>177</v>
      </c>
      <c r="K13" s="78"/>
      <c r="L13" s="78"/>
      <c r="M13" s="246"/>
      <c r="N13" s="250" t="s">
        <v>171</v>
      </c>
      <c r="O13" s="250" t="s">
        <v>171</v>
      </c>
      <c r="P13" s="74"/>
      <c r="Q13" s="69"/>
      <c r="R13" s="113"/>
      <c r="S13" s="102">
        <v>1000</v>
      </c>
      <c r="T13" s="103" t="s">
        <v>175</v>
      </c>
      <c r="U13" s="104">
        <v>1</v>
      </c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175</v>
      </c>
      <c r="AI13" s="105">
        <v>1</v>
      </c>
      <c r="AJ13" s="107">
        <v>0.65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>
        <v>2018</v>
      </c>
      <c r="J14" s="213" t="s">
        <v>189</v>
      </c>
      <c r="K14" s="78"/>
      <c r="L14" s="78"/>
      <c r="M14" s="247"/>
      <c r="N14" s="250" t="s">
        <v>172</v>
      </c>
      <c r="O14" s="250" t="s">
        <v>172</v>
      </c>
      <c r="P14" s="78"/>
      <c r="Q14" s="81"/>
      <c r="R14" s="113"/>
      <c r="S14" s="102">
        <v>1000</v>
      </c>
      <c r="T14" s="74" t="s">
        <v>195</v>
      </c>
      <c r="U14" s="104">
        <v>0</v>
      </c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177</v>
      </c>
      <c r="G15" s="5"/>
      <c r="H15" s="75" t="s">
        <v>69</v>
      </c>
      <c r="I15" s="69" t="s">
        <v>12</v>
      </c>
      <c r="J15" s="213" t="s">
        <v>187</v>
      </c>
      <c r="K15" s="78"/>
      <c r="L15" s="78"/>
      <c r="M15" s="247"/>
      <c r="N15" s="242" t="s">
        <v>169</v>
      </c>
      <c r="O15" s="242" t="s">
        <v>169</v>
      </c>
      <c r="P15" s="78"/>
      <c r="Q15" s="81"/>
      <c r="R15" s="113"/>
      <c r="S15" s="102"/>
      <c r="T15" s="74"/>
      <c r="U15" s="104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177</v>
      </c>
      <c r="G16" s="5"/>
      <c r="H16" s="239" t="s">
        <v>53</v>
      </c>
      <c r="I16" s="67" t="s">
        <v>172</v>
      </c>
      <c r="J16" s="213" t="s">
        <v>177</v>
      </c>
      <c r="K16" s="78"/>
      <c r="L16" s="78"/>
      <c r="M16" s="247"/>
      <c r="N16" s="243"/>
      <c r="O16" s="243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25</v>
      </c>
      <c r="F17" s="213" t="s">
        <v>181</v>
      </c>
      <c r="G17" s="5"/>
      <c r="H17" s="217"/>
      <c r="I17" s="69" t="s">
        <v>169</v>
      </c>
      <c r="J17" s="213" t="s">
        <v>177</v>
      </c>
      <c r="K17" s="78"/>
      <c r="L17" s="78"/>
      <c r="M17" s="247"/>
      <c r="N17" s="243"/>
      <c r="O17" s="243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30</v>
      </c>
      <c r="F18" s="213" t="s">
        <v>181</v>
      </c>
      <c r="G18" s="5"/>
      <c r="H18" s="76"/>
      <c r="I18" s="69" t="s">
        <v>331</v>
      </c>
      <c r="J18" s="213"/>
      <c r="K18" s="78"/>
      <c r="L18" s="78"/>
      <c r="M18" s="247"/>
      <c r="N18" s="243"/>
      <c r="O18" s="243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181</v>
      </c>
      <c r="G19" s="5"/>
      <c r="H19" s="76"/>
      <c r="I19" s="69" t="s">
        <v>171</v>
      </c>
      <c r="J19" s="213"/>
      <c r="K19" s="78"/>
      <c r="L19" s="78"/>
      <c r="M19" s="247"/>
      <c r="N19" s="243"/>
      <c r="O19" s="243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181</v>
      </c>
      <c r="G20" s="5"/>
      <c r="H20" s="76"/>
      <c r="I20" s="69"/>
      <c r="J20" s="213"/>
      <c r="K20" s="78"/>
      <c r="L20" s="78"/>
      <c r="M20" s="243"/>
      <c r="N20" s="243"/>
      <c r="O20" s="243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69"/>
      <c r="J21" s="213"/>
      <c r="K21" s="78"/>
      <c r="L21" s="78"/>
      <c r="M21" s="243"/>
      <c r="N21" s="243"/>
      <c r="O21" s="243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177</v>
      </c>
      <c r="G22" s="5"/>
      <c r="H22" s="109"/>
      <c r="I22" s="69"/>
      <c r="J22" s="213"/>
      <c r="K22" s="78"/>
      <c r="L22" s="78"/>
      <c r="M22" s="243"/>
      <c r="N22" s="243"/>
      <c r="O22" s="243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177</v>
      </c>
      <c r="G23" s="5"/>
      <c r="H23" s="109"/>
      <c r="I23" s="81"/>
      <c r="J23" s="213"/>
      <c r="K23" s="78"/>
      <c r="L23" s="78"/>
      <c r="M23" s="243"/>
      <c r="N23" s="243"/>
      <c r="O23" s="243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177</v>
      </c>
      <c r="G24" s="11"/>
      <c r="H24" s="109"/>
      <c r="I24" s="81"/>
      <c r="J24" s="175"/>
      <c r="K24" s="78"/>
      <c r="L24" s="78"/>
      <c r="M24" s="243"/>
      <c r="N24" s="243"/>
      <c r="O24" s="243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177</v>
      </c>
      <c r="G25" s="11"/>
      <c r="H25" s="109"/>
      <c r="I25" s="81"/>
      <c r="J25" s="175"/>
      <c r="K25" s="78"/>
      <c r="L25" s="78"/>
      <c r="M25" s="243"/>
      <c r="N25" s="243"/>
      <c r="O25" s="243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177</v>
      </c>
      <c r="G26" s="5"/>
      <c r="H26" s="109"/>
      <c r="I26" s="81"/>
      <c r="J26" s="213"/>
      <c r="K26" s="78"/>
      <c r="L26" s="78"/>
      <c r="M26" s="243"/>
      <c r="N26" s="243"/>
      <c r="O26" s="243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215</v>
      </c>
      <c r="E27" s="228">
        <f>Systemblatt!C11</f>
        <v>8000</v>
      </c>
      <c r="F27" s="229" t="s">
        <v>179</v>
      </c>
      <c r="G27" s="5"/>
      <c r="H27" s="110"/>
      <c r="I27" s="71"/>
      <c r="J27" s="214"/>
      <c r="K27" s="78"/>
      <c r="L27" s="78"/>
      <c r="M27" s="244"/>
      <c r="N27" s="244"/>
      <c r="O27" s="244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O12:Q12 O13:O27 P14:Q27 N12:N27 T10:T27 I16:I27 AH10:AH27 AC10:AC27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U6" zoomScale="70" zoomScaleNormal="70" workbookViewId="0">
      <selection activeCell="AM21" sqref="AM2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176</v>
      </c>
      <c r="G9" s="5"/>
      <c r="H9" s="73" t="s">
        <v>30</v>
      </c>
      <c r="I9" s="73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260" t="s">
        <v>202</v>
      </c>
      <c r="F10" s="213" t="s">
        <v>177</v>
      </c>
      <c r="G10" s="5"/>
      <c r="H10" s="68" t="s">
        <v>2</v>
      </c>
      <c r="I10" s="69"/>
      <c r="J10" s="216" t="s">
        <v>177</v>
      </c>
      <c r="K10" s="78"/>
      <c r="L10" s="78"/>
      <c r="M10" s="66" t="s">
        <v>73</v>
      </c>
      <c r="N10" s="178">
        <v>0.1</v>
      </c>
      <c r="O10" s="178">
        <v>0.1</v>
      </c>
      <c r="P10" s="179"/>
      <c r="Q10" s="180"/>
      <c r="R10" s="113"/>
      <c r="S10" s="125">
        <v>777</v>
      </c>
      <c r="T10" s="124" t="s">
        <v>174</v>
      </c>
      <c r="U10" s="126">
        <v>0.8</v>
      </c>
      <c r="V10" s="105"/>
      <c r="W10" s="137"/>
      <c r="X10" s="82">
        <v>777</v>
      </c>
      <c r="Y10" s="138">
        <v>1000</v>
      </c>
      <c r="Z10" s="30">
        <v>1100</v>
      </c>
      <c r="AA10" s="74"/>
      <c r="AB10" s="135"/>
      <c r="AC10" s="82"/>
      <c r="AD10" s="138"/>
      <c r="AE10" s="82"/>
      <c r="AF10" s="136"/>
      <c r="AG10" s="119"/>
      <c r="AH10" s="125" t="s">
        <v>172</v>
      </c>
      <c r="AI10" s="124">
        <v>2</v>
      </c>
      <c r="AJ10" s="126">
        <v>-1</v>
      </c>
      <c r="AK10" s="114"/>
      <c r="AL10" s="127">
        <v>2</v>
      </c>
      <c r="AM10" s="128" t="s">
        <v>172</v>
      </c>
      <c r="AN10" s="129">
        <v>0.99</v>
      </c>
      <c r="AO10" s="86"/>
    </row>
    <row r="11" spans="3:41" ht="18.5" x14ac:dyDescent="0.45">
      <c r="C11" s="85"/>
      <c r="D11" s="68" t="s">
        <v>3</v>
      </c>
      <c r="E11" s="69">
        <v>200</v>
      </c>
      <c r="F11" s="213" t="s">
        <v>177</v>
      </c>
      <c r="G11" s="5"/>
      <c r="H11" s="68" t="s">
        <v>65</v>
      </c>
      <c r="I11" s="104">
        <v>1</v>
      </c>
      <c r="J11" s="213" t="s">
        <v>186</v>
      </c>
      <c r="K11" s="78"/>
      <c r="L11" s="78"/>
      <c r="M11" s="75" t="s">
        <v>74</v>
      </c>
      <c r="N11" s="124" t="s">
        <v>12</v>
      </c>
      <c r="O11" s="124" t="s">
        <v>12</v>
      </c>
      <c r="P11" s="124"/>
      <c r="Q11" s="124"/>
      <c r="R11" s="113"/>
      <c r="S11" s="50">
        <v>1100</v>
      </c>
      <c r="T11" s="74" t="s">
        <v>174</v>
      </c>
      <c r="U11" s="30">
        <v>0.2</v>
      </c>
      <c r="V11" s="105"/>
      <c r="W11" s="108"/>
      <c r="Y11" s="105"/>
      <c r="Z11" s="30"/>
      <c r="AA11" s="74"/>
      <c r="AB11" s="106"/>
      <c r="AC11" s="74"/>
      <c r="AD11" s="105"/>
      <c r="AE11" s="74"/>
      <c r="AF11" s="107"/>
      <c r="AG11" s="119"/>
      <c r="AH11" s="125" t="s">
        <v>174</v>
      </c>
      <c r="AI11" s="124">
        <v>2</v>
      </c>
      <c r="AJ11" s="126">
        <v>0.25</v>
      </c>
      <c r="AK11" s="114"/>
      <c r="AL11" s="115">
        <v>3</v>
      </c>
      <c r="AM11" s="6" t="s">
        <v>171</v>
      </c>
      <c r="AN11" s="130">
        <v>0.5</v>
      </c>
      <c r="AO11" s="86"/>
    </row>
    <row r="12" spans="3:41" ht="18.5" x14ac:dyDescent="0.45">
      <c r="C12" s="85"/>
      <c r="D12" s="68" t="s">
        <v>40</v>
      </c>
      <c r="E12" s="258" t="s">
        <v>223</v>
      </c>
      <c r="F12" s="213" t="s">
        <v>177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75" t="s">
        <v>75</v>
      </c>
      <c r="N12" s="124" t="s">
        <v>172</v>
      </c>
      <c r="O12" s="124" t="s">
        <v>172</v>
      </c>
      <c r="P12" s="78"/>
      <c r="Q12" s="126"/>
      <c r="R12" s="113"/>
      <c r="S12" s="50">
        <v>1000</v>
      </c>
      <c r="T12" s="74" t="s">
        <v>175</v>
      </c>
      <c r="U12" s="30">
        <v>1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175</v>
      </c>
      <c r="AI12" s="124">
        <v>2</v>
      </c>
      <c r="AJ12" s="126">
        <v>0.75</v>
      </c>
      <c r="AK12" s="114"/>
      <c r="AL12" s="115">
        <v>4</v>
      </c>
      <c r="AM12" s="6" t="s">
        <v>331</v>
      </c>
      <c r="AN12" s="130">
        <v>0.6</v>
      </c>
      <c r="AO12" s="86"/>
    </row>
    <row r="13" spans="3:41" ht="18.5" x14ac:dyDescent="0.45">
      <c r="C13" s="85"/>
      <c r="D13" s="68" t="s">
        <v>54</v>
      </c>
      <c r="F13" s="213" t="s">
        <v>177</v>
      </c>
      <c r="G13" s="5"/>
      <c r="H13" s="68" t="s">
        <v>67</v>
      </c>
      <c r="I13" s="104">
        <v>0.1</v>
      </c>
      <c r="J13" s="213" t="s">
        <v>177</v>
      </c>
      <c r="K13" s="78"/>
      <c r="L13" s="78"/>
      <c r="M13" s="75"/>
      <c r="N13" s="124" t="s">
        <v>331</v>
      </c>
      <c r="O13" s="124" t="s">
        <v>331</v>
      </c>
      <c r="P13" s="74"/>
      <c r="Q13" s="69"/>
      <c r="R13" s="113"/>
      <c r="S13" s="50"/>
      <c r="T13" s="74"/>
      <c r="U13" s="3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171</v>
      </c>
      <c r="AI13" s="105">
        <v>3</v>
      </c>
      <c r="AJ13" s="107">
        <v>-1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>
        <v>2018</v>
      </c>
      <c r="J14" s="213" t="s">
        <v>189</v>
      </c>
      <c r="K14" s="78"/>
      <c r="L14" s="78"/>
      <c r="M14" s="76"/>
      <c r="N14" s="74" t="s">
        <v>171</v>
      </c>
      <c r="O14" s="74" t="s">
        <v>171</v>
      </c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 t="s">
        <v>174</v>
      </c>
      <c r="AI14" s="105">
        <v>3</v>
      </c>
      <c r="AJ14" s="107">
        <v>0.25</v>
      </c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177</v>
      </c>
      <c r="G15" s="5"/>
      <c r="H15" s="75" t="s">
        <v>69</v>
      </c>
      <c r="I15" s="69" t="s">
        <v>12</v>
      </c>
      <c r="J15" s="213" t="s">
        <v>187</v>
      </c>
      <c r="K15" s="78"/>
      <c r="L15" s="78"/>
      <c r="M15" s="76"/>
      <c r="N15" s="74" t="s">
        <v>169</v>
      </c>
      <c r="O15" s="74" t="s">
        <v>169</v>
      </c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 t="s">
        <v>175</v>
      </c>
      <c r="AI15" s="105">
        <v>3</v>
      </c>
      <c r="AJ15" s="107">
        <v>0.75</v>
      </c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177</v>
      </c>
      <c r="G16" s="5"/>
      <c r="H16" s="239" t="s">
        <v>53</v>
      </c>
      <c r="I16" s="67" t="s">
        <v>172</v>
      </c>
      <c r="J16" s="213" t="s">
        <v>177</v>
      </c>
      <c r="K16" s="78"/>
      <c r="L16" s="78"/>
      <c r="M16" s="76"/>
      <c r="N16" s="78"/>
      <c r="O16" s="20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 t="s">
        <v>331</v>
      </c>
      <c r="AI16" s="74">
        <v>4</v>
      </c>
      <c r="AJ16" s="107">
        <v>-1</v>
      </c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20</v>
      </c>
      <c r="F17" s="213" t="s">
        <v>181</v>
      </c>
      <c r="G17" s="5"/>
      <c r="H17" s="217"/>
      <c r="I17" s="69" t="s">
        <v>169</v>
      </c>
      <c r="J17" s="213" t="s">
        <v>177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 t="s">
        <v>174</v>
      </c>
      <c r="AI17" s="74">
        <v>4</v>
      </c>
      <c r="AJ17" s="107">
        <v>0.25</v>
      </c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35</v>
      </c>
      <c r="F18" s="213" t="s">
        <v>181</v>
      </c>
      <c r="G18" s="5"/>
      <c r="H18" s="76"/>
      <c r="I18" s="69" t="s">
        <v>331</v>
      </c>
      <c r="J18" s="213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 t="s">
        <v>175</v>
      </c>
      <c r="AI18" s="74">
        <v>4</v>
      </c>
      <c r="AJ18" s="107">
        <v>0.75</v>
      </c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181</v>
      </c>
      <c r="G19" s="5"/>
      <c r="H19" s="76"/>
      <c r="I19" s="69" t="s">
        <v>171</v>
      </c>
      <c r="J19" s="213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181</v>
      </c>
      <c r="G20" s="5"/>
      <c r="H20" s="76"/>
      <c r="I20" s="69"/>
      <c r="J20" s="213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69"/>
      <c r="J21" s="213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177</v>
      </c>
      <c r="G22" s="5"/>
      <c r="H22" s="109"/>
      <c r="I22" s="69"/>
      <c r="J22" s="213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177</v>
      </c>
      <c r="G23" s="5"/>
      <c r="H23" s="109"/>
      <c r="I23" s="81"/>
      <c r="J23" s="213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177</v>
      </c>
      <c r="G24" s="11"/>
      <c r="H24" s="109"/>
      <c r="I24" s="81"/>
      <c r="J24" s="175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177</v>
      </c>
      <c r="G25" s="11"/>
      <c r="H25" s="109"/>
      <c r="I25" s="81"/>
      <c r="J25" s="175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177</v>
      </c>
      <c r="G26" s="5"/>
      <c r="H26" s="109"/>
      <c r="I26" s="81"/>
      <c r="J26" s="213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215</v>
      </c>
      <c r="E27" s="228">
        <f>Systemblatt!C11</f>
        <v>8000</v>
      </c>
      <c r="F27" s="229" t="s">
        <v>179</v>
      </c>
      <c r="G27" s="5"/>
      <c r="H27" s="110"/>
      <c r="I27" s="80"/>
      <c r="J27" s="21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T10:T27 O12:Q12 AH10:AH27 N17:Q27 N12:N16 I16:I27 AC10:AC27 P14:Q16 O13:O15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O47" sqref="O4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176</v>
      </c>
      <c r="G9" s="5"/>
      <c r="H9" s="98" t="s">
        <v>30</v>
      </c>
      <c r="I9" s="98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203</v>
      </c>
      <c r="F10" s="213" t="s">
        <v>177</v>
      </c>
      <c r="G10" s="5"/>
      <c r="H10" s="66" t="s">
        <v>2</v>
      </c>
      <c r="I10" s="67"/>
      <c r="J10" s="95" t="s">
        <v>177</v>
      </c>
      <c r="K10" s="78"/>
      <c r="L10" s="78"/>
      <c r="M10" s="66" t="s">
        <v>73</v>
      </c>
      <c r="N10" s="178"/>
      <c r="O10" s="178"/>
      <c r="P10" s="179"/>
      <c r="Q10" s="180"/>
      <c r="R10" s="113"/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174</v>
      </c>
      <c r="AI10" s="124">
        <v>5</v>
      </c>
      <c r="AJ10" s="126">
        <v>-1</v>
      </c>
      <c r="AK10" s="114"/>
      <c r="AL10" s="127">
        <v>5</v>
      </c>
      <c r="AM10" s="128" t="s">
        <v>174</v>
      </c>
      <c r="AN10" s="129">
        <v>1</v>
      </c>
      <c r="AO10" s="86"/>
    </row>
    <row r="11" spans="3:41" ht="18.5" x14ac:dyDescent="0.45">
      <c r="C11" s="85"/>
      <c r="D11" s="68" t="s">
        <v>3</v>
      </c>
      <c r="E11" s="69">
        <v>300</v>
      </c>
      <c r="F11" s="213" t="s">
        <v>177</v>
      </c>
      <c r="G11" s="5"/>
      <c r="H11" s="68" t="s">
        <v>65</v>
      </c>
      <c r="I11" s="104">
        <v>2</v>
      </c>
      <c r="J11" s="86" t="s">
        <v>186</v>
      </c>
      <c r="K11" s="78"/>
      <c r="L11" s="78"/>
      <c r="M11" s="75" t="s">
        <v>74</v>
      </c>
      <c r="N11" s="124"/>
      <c r="O11" s="124"/>
      <c r="P11" s="124"/>
      <c r="Q11" s="124"/>
      <c r="R11" s="113"/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177</v>
      </c>
      <c r="G12" s="5"/>
      <c r="H12" s="68" t="s">
        <v>66</v>
      </c>
      <c r="I12" s="104">
        <v>10</v>
      </c>
      <c r="J12" s="86" t="str">
        <f>J15</f>
        <v>t/h</v>
      </c>
      <c r="K12" s="78"/>
      <c r="L12" s="78"/>
      <c r="M12" s="75" t="s">
        <v>75</v>
      </c>
      <c r="N12" s="124"/>
      <c r="O12" s="124"/>
      <c r="P12" s="78"/>
      <c r="Q12" s="126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E13" s="3" t="s">
        <v>204</v>
      </c>
      <c r="F13" s="213" t="s">
        <v>177</v>
      </c>
      <c r="G13" s="5"/>
      <c r="H13" s="68" t="s">
        <v>67</v>
      </c>
      <c r="I13" s="104">
        <v>0.1</v>
      </c>
      <c r="J13" s="86" t="s">
        <v>177</v>
      </c>
      <c r="K13" s="78"/>
      <c r="L13" s="78"/>
      <c r="M13" s="75" t="s">
        <v>190</v>
      </c>
      <c r="N13" s="74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>
        <v>2018</v>
      </c>
      <c r="J14" s="86" t="s">
        <v>189</v>
      </c>
      <c r="K14" s="78"/>
      <c r="L14" s="78"/>
      <c r="M14" s="76"/>
      <c r="N14" s="78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8.5" x14ac:dyDescent="0.45">
      <c r="C15" s="85"/>
      <c r="D15" s="68" t="s">
        <v>56</v>
      </c>
      <c r="E15" s="69">
        <v>2.6</v>
      </c>
      <c r="F15" s="213" t="s">
        <v>177</v>
      </c>
      <c r="G15" s="5"/>
      <c r="H15" s="75" t="s">
        <v>69</v>
      </c>
      <c r="I15" s="69" t="s">
        <v>12</v>
      </c>
      <c r="J15" s="86" t="s">
        <v>187</v>
      </c>
      <c r="K15" s="78"/>
      <c r="L15" s="78"/>
      <c r="M15" s="76"/>
      <c r="N15" s="78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8.5" x14ac:dyDescent="0.45">
      <c r="C16" s="85"/>
      <c r="D16" s="68" t="s">
        <v>57</v>
      </c>
      <c r="E16" s="69">
        <v>1.44</v>
      </c>
      <c r="F16" s="213" t="s">
        <v>177</v>
      </c>
      <c r="G16" s="5"/>
      <c r="H16" s="75" t="s">
        <v>53</v>
      </c>
      <c r="I16" s="69" t="s">
        <v>174</v>
      </c>
      <c r="J16" s="86" t="s">
        <v>177</v>
      </c>
      <c r="K16" s="78"/>
      <c r="L16" s="78"/>
      <c r="M16" s="76"/>
      <c r="N16" s="78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192</v>
      </c>
      <c r="G17" s="5"/>
      <c r="H17" s="75" t="s">
        <v>190</v>
      </c>
      <c r="I17" s="69"/>
      <c r="J17" s="86" t="s">
        <v>177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192</v>
      </c>
      <c r="G18" s="5"/>
      <c r="H18" s="76"/>
      <c r="I18" s="69"/>
      <c r="J18" s="86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192</v>
      </c>
      <c r="G19" s="5"/>
      <c r="H19" s="76"/>
      <c r="I19" s="69"/>
      <c r="J19" s="86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192</v>
      </c>
      <c r="G20" s="5"/>
      <c r="H20" s="76"/>
      <c r="I20" s="69"/>
      <c r="J20" s="86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177</v>
      </c>
      <c r="G21" s="5"/>
      <c r="H21" s="109"/>
      <c r="I21" s="69"/>
      <c r="J21" s="86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177</v>
      </c>
      <c r="G22" s="5"/>
      <c r="H22" s="109"/>
      <c r="I22" s="69"/>
      <c r="J22" s="86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177</v>
      </c>
      <c r="G23" s="5"/>
      <c r="H23" s="109"/>
      <c r="I23" s="81"/>
      <c r="J23" s="86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177</v>
      </c>
      <c r="G24" s="11"/>
      <c r="H24" s="109"/>
      <c r="I24" s="81"/>
      <c r="J24" s="91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177</v>
      </c>
      <c r="G25" s="11"/>
      <c r="H25" s="109"/>
      <c r="I25" s="81"/>
      <c r="J25" s="91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177</v>
      </c>
      <c r="G26" s="5"/>
      <c r="H26" s="109"/>
      <c r="I26" s="81"/>
      <c r="J26" s="86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215</v>
      </c>
      <c r="E27" s="228">
        <f>Systemblatt!C11</f>
        <v>8000</v>
      </c>
      <c r="F27" s="229" t="s">
        <v>179</v>
      </c>
      <c r="G27" s="5"/>
      <c r="H27" s="110"/>
      <c r="I27" s="80"/>
      <c r="J27" s="6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G35" sqref="G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5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176</v>
      </c>
      <c r="G9" s="5"/>
      <c r="H9" s="98" t="s">
        <v>30</v>
      </c>
      <c r="I9" s="98" t="s">
        <v>52</v>
      </c>
      <c r="J9" s="73" t="s">
        <v>176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225</v>
      </c>
      <c r="F10" s="213" t="s">
        <v>177</v>
      </c>
      <c r="G10" s="5"/>
      <c r="H10" s="66" t="s">
        <v>2</v>
      </c>
      <c r="I10" s="67"/>
      <c r="J10" s="95" t="s">
        <v>177</v>
      </c>
      <c r="K10" s="5"/>
      <c r="L10" s="78"/>
      <c r="M10" s="66" t="s">
        <v>73</v>
      </c>
      <c r="N10" s="178"/>
      <c r="O10" s="178"/>
      <c r="P10" s="179"/>
      <c r="Q10" s="180"/>
      <c r="R10" s="5" t="s">
        <v>193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174</v>
      </c>
      <c r="AI10" s="124">
        <v>5</v>
      </c>
      <c r="AJ10" s="126">
        <v>-1</v>
      </c>
      <c r="AK10" s="114"/>
      <c r="AL10" s="127">
        <v>5</v>
      </c>
      <c r="AM10" s="128" t="s">
        <v>174</v>
      </c>
      <c r="AN10" s="129">
        <v>1</v>
      </c>
      <c r="AO10" s="86"/>
    </row>
    <row r="11" spans="3:41" ht="19" thickBot="1" x14ac:dyDescent="0.5">
      <c r="C11" s="85"/>
      <c r="D11" s="68" t="s">
        <v>3</v>
      </c>
      <c r="E11" s="69">
        <v>310</v>
      </c>
      <c r="F11" s="213" t="s">
        <v>177</v>
      </c>
      <c r="G11" s="5"/>
      <c r="H11" s="68" t="s">
        <v>65</v>
      </c>
      <c r="I11" s="104">
        <v>2</v>
      </c>
      <c r="J11" s="86" t="s">
        <v>186</v>
      </c>
      <c r="K11" s="5"/>
      <c r="L11" s="78"/>
      <c r="M11" s="75" t="s">
        <v>74</v>
      </c>
      <c r="N11" s="124"/>
      <c r="O11" s="124"/>
      <c r="P11" s="78"/>
      <c r="Q11" s="126"/>
      <c r="R11" s="5" t="s">
        <v>187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177</v>
      </c>
      <c r="G12" s="5"/>
      <c r="H12" s="68" t="s">
        <v>66</v>
      </c>
      <c r="I12" s="104">
        <v>10</v>
      </c>
      <c r="J12" s="86" t="str">
        <f>J15</f>
        <v>t/h</v>
      </c>
      <c r="K12" s="5"/>
      <c r="L12" s="78"/>
      <c r="M12" s="245" t="s">
        <v>75</v>
      </c>
      <c r="N12" s="253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177</v>
      </c>
      <c r="G13" s="5"/>
      <c r="H13" s="68" t="s">
        <v>67</v>
      </c>
      <c r="I13" s="104">
        <v>0.1</v>
      </c>
      <c r="J13" s="86" t="s">
        <v>177</v>
      </c>
      <c r="K13" s="5"/>
      <c r="L13" s="78"/>
      <c r="M13" s="246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>
        <v>2018</v>
      </c>
      <c r="J14" s="86" t="s">
        <v>189</v>
      </c>
      <c r="K14" s="5"/>
      <c r="L14" s="78"/>
      <c r="M14" s="247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177</v>
      </c>
      <c r="G15" s="5"/>
      <c r="H15" s="75" t="s">
        <v>69</v>
      </c>
      <c r="I15" s="69" t="s">
        <v>12</v>
      </c>
      <c r="J15" s="86" t="s">
        <v>187</v>
      </c>
      <c r="K15" s="5"/>
      <c r="L15" s="78"/>
      <c r="M15" s="247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177</v>
      </c>
      <c r="G16" s="5"/>
      <c r="H16" s="239" t="s">
        <v>53</v>
      </c>
      <c r="I16" s="241" t="s">
        <v>174</v>
      </c>
      <c r="J16" s="95" t="s">
        <v>177</v>
      </c>
      <c r="K16" s="5"/>
      <c r="L16" s="78"/>
      <c r="M16" s="247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192</v>
      </c>
      <c r="G17" s="5"/>
      <c r="H17" s="75"/>
      <c r="I17" s="242"/>
      <c r="J17" s="86" t="s">
        <v>177</v>
      </c>
      <c r="K17" s="5"/>
      <c r="L17" s="78"/>
      <c r="M17" s="247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192</v>
      </c>
      <c r="G18" s="5"/>
      <c r="H18" s="76"/>
      <c r="I18" s="242"/>
      <c r="J18" s="86" t="s">
        <v>177</v>
      </c>
      <c r="K18" s="5"/>
      <c r="L18" s="78"/>
      <c r="M18" s="247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192</v>
      </c>
      <c r="G19" s="5"/>
      <c r="H19" s="76"/>
      <c r="I19" s="242"/>
      <c r="J19" s="86" t="s">
        <v>177</v>
      </c>
      <c r="K19" s="5"/>
      <c r="L19" s="78"/>
      <c r="M19" s="247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192</v>
      </c>
      <c r="G20" s="5"/>
      <c r="H20" s="76"/>
      <c r="I20" s="242"/>
      <c r="J20" s="86" t="s">
        <v>177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177</v>
      </c>
      <c r="G21" s="5"/>
      <c r="H21" s="109"/>
      <c r="I21" s="242"/>
      <c r="J21" s="86" t="s">
        <v>177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177</v>
      </c>
      <c r="G22" s="5"/>
      <c r="H22" s="109"/>
      <c r="I22" s="242"/>
      <c r="J22" s="86" t="s">
        <v>177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177</v>
      </c>
      <c r="G23" s="5"/>
      <c r="H23" s="109"/>
      <c r="I23" s="243"/>
      <c r="J23" s="86" t="s">
        <v>177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177</v>
      </c>
      <c r="G24" s="11"/>
      <c r="H24" s="109"/>
      <c r="I24" s="243"/>
      <c r="J24" s="86" t="s">
        <v>177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177</v>
      </c>
      <c r="G25" s="11"/>
      <c r="H25" s="109"/>
      <c r="I25" s="243"/>
      <c r="J25" s="86" t="s">
        <v>177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177</v>
      </c>
      <c r="G26" s="5"/>
      <c r="H26" s="109"/>
      <c r="I26" s="243"/>
      <c r="J26" s="86" t="s">
        <v>177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179</v>
      </c>
      <c r="G27" s="5"/>
      <c r="H27" s="110"/>
      <c r="I27" s="244"/>
      <c r="J27" s="64" t="s">
        <v>177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25</vt:i4>
      </vt:variant>
    </vt:vector>
  </HeadingPairs>
  <TitlesOfParts>
    <vt:vector size="25" baseType="lpstr">
      <vt:lpstr>Systemblatt</vt:lpstr>
      <vt:lpstr>DataBank</vt:lpstr>
      <vt:lpstr>Template_PhysicalProcess</vt:lpstr>
      <vt:lpstr>Template_StoichReactor</vt:lpstr>
      <vt:lpstr>Template_YieldReactor</vt:lpstr>
      <vt:lpstr>Template_ElGenerator</vt:lpstr>
      <vt:lpstr>Template_SteamGenerator</vt:lpstr>
      <vt:lpstr>Pools</vt:lpstr>
      <vt:lpstr>Sources</vt:lpstr>
      <vt:lpstr>Uncertainty_test_idea</vt:lpstr>
      <vt:lpstr>Distributor</vt:lpstr>
      <vt:lpstr>Uncertainty</vt:lpstr>
      <vt:lpstr>Grind_and_starch_decantation</vt:lpstr>
      <vt:lpstr>Drying</vt:lpstr>
      <vt:lpstr>Starch_processing</vt:lpstr>
      <vt:lpstr>PLA_reactor</vt:lpstr>
      <vt:lpstr>help_unit</vt:lpstr>
      <vt:lpstr>Microwave assisted extraction</vt:lpstr>
      <vt:lpstr>Solvent recovery</vt:lpstr>
      <vt:lpstr>ultra sound assisted extraction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2023-11-22T17:38:33Z</dcterms:modified>
</cp:coreProperties>
</file>