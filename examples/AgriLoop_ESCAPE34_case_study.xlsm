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0FD2740-BDDA-4A30-ABFE-420B620E7768}" xr6:coauthVersionLast="47" xr6:coauthVersionMax="47" xr10:uidLastSave="{00000000-0000-0000-0000-000000000000}"/>
  <bookViews>
    <workbookView xWindow="57480" yWindow="-1680" windowWidth="29040" windowHeight="15720" tabRatio="609" activeTab="12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PLA_reactor" sheetId="139" r:id="rId16"/>
    <sheet name="help_unit" sheetId="129" r:id="rId17"/>
    <sheet name="Microwave assisted extraction" sheetId="125" r:id="rId18"/>
    <sheet name="Solvent recovery" sheetId="132" r:id="rId19"/>
    <sheet name="ultra sound assisted extraction" sheetId="133" r:id="rId20"/>
    <sheet name="Solvent Recovery 2" sheetId="134" r:id="rId21"/>
    <sheet name="Yeast Fermentation" sheetId="127" r:id="rId22"/>
    <sheet name="Anaerobic Digestor" sheetId="126" r:id="rId23"/>
    <sheet name="elek Generator" sheetId="128" r:id="rId24"/>
    <sheet name="steam generator" sheetId="131" r:id="rId2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24" l="1"/>
  <c r="N10" i="124"/>
  <c r="E27" i="141"/>
  <c r="J12" i="141"/>
  <c r="E27" i="140"/>
  <c r="J12" i="140"/>
  <c r="D12" i="138"/>
  <c r="D11" i="138"/>
  <c r="C57" i="114"/>
  <c r="C23" i="114"/>
  <c r="C24" i="114"/>
  <c r="C38" i="114"/>
  <c r="C36" i="114"/>
  <c r="C35" i="114"/>
  <c r="E10" i="114" s="1"/>
  <c r="C47" i="114"/>
  <c r="E14" i="115"/>
  <c r="E15" i="115"/>
  <c r="E17" i="115"/>
  <c r="E18" i="115"/>
  <c r="F10" i="114"/>
  <c r="H10" i="114"/>
  <c r="E27" i="139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5" i="114"/>
  <c r="E13" i="115"/>
</calcChain>
</file>

<file path=xl/sharedStrings.xml><?xml version="1.0" encoding="utf-8"?>
<sst xmlns="http://schemas.openxmlformats.org/spreadsheetml/2006/main" count="2400" uniqueCount="348">
  <si>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</si>
  <si>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</si>
  <si>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</si>
  <si>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</si>
  <si>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</si>
  <si>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</si>
  <si>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</si>
  <si>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</si>
  <si>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</si>
  <si>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</si>
  <si>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</si>
  <si>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</si>
  <si>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</si>
  <si>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</si>
  <si>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</si>
  <si>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</si>
  <si>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</si>
  <si>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</si>
  <si>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</si>
  <si>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</si>
  <si>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</si>
  <si>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</si>
  <si>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</si>
  <si>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</si>
  <si>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</si>
  <si>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</si>
  <si>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</si>
  <si>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</si>
  <si>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</si>
  <si>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</si>
  <si>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</si>
  <si>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</si>
  <si>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</si>
  <si>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</si>
  <si>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</si>
  <si>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</si>
  <si>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</si>
  <si>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</si>
  <si>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</si>
  <si>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</si>
  <si>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</si>
  <si>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</si>
  <si>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</si>
  <si>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</si>
  <si>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</si>
  <si>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</si>
  <si>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</si>
  <si>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</si>
  <si>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</si>
  <si>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</si>
  <si>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</si>
  <si>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</si>
  <si>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</si>
  <si>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</si>
  <si>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</si>
  <si>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</si>
  <si>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</si>
  <si>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</si>
  <si>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</si>
  <si>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</si>
  <si>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</si>
  <si>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</si>
  <si>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</si>
  <si>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</si>
  <si>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</si>
  <si>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</si>
  <si>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</si>
  <si>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</si>
  <si>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</si>
  <si>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</si>
  <si>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</si>
  <si>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</si>
  <si>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</si>
  <si>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</si>
  <si>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</si>
  <si>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</si>
  <si>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</si>
  <si>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</si>
  <si>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</si>
  <si>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</si>
  <si>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</si>
  <si>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</si>
  <si>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</si>
  <si>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</si>
  <si>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</si>
  <si>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</si>
  <si>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</si>
  <si>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</si>
  <si>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</si>
  <si>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</si>
  <si>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</si>
  <si>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</si>
  <si>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</si>
  <si>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</si>
  <si>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</si>
  <si>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</si>
  <si>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</si>
  <si>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</si>
  <si>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</si>
  <si>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</si>
  <si>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</si>
  <si>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</si>
  <si>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</si>
  <si>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</si>
  <si>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</si>
  <si>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</si>
  <si>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</si>
  <si>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</si>
  <si>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</si>
  <si>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</si>
  <si>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</si>
  <si>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</si>
  <si>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</si>
  <si>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</si>
  <si>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</si>
  <si>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</si>
  <si>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</si>
  <si>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</si>
  <si>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</si>
  <si>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</si>
  <si>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</si>
  <si>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</si>
  <si>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</si>
  <si>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</si>
  <si>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</si>
  <si>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</si>
  <si>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</si>
  <si>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</si>
  <si>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</si>
  <si>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</si>
  <si>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</si>
  <si>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</si>
  <si>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</si>
  <si>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</si>
  <si>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</si>
  <si>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</si>
  <si>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</si>
  <si>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</si>
  <si>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</si>
  <si>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</si>
  <si>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</si>
  <si>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</si>
  <si>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</si>
  <si>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</si>
  <si>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</si>
  <si>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</si>
  <si>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</si>
  <si>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</si>
  <si>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</si>
  <si>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</si>
  <si>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</si>
  <si>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</si>
  <si>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</si>
  <si>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</si>
  <si>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</si>
  <si>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</si>
  <si>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</si>
  <si>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</si>
  <si>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</si>
  <si>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</si>
  <si>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</si>
  <si>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</si>
  <si>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</si>
  <si>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</si>
  <si>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</si>
  <si>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</si>
  <si>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</si>
  <si>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</si>
  <si>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</si>
  <si>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</si>
  <si>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</si>
  <si>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</si>
  <si>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</si>
  <si>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</si>
  <si>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</si>
  <si>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</si>
  <si>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</si>
  <si>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</si>
  <si>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</si>
  <si>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</si>
  <si>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</si>
  <si>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</si>
  <si>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</si>
  <si>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</si>
  <si>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</si>
  <si>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</si>
  <si>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</si>
  <si>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</si>
  <si>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</si>
  <si>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</si>
  <si>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</si>
  <si>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</si>
  <si>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</si>
  <si>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</si>
  <si>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</si>
  <si>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</si>
  <si>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</si>
  <si>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</si>
  <si>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</si>
  <si>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</si>
  <si>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</si>
  <si>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</si>
  <si>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</si>
  <si>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</si>
  <si>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</si>
  <si>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</si>
  <si>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</si>
  <si>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</si>
  <si>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</si>
  <si>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</si>
  <si>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</si>
  <si>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</si>
  <si>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</si>
  <si>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</si>
  <si>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</si>
  <si>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</si>
  <si>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</si>
  <si>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</si>
  <si>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</si>
  <si>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</si>
  <si>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</si>
  <si>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</si>
  <si>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</si>
  <si>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</si>
  <si>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</si>
  <si>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</si>
  <si>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</si>
  <si>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</si>
  <si>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</si>
  <si>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</si>
  <si>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</si>
  <si>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</si>
  <si>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</si>
  <si>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</si>
  <si>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</si>
  <si>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</si>
  <si>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</si>
  <si>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</si>
  <si>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</si>
  <si>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</si>
  <si>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</si>
  <si>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</si>
  <si>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</si>
  <si>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</si>
  <si>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</si>
  <si>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</si>
  <si>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</si>
  <si>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</si>
  <si>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</si>
  <si>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</si>
  <si>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</si>
  <si>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</si>
  <si>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</si>
  <si>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</si>
  <si>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</si>
  <si>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</si>
  <si>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</si>
  <si>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</si>
  <si>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</si>
  <si>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</si>
  <si>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</si>
  <si>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</si>
  <si>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</si>
  <si>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</si>
  <si>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</si>
  <si>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</si>
  <si>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</si>
  <si>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</si>
  <si>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</si>
  <si>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</si>
  <si>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</si>
  <si>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</si>
  <si>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</si>
  <si>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</si>
  <si>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</si>
  <si>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</si>
  <si>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</si>
  <si>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</si>
  <si>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</si>
  <si>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</si>
  <si>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</si>
  <si>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</si>
  <si>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</si>
  <si>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</si>
  <si>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</si>
  <si>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</si>
  <si>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</si>
  <si>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</si>
  <si>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</si>
  <si>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</si>
  <si>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</si>
  <si>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</si>
  <si>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</si>
  <si>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</si>
  <si>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</si>
  <si>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</si>
  <si>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</si>
  <si>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</si>
  <si>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</si>
  <si>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</si>
  <si>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</si>
  <si>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</si>
  <si>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</si>
  <si>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h/y</t>
  </si>
  <si>
    <t xml:space="preserve">Units </t>
  </si>
  <si>
    <t>MinProduction</t>
  </si>
  <si>
    <t>MaxProduction</t>
  </si>
  <si>
    <t>Target unit</t>
  </si>
  <si>
    <t>PLA Reactor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</si>
  <si>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</si>
  <si>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</si>
  <si>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</si>
  <si>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</si>
  <si>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</si>
  <si>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</si>
  <si>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</si>
  <si>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</si>
  <si>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</si>
  <si>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</si>
  <si>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</si>
  <si>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</si>
  <si>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</si>
  <si>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odds</t>
  </si>
  <si>
    <t>[0.1, 0.8, 0.1}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</si>
  <si>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</si>
  <si>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</si>
  <si>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</si>
  <si>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</si>
  <si>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</si>
  <si>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</si>
  <si>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</si>
  <si>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</si>
  <si>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</si>
  <si>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</si>
  <si>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</si>
  <si>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Grinding</t>
  </si>
  <si>
    <t>Hot Air Drying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</si>
  <si>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</si>
  <si>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</si>
  <si>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</si>
  <si>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Starch processing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</si>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</sst>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75" formatCode="0.000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39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23" fillId="17" borderId="5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164" fontId="0" fillId="0" borderId="0" xfId="0" applyNumberFormat="1"/>
    <xf numFmtId="175" fontId="0" fillId="5" borderId="3" xfId="0" applyNumberForma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167266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2044C1-F85E-72A4-FDB3-295888256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328084</xdr:colOff>
      <xdr:row>24</xdr:row>
      <xdr:rowOff>169333</xdr:rowOff>
    </xdr:from>
    <xdr:to>
      <xdr:col>19</xdr:col>
      <xdr:colOff>116416</xdr:colOff>
      <xdr:row>34</xdr:row>
      <xdr:rowOff>158750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68A9DB5-E8FB-D33D-C691-CACD3AE8E919}"/>
            </a:ext>
          </a:extLst>
        </xdr:cNvPr>
        <xdr:cNvSpPr txBox="1"/>
      </xdr:nvSpPr>
      <xdr:spPr>
        <a:xfrm>
          <a:off x="15165917" y="4614333"/>
          <a:ext cx="3164416" cy="18203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406398</xdr:colOff>
      <xdr:row>4</xdr:row>
      <xdr:rowOff>166158</xdr:rowOff>
    </xdr:from>
    <xdr:to>
      <xdr:col>29</xdr:col>
      <xdr:colOff>239015</xdr:colOff>
      <xdr:row>25</xdr:row>
      <xdr:rowOff>102658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9F1C18-AF63-412C-BF42-28B0D002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20315" y="917575"/>
          <a:ext cx="8324683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B3" zoomScale="70" zoomScaleNormal="70" workbookViewId="0">
      <selection activeCell="H25" sqref="H25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4" t="s">
        <v>29</v>
      </c>
      <c r="C3" s="335"/>
      <c r="D3" s="336"/>
      <c r="F3" s="323" t="s">
        <v>32</v>
      </c>
      <c r="G3" s="324"/>
      <c r="H3" s="324"/>
      <c r="I3" s="324"/>
      <c r="J3" s="324"/>
      <c r="K3" s="325"/>
      <c r="L3" s="14"/>
      <c r="M3" s="14"/>
      <c r="N3" s="340" t="s">
        <v>35</v>
      </c>
      <c r="O3" s="341"/>
      <c r="P3" s="342"/>
      <c r="Q3" s="14"/>
      <c r="R3" s="14"/>
      <c r="S3" s="343" t="s">
        <v>39</v>
      </c>
      <c r="T3" s="344"/>
      <c r="U3" s="344"/>
      <c r="V3" s="345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176</v>
      </c>
      <c r="E4" s="14"/>
      <c r="F4" s="184" t="s">
        <v>33</v>
      </c>
      <c r="G4" s="185" t="s">
        <v>185</v>
      </c>
      <c r="H4" s="185" t="s">
        <v>183</v>
      </c>
      <c r="I4" s="185" t="s">
        <v>184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177</v>
      </c>
      <c r="E5" s="14"/>
      <c r="F5" s="24" t="s">
        <v>331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194</v>
      </c>
      <c r="P5" s="28" t="s">
        <v>172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177</v>
      </c>
      <c r="E6" s="14"/>
      <c r="F6" s="24" t="s">
        <v>171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197</v>
      </c>
      <c r="P6" s="30" t="s">
        <v>172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128</v>
      </c>
      <c r="D7" s="235" t="s">
        <v>177</v>
      </c>
      <c r="E7" s="14"/>
      <c r="F7" s="24" t="s">
        <v>172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198</v>
      </c>
      <c r="P7" s="30" t="s">
        <v>171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220</v>
      </c>
      <c r="C8" s="232" t="s">
        <v>219</v>
      </c>
      <c r="D8" s="235" t="s">
        <v>177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199</v>
      </c>
      <c r="P8" s="30" t="s">
        <v>331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299</v>
      </c>
      <c r="C9" s="30"/>
      <c r="D9" s="235" t="s">
        <v>177</v>
      </c>
      <c r="E9" s="14"/>
      <c r="F9" s="24" t="s">
        <v>174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200</v>
      </c>
      <c r="P9" s="30" t="s">
        <v>174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300</v>
      </c>
      <c r="C10" s="29"/>
      <c r="D10" s="235" t="s">
        <v>178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303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175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195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228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282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 t="s">
        <v>330</v>
      </c>
      <c r="G18" s="43"/>
      <c r="H18" s="44">
        <v>1</v>
      </c>
      <c r="I18" s="43">
        <v>22</v>
      </c>
      <c r="J18" s="43">
        <v>0</v>
      </c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2"/>
      <c r="X18" s="332"/>
      <c r="Y18" s="332"/>
      <c r="Z18" s="333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180</v>
      </c>
      <c r="E19" s="14"/>
      <c r="F19" s="24" t="s">
        <v>333</v>
      </c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0"/>
      <c r="Z19" s="331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182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0"/>
      <c r="Z20" s="331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182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0"/>
      <c r="Z21" s="331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0"/>
      <c r="Z22" s="331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6"/>
      <c r="U23" s="34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7" t="s">
        <v>133</v>
      </c>
      <c r="O30" s="338"/>
      <c r="P30" s="339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7" t="s">
        <v>140</v>
      </c>
      <c r="T31" s="338"/>
      <c r="U31" s="338"/>
      <c r="V31" s="338"/>
      <c r="W31" s="339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2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P2" sqref="P2"/>
    </sheetView>
  </sheetViews>
  <sheetFormatPr baseColWidth="10"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188</v>
      </c>
      <c r="F1" s="1" t="s">
        <v>16</v>
      </c>
      <c r="L1" t="s">
        <v>138</v>
      </c>
      <c r="P1" t="s">
        <v>342</v>
      </c>
    </row>
    <row r="2" spans="1:21" ht="15.5" x14ac:dyDescent="0.35">
      <c r="A2" t="s">
        <v>25</v>
      </c>
      <c r="B2" t="s">
        <v>188</v>
      </c>
      <c r="C2" t="s">
        <v>25</v>
      </c>
      <c r="F2" s="183" t="s">
        <v>116</v>
      </c>
      <c r="L2" t="s">
        <v>122</v>
      </c>
      <c r="P2" t="s">
        <v>342</v>
      </c>
    </row>
    <row r="3" spans="1:21" ht="15.5" x14ac:dyDescent="0.35">
      <c r="A3" t="s">
        <v>12</v>
      </c>
      <c r="B3" t="s">
        <v>187</v>
      </c>
      <c r="C3" t="s">
        <v>12</v>
      </c>
      <c r="F3" s="230" t="s">
        <v>216</v>
      </c>
      <c r="L3" t="s">
        <v>139</v>
      </c>
    </row>
    <row r="4" spans="1:21" ht="15.5" x14ac:dyDescent="0.35">
      <c r="A4" t="s">
        <v>13</v>
      </c>
      <c r="B4" t="s">
        <v>187</v>
      </c>
      <c r="C4" t="s">
        <v>13</v>
      </c>
      <c r="F4" s="230" t="s">
        <v>217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218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221</v>
      </c>
    </row>
    <row r="15" spans="1:21" x14ac:dyDescent="0.35">
      <c r="A15" t="s">
        <v>219</v>
      </c>
    </row>
    <row r="16" spans="1:21" x14ac:dyDescent="0.35">
      <c r="G16" s="326" t="s">
        <v>127</v>
      </c>
      <c r="H16" s="326" t="s">
        <v>149</v>
      </c>
      <c r="I16" t="s">
        <v>150</v>
      </c>
      <c r="J16" t="s">
        <v>152</v>
      </c>
      <c r="K16" t="s">
        <v>153</v>
      </c>
      <c r="M16" t="s">
        <v>251</v>
      </c>
      <c r="O16" t="s">
        <v>258</v>
      </c>
      <c r="R16" t="s">
        <v>260</v>
      </c>
      <c r="U16" t="s">
        <v>259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1">
        <v>2</v>
      </c>
      <c r="O17" t="s">
        <v>293</v>
      </c>
      <c r="R17" t="s">
        <v>247</v>
      </c>
      <c r="U17" t="s">
        <v>274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1">
        <v>3</v>
      </c>
      <c r="O18" t="s">
        <v>288</v>
      </c>
      <c r="R18" t="s">
        <v>252</v>
      </c>
      <c r="U18" t="s">
        <v>276</v>
      </c>
    </row>
    <row r="19" spans="7:21" x14ac:dyDescent="0.35">
      <c r="G19" t="s">
        <v>146</v>
      </c>
      <c r="H19" t="s">
        <v>148</v>
      </c>
      <c r="M19" s="261" t="s">
        <v>288</v>
      </c>
      <c r="R19" t="s">
        <v>253</v>
      </c>
      <c r="U19" t="s">
        <v>275</v>
      </c>
    </row>
    <row r="20" spans="7:21" x14ac:dyDescent="0.35">
      <c r="G20" t="s">
        <v>129</v>
      </c>
      <c r="H20" t="s">
        <v>137</v>
      </c>
      <c r="R20" t="s">
        <v>254</v>
      </c>
    </row>
    <row r="21" spans="7:21" x14ac:dyDescent="0.35">
      <c r="G21" t="s">
        <v>232</v>
      </c>
      <c r="H21" t="s">
        <v>298</v>
      </c>
    </row>
    <row r="22" spans="7:21" x14ac:dyDescent="0.35">
      <c r="G22" t="s">
        <v>301</v>
      </c>
    </row>
    <row r="35" spans="2:2" x14ac:dyDescent="0.35">
      <c r="B35" t="s">
        <v>222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213" t="s">
        <v>186</v>
      </c>
      <c r="K11" s="5"/>
      <c r="L11" s="5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5" t="s">
        <v>75</v>
      </c>
      <c r="N12" s="253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251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213" t="s">
        <v>186</v>
      </c>
      <c r="K11" s="78"/>
      <c r="L11" s="78"/>
      <c r="M11" s="252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223</v>
      </c>
      <c r="F12" s="213" t="s">
        <v>177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213" t="s">
        <v>177</v>
      </c>
      <c r="K13" s="78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213" t="s">
        <v>189</v>
      </c>
      <c r="K14" s="78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213" t="s">
        <v>187</v>
      </c>
      <c r="K15" s="78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181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181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51" t="s">
        <v>76</v>
      </c>
      <c r="T8" s="352"/>
      <c r="U8" s="353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51" t="s">
        <v>7</v>
      </c>
      <c r="AI8" s="352"/>
      <c r="AJ8" s="353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78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8" t="s">
        <v>224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78"/>
      <c r="L13" s="78"/>
      <c r="M13" s="246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78"/>
      <c r="L14" s="78"/>
      <c r="M14" s="247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181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181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78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78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78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177</v>
      </c>
      <c r="G10" s="5"/>
      <c r="H10" s="66" t="s">
        <v>2</v>
      </c>
      <c r="I10" s="67"/>
      <c r="J10" s="95" t="s">
        <v>177</v>
      </c>
      <c r="K10" s="5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177</v>
      </c>
      <c r="G11" s="5"/>
      <c r="H11" s="68" t="s">
        <v>65</v>
      </c>
      <c r="I11" s="104"/>
      <c r="J11" s="86" t="s">
        <v>186</v>
      </c>
      <c r="K11" s="5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177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/>
      <c r="J13" s="86" t="s">
        <v>177</v>
      </c>
      <c r="K13" s="5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/>
      <c r="J14" s="86" t="s">
        <v>189</v>
      </c>
      <c r="K14" s="5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/>
      <c r="J15" s="86" t="s">
        <v>187</v>
      </c>
      <c r="K15" s="5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/>
      <c r="J16" s="216" t="s">
        <v>177</v>
      </c>
      <c r="K16" s="5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213" t="s">
        <v>177</v>
      </c>
      <c r="K17" s="5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213" t="s">
        <v>177</v>
      </c>
      <c r="K18" s="5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177</v>
      </c>
      <c r="G21" s="5"/>
      <c r="H21" s="109"/>
      <c r="I21" s="242"/>
      <c r="J21" s="213" t="s">
        <v>177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H22" sqref="H22"/>
    </sheetView>
  </sheetViews>
  <sheetFormatPr baseColWidth="10"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7" t="s">
        <v>304</v>
      </c>
      <c r="C5" s="370" t="s">
        <v>99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2"/>
      <c r="R5" t="s">
        <v>22</v>
      </c>
    </row>
    <row r="6" spans="2:18" ht="18.5" x14ac:dyDescent="0.45">
      <c r="B6" s="298"/>
      <c r="C6" s="172" t="s">
        <v>1</v>
      </c>
      <c r="D6" s="168" t="s">
        <v>196</v>
      </c>
      <c r="E6" s="168" t="s">
        <v>191</v>
      </c>
      <c r="F6" s="168" t="s">
        <v>169</v>
      </c>
      <c r="G6" s="168" t="s">
        <v>226</v>
      </c>
      <c r="H6" s="168" t="s">
        <v>327</v>
      </c>
      <c r="I6" s="168" t="s">
        <v>333</v>
      </c>
      <c r="J6" s="168"/>
      <c r="K6" s="168"/>
      <c r="L6" s="168"/>
      <c r="M6" s="168"/>
      <c r="N6" s="168"/>
      <c r="O6" s="168"/>
      <c r="P6" s="168"/>
      <c r="Q6" s="389"/>
    </row>
    <row r="7" spans="2:18" ht="18.5" x14ac:dyDescent="0.45">
      <c r="B7" s="300"/>
      <c r="C7" s="169" t="s">
        <v>100</v>
      </c>
      <c r="D7" s="390">
        <v>1000</v>
      </c>
      <c r="E7" s="390">
        <v>2000</v>
      </c>
      <c r="F7" s="390">
        <v>3000</v>
      </c>
      <c r="G7" s="390">
        <v>1100</v>
      </c>
      <c r="H7" s="390">
        <v>4000</v>
      </c>
      <c r="I7" s="390">
        <v>5000</v>
      </c>
      <c r="J7" s="390"/>
      <c r="K7" s="390"/>
      <c r="L7" s="390"/>
      <c r="M7" s="390"/>
      <c r="N7" s="390"/>
      <c r="O7" s="390"/>
      <c r="P7" s="390"/>
      <c r="Q7" s="120"/>
    </row>
    <row r="8" spans="2:18" ht="18.5" x14ac:dyDescent="0.45">
      <c r="B8" s="300"/>
      <c r="C8" s="170" t="s">
        <v>40</v>
      </c>
      <c r="D8" s="390" t="s">
        <v>10</v>
      </c>
      <c r="E8" s="390" t="s">
        <v>10</v>
      </c>
      <c r="F8" s="390" t="s">
        <v>10</v>
      </c>
      <c r="G8" s="390" t="s">
        <v>10</v>
      </c>
      <c r="H8" s="390" t="s">
        <v>10</v>
      </c>
      <c r="I8" s="390" t="s">
        <v>10</v>
      </c>
      <c r="J8" s="390"/>
      <c r="K8" s="390"/>
      <c r="L8" s="390"/>
      <c r="M8" s="390"/>
      <c r="N8" s="390"/>
      <c r="O8" s="390"/>
      <c r="P8" s="390"/>
      <c r="Q8" s="120"/>
    </row>
    <row r="9" spans="2:18" ht="18.5" x14ac:dyDescent="0.45">
      <c r="B9" s="300"/>
      <c r="C9" s="171" t="s">
        <v>101</v>
      </c>
      <c r="D9" s="390"/>
      <c r="E9" s="390"/>
      <c r="F9" s="390"/>
      <c r="G9" s="392"/>
      <c r="H9" s="390"/>
      <c r="I9" s="390"/>
      <c r="J9" s="390"/>
      <c r="K9" s="390"/>
      <c r="L9" s="390"/>
      <c r="M9" s="390"/>
      <c r="N9" s="390"/>
      <c r="O9" s="390"/>
      <c r="P9" s="390"/>
      <c r="Q9" s="120"/>
    </row>
    <row r="10" spans="2:18" ht="18.5" x14ac:dyDescent="0.45">
      <c r="B10" s="300"/>
      <c r="C10" s="169" t="s">
        <v>205</v>
      </c>
      <c r="D10" s="390">
        <v>0</v>
      </c>
      <c r="E10" s="390">
        <f>(C35+C36)/2</f>
        <v>765.33</v>
      </c>
      <c r="F10" s="390">
        <f xml:space="preserve"> (C21+C22)/2 * 1000</f>
        <v>129000</v>
      </c>
      <c r="G10" s="390">
        <v>0</v>
      </c>
      <c r="H10" s="390">
        <f>(C44+C45)/2 * 1000</f>
        <v>2715</v>
      </c>
      <c r="I10" s="390">
        <v>1150</v>
      </c>
      <c r="J10" s="390"/>
      <c r="K10" s="390"/>
      <c r="L10" s="390"/>
      <c r="M10" s="390"/>
      <c r="N10" s="390"/>
      <c r="O10" s="390"/>
      <c r="P10" s="390"/>
      <c r="Q10" s="120"/>
    </row>
    <row r="11" spans="2:18" ht="18.5" x14ac:dyDescent="0.45">
      <c r="B11" s="300"/>
      <c r="C11" s="169" t="s">
        <v>9</v>
      </c>
      <c r="D11" s="390" t="s">
        <v>8</v>
      </c>
      <c r="E11" s="390" t="s">
        <v>8</v>
      </c>
      <c r="F11" s="390" t="s">
        <v>11</v>
      </c>
      <c r="G11" s="390" t="s">
        <v>11</v>
      </c>
      <c r="H11" s="390" t="s">
        <v>11</v>
      </c>
      <c r="I11" s="390" t="s">
        <v>11</v>
      </c>
      <c r="J11" s="390"/>
      <c r="K11" s="390"/>
      <c r="L11" s="390"/>
      <c r="M11" s="390"/>
      <c r="N11" s="390"/>
      <c r="O11" s="390"/>
      <c r="P11" s="390"/>
      <c r="Q11" s="120"/>
    </row>
    <row r="12" spans="2:18" ht="18.5" x14ac:dyDescent="0.45">
      <c r="B12" s="300"/>
      <c r="C12" s="173" t="s">
        <v>117</v>
      </c>
      <c r="D12" s="390">
        <v>0.5</v>
      </c>
      <c r="E12" s="390">
        <v>0.58499999999999996</v>
      </c>
      <c r="F12" s="390">
        <v>0</v>
      </c>
      <c r="G12" s="390">
        <v>0</v>
      </c>
      <c r="H12" s="390">
        <v>0</v>
      </c>
      <c r="I12" s="390">
        <v>0</v>
      </c>
      <c r="J12" s="390"/>
      <c r="K12" s="390"/>
      <c r="L12" s="390"/>
      <c r="M12" s="390"/>
      <c r="N12" s="390"/>
      <c r="O12" s="390"/>
      <c r="P12" s="390"/>
      <c r="Q12" s="120"/>
    </row>
    <row r="13" spans="2:18" ht="18.5" x14ac:dyDescent="0.45">
      <c r="B13" s="300"/>
      <c r="C13" s="131" t="s">
        <v>118</v>
      </c>
      <c r="D13" s="391"/>
      <c r="E13" s="391"/>
      <c r="F13" s="391"/>
      <c r="G13" s="390"/>
      <c r="H13" s="390"/>
      <c r="I13" s="390"/>
      <c r="J13" s="390"/>
      <c r="K13" s="390"/>
      <c r="L13" s="390"/>
      <c r="M13" s="390"/>
      <c r="N13" s="390"/>
      <c r="O13" s="390"/>
      <c r="P13" s="390"/>
      <c r="Q13" s="120"/>
    </row>
    <row r="14" spans="2:18" ht="18.5" x14ac:dyDescent="0.45">
      <c r="B14" s="300" t="s">
        <v>187</v>
      </c>
      <c r="C14" s="131" t="s">
        <v>305</v>
      </c>
      <c r="D14" s="390"/>
      <c r="E14" s="390">
        <v>0</v>
      </c>
      <c r="F14" s="390">
        <v>0</v>
      </c>
      <c r="G14" s="390">
        <v>0</v>
      </c>
      <c r="H14" s="390">
        <v>0</v>
      </c>
      <c r="I14" s="390"/>
      <c r="J14" s="390"/>
      <c r="K14" s="390"/>
      <c r="L14" s="390"/>
      <c r="M14" s="390"/>
      <c r="N14" s="390"/>
      <c r="O14" s="390"/>
      <c r="P14" s="390"/>
      <c r="Q14" s="120"/>
    </row>
    <row r="15" spans="2:18" ht="19" thickBot="1" x14ac:dyDescent="0.5">
      <c r="B15" s="301" t="s">
        <v>187</v>
      </c>
      <c r="C15" s="174" t="s">
        <v>306</v>
      </c>
      <c r="D15" s="93"/>
      <c r="E15" s="93"/>
      <c r="F15" s="93"/>
      <c r="G15" s="93"/>
      <c r="H15" s="122"/>
      <c r="I15" s="122"/>
      <c r="J15" s="122"/>
      <c r="K15" s="122"/>
      <c r="L15" s="122"/>
      <c r="M15" s="122"/>
      <c r="N15" s="122"/>
      <c r="O15" s="122"/>
      <c r="P15" s="122"/>
      <c r="Q15" s="123"/>
    </row>
    <row r="16" spans="2:18" x14ac:dyDescent="0.35">
      <c r="I16" s="11"/>
      <c r="J16" s="11"/>
      <c r="K16" s="11"/>
      <c r="L16" s="11"/>
    </row>
    <row r="19" spans="2:11" x14ac:dyDescent="0.35">
      <c r="B19" t="s">
        <v>309</v>
      </c>
    </row>
    <row r="20" spans="2:11" x14ac:dyDescent="0.35">
      <c r="B20" s="329" t="s">
        <v>312</v>
      </c>
      <c r="F20">
        <v>3000</v>
      </c>
    </row>
    <row r="21" spans="2:11" x14ac:dyDescent="0.35">
      <c r="B21" t="s">
        <v>310</v>
      </c>
      <c r="C21">
        <v>76</v>
      </c>
      <c r="D21" t="s">
        <v>313</v>
      </c>
    </row>
    <row r="22" spans="2:11" x14ac:dyDescent="0.35">
      <c r="B22" t="s">
        <v>311</v>
      </c>
      <c r="C22">
        <v>182</v>
      </c>
      <c r="D22" t="s">
        <v>313</v>
      </c>
    </row>
    <row r="23" spans="2:11" x14ac:dyDescent="0.35">
      <c r="B23" t="s">
        <v>320</v>
      </c>
      <c r="C23">
        <f>_xlfn.STDEV.P(C21:C22)/AVERAGE(C21:C22)</f>
        <v>0.41085271317829458</v>
      </c>
    </row>
    <row r="24" spans="2:11" x14ac:dyDescent="0.35">
      <c r="C24">
        <f>F10 - F10*C23</f>
        <v>76000</v>
      </c>
    </row>
    <row r="25" spans="2:11" x14ac:dyDescent="0.35">
      <c r="C25">
        <f>F10 + F10*C23</f>
        <v>182000</v>
      </c>
    </row>
    <row r="26" spans="2:11" x14ac:dyDescent="0.35">
      <c r="K26" t="s">
        <v>22</v>
      </c>
    </row>
    <row r="29" spans="2:11" x14ac:dyDescent="0.35">
      <c r="B29" s="329" t="s">
        <v>314</v>
      </c>
      <c r="F29">
        <v>2000</v>
      </c>
    </row>
    <row r="30" spans="2:11" x14ac:dyDescent="0.35">
      <c r="B30" t="s">
        <v>315</v>
      </c>
      <c r="C30">
        <v>1.04</v>
      </c>
      <c r="D30" t="s">
        <v>317</v>
      </c>
    </row>
    <row r="31" spans="2:11" x14ac:dyDescent="0.35">
      <c r="B31" t="s">
        <v>316</v>
      </c>
      <c r="C31">
        <v>0.9</v>
      </c>
      <c r="D31" t="s">
        <v>317</v>
      </c>
    </row>
    <row r="33" spans="2:6" x14ac:dyDescent="0.35">
      <c r="B33" t="s">
        <v>318</v>
      </c>
      <c r="C33">
        <v>0.78900000000000003</v>
      </c>
      <c r="D33" t="s">
        <v>319</v>
      </c>
    </row>
    <row r="35" spans="2:6" x14ac:dyDescent="0.35">
      <c r="B35" t="s">
        <v>315</v>
      </c>
      <c r="C35">
        <f>C30*C33 *1000</f>
        <v>820.56000000000006</v>
      </c>
      <c r="D35" t="s">
        <v>321</v>
      </c>
    </row>
    <row r="36" spans="2:6" x14ac:dyDescent="0.35">
      <c r="B36" t="s">
        <v>316</v>
      </c>
      <c r="C36">
        <f>C31*C33*1000</f>
        <v>710.1</v>
      </c>
      <c r="D36" t="s">
        <v>321</v>
      </c>
    </row>
    <row r="38" spans="2:6" x14ac:dyDescent="0.35">
      <c r="B38" t="s">
        <v>320</v>
      </c>
      <c r="C38" s="393">
        <f>_xlfn.STDEV.P(C35:C36)/AVERAGE(C35:C36)</f>
        <v>7.2164948453608269E-2</v>
      </c>
    </row>
    <row r="39" spans="2:6" x14ac:dyDescent="0.35">
      <c r="C39">
        <f>E10 + E10*C38</f>
        <v>820.56000000000006</v>
      </c>
    </row>
    <row r="40" spans="2:6" x14ac:dyDescent="0.35">
      <c r="C40">
        <f>E10 - E10*C38</f>
        <v>710.1</v>
      </c>
    </row>
    <row r="43" spans="2:6" x14ac:dyDescent="0.35">
      <c r="B43" s="329" t="s">
        <v>324</v>
      </c>
      <c r="F43">
        <v>4000</v>
      </c>
    </row>
    <row r="44" spans="2:6" x14ac:dyDescent="0.35">
      <c r="B44" t="s">
        <v>315</v>
      </c>
      <c r="C44">
        <v>2.4</v>
      </c>
      <c r="D44" t="s">
        <v>325</v>
      </c>
    </row>
    <row r="45" spans="2:6" x14ac:dyDescent="0.35">
      <c r="B45" t="s">
        <v>316</v>
      </c>
      <c r="C45">
        <v>3.03</v>
      </c>
      <c r="D45" t="s">
        <v>325</v>
      </c>
    </row>
    <row r="47" spans="2:6" x14ac:dyDescent="0.35">
      <c r="B47" t="s">
        <v>326</v>
      </c>
      <c r="C47">
        <f>_xlfn.STDEV.P(C44:C45)/AVERAGE(C44:C45)</f>
        <v>0.11602209944751414</v>
      </c>
    </row>
    <row r="48" spans="2:6" x14ac:dyDescent="0.35">
      <c r="B48" t="s">
        <v>315</v>
      </c>
      <c r="C48">
        <f>H10 - C47*H10</f>
        <v>2399.9999999999991</v>
      </c>
      <c r="D48" t="s">
        <v>321</v>
      </c>
    </row>
    <row r="49" spans="2:6" x14ac:dyDescent="0.35">
      <c r="B49" t="s">
        <v>316</v>
      </c>
      <c r="C49">
        <f>H10 + C47*H10</f>
        <v>3030.0000000000009</v>
      </c>
      <c r="D49" t="s">
        <v>321</v>
      </c>
    </row>
    <row r="53" spans="2:6" x14ac:dyDescent="0.35">
      <c r="B53" s="329" t="s">
        <v>332</v>
      </c>
      <c r="F53">
        <v>5000</v>
      </c>
    </row>
    <row r="54" spans="2:6" x14ac:dyDescent="0.35">
      <c r="B54" t="s">
        <v>315</v>
      </c>
      <c r="C54">
        <v>1000</v>
      </c>
      <c r="D54" t="s">
        <v>321</v>
      </c>
    </row>
    <row r="55" spans="2:6" x14ac:dyDescent="0.35">
      <c r="B55" t="s">
        <v>316</v>
      </c>
      <c r="C55">
        <v>1300</v>
      </c>
      <c r="D55" t="s">
        <v>321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T43" sqref="T43"/>
    </sheetView>
  </sheetViews>
  <sheetFormatPr baseColWidth="10"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206</v>
      </c>
      <c r="D5" s="373" t="s">
        <v>102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11"/>
      <c r="Q5" s="11"/>
    </row>
    <row r="6" spans="3:17" ht="18.5" x14ac:dyDescent="0.45">
      <c r="C6" s="221" t="s">
        <v>177</v>
      </c>
      <c r="D6" s="146" t="s">
        <v>1</v>
      </c>
      <c r="E6" s="209" t="s">
        <v>170</v>
      </c>
      <c r="F6" s="210" t="s">
        <v>173</v>
      </c>
      <c r="G6" s="210" t="s">
        <v>108</v>
      </c>
      <c r="H6" s="210" t="s">
        <v>227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177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207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187</v>
      </c>
      <c r="D9" s="146" t="s">
        <v>209</v>
      </c>
      <c r="E9" s="160">
        <v>1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187</v>
      </c>
      <c r="D10" s="146" t="s">
        <v>210</v>
      </c>
      <c r="E10" s="160">
        <v>1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177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177</v>
      </c>
      <c r="D12" s="146" t="s">
        <v>208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177</v>
      </c>
      <c r="D13" s="146" t="s">
        <v>105</v>
      </c>
      <c r="E13" s="161">
        <f>SUM(E14:E37)</f>
        <v>0.99999999999999989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331</v>
      </c>
      <c r="E14" s="211">
        <f>(1.2+2.3)/(2*100)</f>
        <v>1.7500000000000002E-2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171</v>
      </c>
      <c r="E15" s="211">
        <f>(0.1+0.4)/(2*100)</f>
        <v>2.5000000000000001E-3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172</v>
      </c>
      <c r="E16" s="211">
        <v>2.75E-2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f>(1.02 + 2.92)/(2*100)</f>
        <v>1.9699999999999999E-2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>
        <f>(83.3 + 85.1)/(2*100)</f>
        <v>0.84199999999999986</v>
      </c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228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 t="s">
        <v>330</v>
      </c>
      <c r="E22" s="149">
        <v>1.2800000000000001E-2</v>
      </c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 t="s">
        <v>333</v>
      </c>
      <c r="E23" s="149">
        <v>7.8E-2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328</v>
      </c>
    </row>
    <row r="43" spans="2:17" x14ac:dyDescent="0.35">
      <c r="C43" t="s">
        <v>329</v>
      </c>
    </row>
    <row r="44" spans="2:17" x14ac:dyDescent="0.35">
      <c r="C44" s="397" t="s">
        <v>334</v>
      </c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7" t="s">
        <v>241</v>
      </c>
      <c r="D6" s="270" t="s">
        <v>245</v>
      </c>
      <c r="E6" s="207"/>
      <c r="F6" s="275" t="s">
        <v>242</v>
      </c>
      <c r="G6" s="275" t="s">
        <v>246</v>
      </c>
      <c r="H6" s="275" t="s">
        <v>244</v>
      </c>
      <c r="I6" s="207"/>
      <c r="J6" s="265" t="s">
        <v>242</v>
      </c>
      <c r="K6" s="265" t="s">
        <v>246</v>
      </c>
      <c r="L6" s="265" t="s">
        <v>244</v>
      </c>
      <c r="M6" s="261"/>
      <c r="N6" s="265" t="s">
        <v>242</v>
      </c>
      <c r="O6" s="269" t="s">
        <v>243</v>
      </c>
      <c r="P6" s="265" t="s">
        <v>244</v>
      </c>
      <c r="Q6" s="207"/>
      <c r="R6" s="11"/>
      <c r="S6" s="11"/>
      <c r="T6" s="11"/>
    </row>
    <row r="7" spans="3:20" x14ac:dyDescent="0.35">
      <c r="C7" s="279" t="s">
        <v>233</v>
      </c>
      <c r="D7" s="280">
        <f>1/8</f>
        <v>0.125</v>
      </c>
      <c r="E7" s="207"/>
      <c r="F7" s="281">
        <v>11</v>
      </c>
      <c r="G7" s="276">
        <v>0.15</v>
      </c>
      <c r="H7" s="282" t="s">
        <v>172</v>
      </c>
      <c r="I7" s="207"/>
      <c r="J7" s="279">
        <v>11</v>
      </c>
      <c r="K7" s="290"/>
      <c r="L7" s="294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234</v>
      </c>
      <c r="D8" s="283">
        <f t="shared" ref="D8:D14" si="0">1/8</f>
        <v>0.125</v>
      </c>
      <c r="E8" s="207"/>
      <c r="F8" s="284">
        <v>11</v>
      </c>
      <c r="G8" s="277">
        <v>0.15</v>
      </c>
      <c r="H8" s="285" t="s">
        <v>172</v>
      </c>
      <c r="I8" s="207"/>
      <c r="J8" s="181">
        <v>11</v>
      </c>
      <c r="K8" s="207"/>
      <c r="L8" s="292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235</v>
      </c>
      <c r="D9" s="283">
        <f t="shared" si="0"/>
        <v>0.125</v>
      </c>
      <c r="E9" s="207"/>
      <c r="F9" s="284">
        <v>11</v>
      </c>
      <c r="G9" s="277">
        <v>-0.15</v>
      </c>
      <c r="H9" s="285" t="s">
        <v>172</v>
      </c>
      <c r="I9" s="207"/>
      <c r="J9" s="181">
        <v>11</v>
      </c>
      <c r="K9" s="207"/>
      <c r="L9" s="292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236</v>
      </c>
      <c r="D10" s="283">
        <f t="shared" si="0"/>
        <v>0.125</v>
      </c>
      <c r="E10" s="207"/>
      <c r="F10" s="284">
        <v>11</v>
      </c>
      <c r="G10" s="277">
        <v>-0.15</v>
      </c>
      <c r="H10" s="285" t="s">
        <v>172</v>
      </c>
      <c r="I10" s="207"/>
      <c r="J10" s="181">
        <v>11</v>
      </c>
      <c r="K10" s="207"/>
      <c r="L10" s="292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237</v>
      </c>
      <c r="D11" s="283">
        <f t="shared" si="0"/>
        <v>0.125</v>
      </c>
      <c r="E11" s="207"/>
      <c r="F11" s="284">
        <v>11</v>
      </c>
      <c r="G11" s="277">
        <v>0.15</v>
      </c>
      <c r="H11" s="285" t="s">
        <v>172</v>
      </c>
      <c r="I11" s="207"/>
      <c r="J11" s="181">
        <v>11</v>
      </c>
      <c r="K11" s="207"/>
      <c r="L11" s="292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238</v>
      </c>
      <c r="D12" s="283">
        <f>1/8</f>
        <v>0.125</v>
      </c>
      <c r="E12" s="207"/>
      <c r="F12" s="284">
        <v>11</v>
      </c>
      <c r="G12" s="277">
        <v>0.15</v>
      </c>
      <c r="H12" s="285" t="s">
        <v>172</v>
      </c>
      <c r="I12" s="207"/>
      <c r="J12" s="181">
        <v>11</v>
      </c>
      <c r="K12" s="207"/>
      <c r="L12" s="292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239</v>
      </c>
      <c r="D13" s="283">
        <f t="shared" si="0"/>
        <v>0.125</v>
      </c>
      <c r="E13" s="207"/>
      <c r="F13" s="284">
        <v>11</v>
      </c>
      <c r="G13" s="277">
        <v>-0.15</v>
      </c>
      <c r="H13" s="285" t="s">
        <v>172</v>
      </c>
      <c r="I13" s="207"/>
      <c r="J13" s="181">
        <v>11</v>
      </c>
      <c r="K13" s="207"/>
      <c r="L13" s="292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6" t="s">
        <v>240</v>
      </c>
      <c r="D14" s="287">
        <f t="shared" si="0"/>
        <v>0.125</v>
      </c>
      <c r="E14" s="207"/>
      <c r="F14" s="288">
        <v>11</v>
      </c>
      <c r="G14" s="278">
        <v>-0.15</v>
      </c>
      <c r="H14" s="289" t="s">
        <v>172</v>
      </c>
      <c r="I14" s="207"/>
      <c r="J14" s="286">
        <v>11</v>
      </c>
      <c r="K14" s="162"/>
      <c r="L14" s="293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6" t="s">
        <v>247</v>
      </c>
      <c r="D22" s="377"/>
      <c r="E22" s="377"/>
      <c r="F22" s="37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1" t="s">
        <v>248</v>
      </c>
      <c r="D23" s="272" t="s">
        <v>249</v>
      </c>
      <c r="E23" s="271" t="s">
        <v>250</v>
      </c>
      <c r="F23" s="264" t="s">
        <v>245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5">
        <v>11</v>
      </c>
      <c r="D24" s="296" t="s">
        <v>172</v>
      </c>
      <c r="E24" s="296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3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3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3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3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3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3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3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3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6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13" sqref="E13"/>
    </sheetView>
  </sheetViews>
  <sheetFormatPr baseColWidth="10"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9" t="s">
        <v>111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11"/>
      <c r="Q5" s="11"/>
    </row>
    <row r="6" spans="3:17" ht="18.5" x14ac:dyDescent="0.45">
      <c r="C6" s="11"/>
      <c r="D6" s="219" t="s">
        <v>1</v>
      </c>
      <c r="E6" s="210" t="s">
        <v>214</v>
      </c>
      <c r="F6" s="210" t="s">
        <v>229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3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240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>
        <v>999</v>
      </c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263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E14" sqref="E14"/>
    </sheetView>
  </sheetViews>
  <sheetFormatPr baseColWidth="10"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6" t="s">
        <v>255</v>
      </c>
      <c r="C3" s="378"/>
      <c r="D3" s="11"/>
      <c r="E3" s="264" t="s">
        <v>262</v>
      </c>
      <c r="F3" s="299" t="s">
        <v>261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4" t="s">
        <v>256</v>
      </c>
      <c r="C4" s="319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292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257</v>
      </c>
      <c r="C5" s="306" t="s">
        <v>293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7" t="s">
        <v>266</v>
      </c>
      <c r="Q5" s="268"/>
      <c r="R5" s="302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6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7" t="s">
        <v>290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7" t="s">
        <v>289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8" t="s">
        <v>271</v>
      </c>
      <c r="C8" s="11"/>
      <c r="D8" s="11"/>
      <c r="E8" s="11"/>
      <c r="F8" s="11"/>
      <c r="G8" s="11"/>
      <c r="H8" s="11"/>
      <c r="I8" s="309" t="s">
        <v>273</v>
      </c>
      <c r="J8" s="11"/>
      <c r="K8" s="11"/>
      <c r="L8" s="11"/>
      <c r="M8" s="11"/>
      <c r="N8" s="11"/>
      <c r="O8" s="11"/>
      <c r="P8" s="181">
        <v>4</v>
      </c>
      <c r="Q8" s="307" t="s">
        <v>297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5" t="s">
        <v>280</v>
      </c>
      <c r="C9" s="386"/>
      <c r="D9" s="386"/>
      <c r="E9" s="386"/>
      <c r="F9" s="387"/>
      <c r="G9" s="207"/>
      <c r="H9" s="11"/>
      <c r="I9" s="382" t="s">
        <v>281</v>
      </c>
      <c r="J9" s="383"/>
      <c r="K9" s="383"/>
      <c r="L9" s="383"/>
      <c r="M9" s="384"/>
      <c r="N9" s="265"/>
      <c r="O9" s="207"/>
      <c r="P9" s="266"/>
      <c r="Q9" s="93" t="s">
        <v>268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1" t="s">
        <v>264</v>
      </c>
      <c r="C10" s="303" t="s">
        <v>33</v>
      </c>
      <c r="D10" s="304" t="s">
        <v>267</v>
      </c>
      <c r="E10" s="270" t="s">
        <v>265</v>
      </c>
      <c r="F10" s="298" t="s">
        <v>269</v>
      </c>
      <c r="G10" s="388" t="s">
        <v>322</v>
      </c>
      <c r="H10" s="11"/>
      <c r="I10" s="301" t="s">
        <v>264</v>
      </c>
      <c r="J10" s="301" t="s">
        <v>33</v>
      </c>
      <c r="K10" s="305" t="s">
        <v>263</v>
      </c>
      <c r="L10" s="301" t="s">
        <v>267</v>
      </c>
      <c r="M10" s="301" t="s">
        <v>265</v>
      </c>
      <c r="N10" s="265" t="s">
        <v>269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5">
        <v>11</v>
      </c>
      <c r="C11" s="296" t="s">
        <v>172</v>
      </c>
      <c r="D11" s="395">
        <f>_xlfn.STDEV.P(8.7,12.4) / AVERAGE(8.7,12.4)</f>
        <v>0.17535545023696644</v>
      </c>
      <c r="E11" s="296">
        <v>1</v>
      </c>
      <c r="F11" s="279" t="s">
        <v>275</v>
      </c>
      <c r="G11" s="298" t="s">
        <v>323</v>
      </c>
      <c r="H11" s="11"/>
      <c r="I11" s="181">
        <v>200</v>
      </c>
      <c r="J11" s="273" t="s">
        <v>172</v>
      </c>
      <c r="K11" s="207">
        <v>2</v>
      </c>
      <c r="L11" s="207">
        <v>0.2</v>
      </c>
      <c r="M11" s="292">
        <v>1</v>
      </c>
      <c r="N11" s="300" t="s">
        <v>274</v>
      </c>
      <c r="O11" s="207"/>
      <c r="P11" s="320" t="s">
        <v>291</v>
      </c>
      <c r="Q11" s="11"/>
      <c r="R11" s="321" t="s">
        <v>294</v>
      </c>
      <c r="S11" s="302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3" t="s">
        <v>169</v>
      </c>
      <c r="D12" s="396">
        <f>_xlfn.STDEV.P(1.02, 2.92) / AVERAGE(1.02, 2.92)</f>
        <v>0.48223350253807096</v>
      </c>
      <c r="E12" s="207">
        <v>1</v>
      </c>
      <c r="F12" s="181" t="s">
        <v>276</v>
      </c>
      <c r="G12" s="300" t="s">
        <v>323</v>
      </c>
      <c r="H12" s="11"/>
      <c r="I12" s="181">
        <v>210</v>
      </c>
      <c r="J12" s="273" t="s">
        <v>172</v>
      </c>
      <c r="K12" s="207">
        <v>1</v>
      </c>
      <c r="L12" s="207">
        <v>0.1</v>
      </c>
      <c r="M12" s="292">
        <v>1</v>
      </c>
      <c r="N12" s="300" t="s">
        <v>274</v>
      </c>
      <c r="O12" s="207"/>
      <c r="P12" s="225" t="s">
        <v>287</v>
      </c>
      <c r="Q12" s="11"/>
      <c r="R12" s="175" t="s">
        <v>295</v>
      </c>
      <c r="S12" s="176" t="s">
        <v>296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3"/>
      <c r="D13" s="207"/>
      <c r="E13" s="207"/>
      <c r="F13" s="181"/>
      <c r="G13" s="300"/>
      <c r="H13" s="11"/>
      <c r="I13" s="181"/>
      <c r="J13" s="273"/>
      <c r="K13" s="207"/>
      <c r="L13" s="207"/>
      <c r="M13" s="292"/>
      <c r="N13" s="300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3"/>
      <c r="D14" s="207"/>
      <c r="E14" s="207"/>
      <c r="F14" s="181"/>
      <c r="G14" s="300"/>
      <c r="H14" s="11"/>
      <c r="I14" s="181"/>
      <c r="J14" s="273"/>
      <c r="K14" s="207"/>
      <c r="L14" s="207"/>
      <c r="M14" s="292"/>
      <c r="N14" s="300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3"/>
      <c r="D15" s="207"/>
      <c r="E15" s="207"/>
      <c r="F15" s="181"/>
      <c r="G15" s="300"/>
      <c r="H15" s="11"/>
      <c r="I15" s="181"/>
      <c r="J15" s="273"/>
      <c r="K15" s="207"/>
      <c r="L15" s="207"/>
      <c r="M15" s="292"/>
      <c r="N15" s="300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3"/>
      <c r="D16" s="207"/>
      <c r="E16" s="207"/>
      <c r="F16" s="181"/>
      <c r="G16" s="300"/>
      <c r="H16" s="11"/>
      <c r="I16" s="181"/>
      <c r="J16" s="273"/>
      <c r="K16" s="207"/>
      <c r="L16" s="207"/>
      <c r="M16" s="292"/>
      <c r="N16" s="300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3"/>
      <c r="D17" s="207"/>
      <c r="E17" s="207"/>
      <c r="F17" s="181"/>
      <c r="G17" s="300"/>
      <c r="H17" s="11"/>
      <c r="I17" s="181"/>
      <c r="J17" s="273"/>
      <c r="K17" s="207"/>
      <c r="L17" s="207"/>
      <c r="M17" s="292"/>
      <c r="N17" s="300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3"/>
      <c r="D18" s="207"/>
      <c r="E18" s="207"/>
      <c r="F18" s="181"/>
      <c r="G18" s="300"/>
      <c r="H18" s="11"/>
      <c r="I18" s="181"/>
      <c r="J18" s="273"/>
      <c r="K18" s="207"/>
      <c r="L18" s="207"/>
      <c r="M18" s="292"/>
      <c r="N18" s="300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3"/>
      <c r="D19" s="207"/>
      <c r="E19" s="207"/>
      <c r="F19" s="181"/>
      <c r="G19" s="300"/>
      <c r="H19" s="11"/>
      <c r="I19" s="181"/>
      <c r="J19" s="273"/>
      <c r="K19" s="207"/>
      <c r="L19" s="207"/>
      <c r="M19" s="292"/>
      <c r="N19" s="300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3"/>
      <c r="D20" s="207"/>
      <c r="E20" s="207"/>
      <c r="F20" s="181"/>
      <c r="G20" s="300"/>
      <c r="H20" s="11"/>
      <c r="I20" s="181"/>
      <c r="J20" s="273"/>
      <c r="K20" s="207"/>
      <c r="L20" s="207"/>
      <c r="M20" s="292"/>
      <c r="N20" s="300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3"/>
      <c r="D21" s="207"/>
      <c r="E21" s="207"/>
      <c r="F21" s="181"/>
      <c r="G21" s="300"/>
      <c r="H21" s="11"/>
      <c r="I21" s="181"/>
      <c r="J21" s="273"/>
      <c r="K21" s="207"/>
      <c r="L21" s="207"/>
      <c r="M21" s="292"/>
      <c r="N21" s="300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3"/>
      <c r="D22" s="207"/>
      <c r="E22" s="207"/>
      <c r="F22" s="181"/>
      <c r="G22" s="300"/>
      <c r="H22" s="11"/>
      <c r="I22" s="181"/>
      <c r="J22" s="273"/>
      <c r="K22" s="207"/>
      <c r="L22" s="207"/>
      <c r="M22" s="292"/>
      <c r="N22" s="300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6"/>
      <c r="C23" s="297"/>
      <c r="D23" s="162"/>
      <c r="E23" s="162"/>
      <c r="F23" s="286"/>
      <c r="G23" s="301"/>
      <c r="H23" s="11"/>
      <c r="I23" s="286"/>
      <c r="J23" s="162"/>
      <c r="K23" s="162"/>
      <c r="L23" s="162"/>
      <c r="M23" s="293"/>
      <c r="N23" s="301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9" t="s">
        <v>277</v>
      </c>
      <c r="C26" s="207"/>
      <c r="D26" s="207"/>
      <c r="E26" s="207"/>
      <c r="F26" s="207"/>
      <c r="G26" s="207"/>
      <c r="H26" s="207"/>
      <c r="I26" s="309" t="s">
        <v>273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7" t="s">
        <v>278</v>
      </c>
      <c r="C27" s="268"/>
      <c r="D27" s="268"/>
      <c r="E27" s="268"/>
      <c r="F27" s="269"/>
      <c r="G27" s="269"/>
      <c r="H27" s="207"/>
      <c r="I27" s="382" t="s">
        <v>279</v>
      </c>
      <c r="J27" s="383"/>
      <c r="K27" s="383"/>
      <c r="L27" s="383"/>
      <c r="M27" s="383"/>
      <c r="N27" s="384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5" t="s">
        <v>264</v>
      </c>
      <c r="C28" s="270" t="s">
        <v>307</v>
      </c>
      <c r="D28" s="265" t="s">
        <v>33</v>
      </c>
      <c r="E28" s="270" t="s">
        <v>267</v>
      </c>
      <c r="F28" s="265" t="s">
        <v>265</v>
      </c>
      <c r="G28" s="298" t="s">
        <v>269</v>
      </c>
      <c r="H28" s="207"/>
      <c r="I28" s="298" t="s">
        <v>264</v>
      </c>
      <c r="J28" s="265" t="s">
        <v>33</v>
      </c>
      <c r="K28" s="270" t="s">
        <v>263</v>
      </c>
      <c r="L28" s="291" t="s">
        <v>267</v>
      </c>
      <c r="M28" s="298" t="s">
        <v>265</v>
      </c>
      <c r="N28" s="298" t="s">
        <v>269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79">
        <v>220</v>
      </c>
      <c r="C29" s="290">
        <v>320</v>
      </c>
      <c r="D29" s="296" t="s">
        <v>169</v>
      </c>
      <c r="E29" s="290">
        <v>0.1</v>
      </c>
      <c r="F29" s="291">
        <v>2</v>
      </c>
      <c r="G29" s="291" t="s">
        <v>275</v>
      </c>
      <c r="H29" s="207"/>
      <c r="I29" s="279"/>
      <c r="J29" s="273" t="s">
        <v>172</v>
      </c>
      <c r="K29" s="207">
        <v>2</v>
      </c>
      <c r="L29" s="290">
        <v>0.1</v>
      </c>
      <c r="M29" s="290">
        <v>2</v>
      </c>
      <c r="N29" s="298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207">
        <v>330</v>
      </c>
      <c r="D30" s="273" t="s">
        <v>169</v>
      </c>
      <c r="E30" s="207">
        <v>0.1</v>
      </c>
      <c r="F30" s="292">
        <v>2</v>
      </c>
      <c r="G30" s="292" t="s">
        <v>274</v>
      </c>
      <c r="H30" s="207"/>
      <c r="I30" s="181"/>
      <c r="J30" s="273" t="s">
        <v>172</v>
      </c>
      <c r="K30" s="207">
        <v>1</v>
      </c>
      <c r="L30" s="207">
        <v>0.2</v>
      </c>
      <c r="M30" s="207">
        <v>2</v>
      </c>
      <c r="N30" s="300" t="s">
        <v>276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3"/>
      <c r="E31" s="207"/>
      <c r="F31" s="292"/>
      <c r="G31" s="292"/>
      <c r="H31" s="207"/>
      <c r="I31" s="181"/>
      <c r="J31" s="273"/>
      <c r="K31" s="207"/>
      <c r="L31" s="207"/>
      <c r="M31" s="207"/>
      <c r="N31" s="300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3"/>
      <c r="E32" s="207"/>
      <c r="F32" s="292"/>
      <c r="G32" s="292"/>
      <c r="H32" s="207"/>
      <c r="I32" s="181"/>
      <c r="J32" s="273"/>
      <c r="K32" s="207"/>
      <c r="L32" s="207"/>
      <c r="M32" s="207"/>
      <c r="N32" s="300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3"/>
      <c r="E33" s="207"/>
      <c r="F33" s="292"/>
      <c r="G33" s="292"/>
      <c r="H33" s="207"/>
      <c r="I33" s="181"/>
      <c r="J33" s="273"/>
      <c r="K33" s="207"/>
      <c r="L33" s="207"/>
      <c r="M33" s="207"/>
      <c r="N33" s="300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3"/>
      <c r="E34" s="207"/>
      <c r="F34" s="292"/>
      <c r="G34" s="292"/>
      <c r="H34" s="207"/>
      <c r="I34" s="181"/>
      <c r="J34" s="273"/>
      <c r="K34" s="207"/>
      <c r="L34" s="207"/>
      <c r="M34" s="207"/>
      <c r="N34" s="300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3"/>
      <c r="E35" s="207"/>
      <c r="F35" s="292"/>
      <c r="G35" s="292"/>
      <c r="H35" s="207"/>
      <c r="I35" s="181"/>
      <c r="J35" s="273"/>
      <c r="K35" s="207"/>
      <c r="L35" s="207"/>
      <c r="M35" s="207"/>
      <c r="N35" s="300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3"/>
      <c r="E36" s="207"/>
      <c r="F36" s="292"/>
      <c r="G36" s="292"/>
      <c r="H36" s="207"/>
      <c r="I36" s="181"/>
      <c r="J36" s="273"/>
      <c r="K36" s="207"/>
      <c r="L36" s="207"/>
      <c r="M36" s="207"/>
      <c r="N36" s="300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3"/>
      <c r="E37" s="207"/>
      <c r="F37" s="292"/>
      <c r="G37" s="292"/>
      <c r="H37" s="207"/>
      <c r="I37" s="181"/>
      <c r="J37" s="273"/>
      <c r="K37" s="207"/>
      <c r="L37" s="207"/>
      <c r="M37" s="207"/>
      <c r="N37" s="300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3"/>
      <c r="E38" s="207"/>
      <c r="F38" s="292"/>
      <c r="G38" s="292"/>
      <c r="H38" s="207"/>
      <c r="I38" s="181"/>
      <c r="J38" s="273"/>
      <c r="K38" s="207"/>
      <c r="L38" s="207"/>
      <c r="M38" s="207"/>
      <c r="N38" s="300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8"/>
      <c r="C39" s="11"/>
      <c r="D39" s="273"/>
      <c r="E39" s="207"/>
      <c r="F39" s="292"/>
      <c r="G39" s="292"/>
      <c r="H39" s="207"/>
      <c r="I39" s="181"/>
      <c r="J39" s="273"/>
      <c r="K39" s="207"/>
      <c r="L39" s="207"/>
      <c r="M39" s="207"/>
      <c r="N39" s="300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3"/>
      <c r="E40" s="207"/>
      <c r="F40" s="292"/>
      <c r="G40" s="292"/>
      <c r="H40" s="207"/>
      <c r="I40" s="181"/>
      <c r="J40" s="273"/>
      <c r="K40" s="207"/>
      <c r="L40" s="207"/>
      <c r="M40" s="207"/>
      <c r="N40" s="300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6"/>
      <c r="C41" s="93"/>
      <c r="D41" s="162"/>
      <c r="E41" s="162"/>
      <c r="F41" s="293"/>
      <c r="G41" s="293"/>
      <c r="H41" s="207"/>
      <c r="I41" s="286"/>
      <c r="J41" s="162"/>
      <c r="K41" s="162"/>
      <c r="L41" s="162"/>
      <c r="M41" s="162"/>
      <c r="N41" s="301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9" t="s">
        <v>272</v>
      </c>
      <c r="C45" s="11"/>
      <c r="D45" s="11"/>
      <c r="E45" s="11"/>
      <c r="F45" s="11"/>
      <c r="G45" s="11"/>
      <c r="H45" s="11"/>
      <c r="I45" s="309" t="s">
        <v>283</v>
      </c>
      <c r="J45" s="11"/>
      <c r="K45" s="11"/>
      <c r="L45" s="11"/>
      <c r="M45" s="11"/>
      <c r="N45" s="309" t="s">
        <v>284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2" t="s">
        <v>270</v>
      </c>
      <c r="C46" s="383"/>
      <c r="D46" s="383"/>
      <c r="E46" s="383"/>
      <c r="F46" s="384"/>
      <c r="H46" s="11"/>
      <c r="I46" s="382" t="s">
        <v>285</v>
      </c>
      <c r="J46" s="383"/>
      <c r="K46" s="383"/>
      <c r="L46" s="384"/>
      <c r="M46" s="11"/>
      <c r="N46" s="382" t="s">
        <v>286</v>
      </c>
      <c r="O46" s="383"/>
      <c r="P46" s="383"/>
      <c r="Q46" s="384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8" t="s">
        <v>264</v>
      </c>
      <c r="C47" s="298" t="s">
        <v>33</v>
      </c>
      <c r="D47" s="291" t="s">
        <v>267</v>
      </c>
      <c r="E47" s="298" t="s">
        <v>265</v>
      </c>
      <c r="F47" s="298" t="s">
        <v>269</v>
      </c>
      <c r="G47" s="11"/>
      <c r="H47" s="11"/>
      <c r="I47" s="298" t="s">
        <v>264</v>
      </c>
      <c r="J47" s="291" t="s">
        <v>267</v>
      </c>
      <c r="K47" s="298" t="s">
        <v>265</v>
      </c>
      <c r="L47" s="298" t="s">
        <v>269</v>
      </c>
      <c r="M47" s="11"/>
      <c r="N47" s="298" t="s">
        <v>264</v>
      </c>
      <c r="O47" s="291" t="s">
        <v>267</v>
      </c>
      <c r="P47" s="298" t="s">
        <v>265</v>
      </c>
      <c r="Q47" s="298" t="s">
        <v>269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9">
        <v>555</v>
      </c>
      <c r="C48" s="296" t="s">
        <v>282</v>
      </c>
      <c r="D48" s="290">
        <v>0.2</v>
      </c>
      <c r="E48" s="290">
        <v>3</v>
      </c>
      <c r="F48" s="298" t="s">
        <v>275</v>
      </c>
      <c r="G48" s="11"/>
      <c r="H48" s="11"/>
      <c r="I48" s="279"/>
      <c r="J48" s="290"/>
      <c r="K48" s="291"/>
      <c r="L48" s="298"/>
      <c r="M48" s="11"/>
      <c r="N48" s="279">
        <v>2000</v>
      </c>
      <c r="O48" s="394">
        <v>7.2160000000000002E-2</v>
      </c>
      <c r="P48" s="291">
        <v>4</v>
      </c>
      <c r="Q48" s="298" t="s">
        <v>275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3"/>
      <c r="D49" s="207"/>
      <c r="E49" s="207"/>
      <c r="F49" s="300"/>
      <c r="G49" s="11"/>
      <c r="H49" s="11"/>
      <c r="I49" s="181"/>
      <c r="J49" s="207"/>
      <c r="K49" s="292"/>
      <c r="L49" s="300"/>
      <c r="M49" s="11"/>
      <c r="N49" s="181">
        <v>3000</v>
      </c>
      <c r="O49" s="207">
        <v>0.41</v>
      </c>
      <c r="P49" s="292">
        <v>5</v>
      </c>
      <c r="Q49" s="300" t="s">
        <v>275</v>
      </c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3"/>
      <c r="D50" s="207"/>
      <c r="E50" s="207"/>
      <c r="F50" s="300"/>
      <c r="G50" s="11"/>
      <c r="H50" s="11"/>
      <c r="I50" s="181"/>
      <c r="J50" s="207"/>
      <c r="K50" s="292"/>
      <c r="L50" s="300"/>
      <c r="M50" s="11"/>
      <c r="N50" s="181">
        <v>4000</v>
      </c>
      <c r="O50" s="207">
        <v>0.11</v>
      </c>
      <c r="P50" s="292">
        <v>6</v>
      </c>
      <c r="Q50" s="300" t="s">
        <v>275</v>
      </c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3"/>
      <c r="D51" s="207"/>
      <c r="E51" s="207"/>
      <c r="F51" s="300"/>
      <c r="G51" s="11"/>
      <c r="H51" s="11"/>
      <c r="I51" s="181"/>
      <c r="J51" s="207"/>
      <c r="K51" s="292"/>
      <c r="L51" s="300"/>
      <c r="M51" s="11"/>
      <c r="N51" s="181">
        <v>5000</v>
      </c>
      <c r="O51" s="207">
        <v>0.13</v>
      </c>
      <c r="P51" s="292">
        <v>7</v>
      </c>
      <c r="Q51" s="300" t="s">
        <v>275</v>
      </c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3"/>
      <c r="D52" s="207"/>
      <c r="E52" s="207"/>
      <c r="F52" s="300"/>
      <c r="G52" s="11"/>
      <c r="H52" s="11"/>
      <c r="I52" s="181"/>
      <c r="J52" s="207"/>
      <c r="K52" s="292"/>
      <c r="L52" s="300"/>
      <c r="M52" s="11"/>
      <c r="N52" s="181"/>
      <c r="O52" s="207"/>
      <c r="P52" s="292"/>
      <c r="Q52" s="300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3"/>
      <c r="D53" s="207"/>
      <c r="E53" s="207"/>
      <c r="F53" s="300"/>
      <c r="G53" s="11"/>
      <c r="H53" s="11"/>
      <c r="I53" s="181"/>
      <c r="J53" s="207"/>
      <c r="K53" s="292"/>
      <c r="L53" s="300"/>
      <c r="M53" s="11"/>
      <c r="N53" s="181"/>
      <c r="O53" s="207"/>
      <c r="P53" s="292"/>
      <c r="Q53" s="300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3"/>
      <c r="D54" s="207"/>
      <c r="E54" s="207"/>
      <c r="F54" s="300"/>
      <c r="G54" s="11"/>
      <c r="H54" s="11"/>
      <c r="I54" s="181"/>
      <c r="J54" s="207"/>
      <c r="K54" s="292"/>
      <c r="L54" s="300"/>
      <c r="M54" s="11"/>
      <c r="N54" s="181"/>
      <c r="O54" s="207"/>
      <c r="P54" s="292"/>
      <c r="Q54" s="300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3"/>
      <c r="D55" s="207"/>
      <c r="E55" s="207"/>
      <c r="F55" s="300"/>
      <c r="G55" s="11"/>
      <c r="H55" s="11"/>
      <c r="I55" s="181"/>
      <c r="J55" s="207"/>
      <c r="K55" s="292"/>
      <c r="L55" s="300"/>
      <c r="M55" s="11"/>
      <c r="N55" s="181"/>
      <c r="O55" s="207"/>
      <c r="P55" s="292"/>
      <c r="Q55" s="300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3"/>
      <c r="D56" s="207"/>
      <c r="E56" s="207"/>
      <c r="F56" s="300"/>
      <c r="G56" s="11"/>
      <c r="H56" s="11"/>
      <c r="I56" s="181"/>
      <c r="J56" s="207"/>
      <c r="K56" s="292"/>
      <c r="L56" s="300"/>
      <c r="M56" s="11"/>
      <c r="N56" s="181"/>
      <c r="O56" s="207"/>
      <c r="P56" s="292"/>
      <c r="Q56" s="300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3"/>
      <c r="D57" s="207"/>
      <c r="E57" s="207"/>
      <c r="F57" s="300"/>
      <c r="G57" s="11"/>
      <c r="H57" s="11"/>
      <c r="I57" s="181"/>
      <c r="J57" s="207"/>
      <c r="K57" s="292"/>
      <c r="L57" s="300"/>
      <c r="M57" s="11"/>
      <c r="N57" s="181"/>
      <c r="O57" s="207"/>
      <c r="P57" s="292"/>
      <c r="Q57" s="300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3"/>
      <c r="D58" s="207"/>
      <c r="E58" s="207"/>
      <c r="F58" s="300"/>
      <c r="G58" s="11"/>
      <c r="H58" s="11"/>
      <c r="I58" s="181"/>
      <c r="J58" s="207"/>
      <c r="K58" s="292"/>
      <c r="L58" s="300"/>
      <c r="M58" s="11"/>
      <c r="N58" s="181"/>
      <c r="O58" s="207"/>
      <c r="P58" s="292"/>
      <c r="Q58" s="300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3"/>
      <c r="D59" s="207"/>
      <c r="E59" s="207"/>
      <c r="F59" s="300"/>
      <c r="G59" s="11"/>
      <c r="H59" s="11"/>
      <c r="I59" s="181"/>
      <c r="J59" s="207"/>
      <c r="K59" s="292"/>
      <c r="L59" s="300"/>
      <c r="M59" s="11"/>
      <c r="N59" s="181"/>
      <c r="O59" s="207"/>
      <c r="P59" s="292"/>
      <c r="Q59" s="300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6"/>
      <c r="C60" s="297"/>
      <c r="D60" s="162"/>
      <c r="E60" s="162"/>
      <c r="F60" s="301"/>
      <c r="G60" s="11"/>
      <c r="H60" s="11"/>
      <c r="I60" s="286"/>
      <c r="J60" s="162"/>
      <c r="K60" s="293"/>
      <c r="L60" s="301"/>
      <c r="M60" s="11"/>
      <c r="N60" s="286"/>
      <c r="O60" s="162"/>
      <c r="P60" s="293"/>
      <c r="Q60" s="30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abSelected="1" zoomScale="91" zoomScaleNormal="91" workbookViewId="0">
      <selection activeCell="L13" sqref="L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335</v>
      </c>
      <c r="F10" s="213" t="s">
        <v>177</v>
      </c>
      <c r="G10" s="5"/>
      <c r="H10" s="68" t="s">
        <v>2</v>
      </c>
      <c r="I10" s="69"/>
      <c r="J10" s="216" t="s">
        <v>177</v>
      </c>
      <c r="K10" s="5"/>
      <c r="L10" s="5"/>
      <c r="M10" s="66" t="s">
        <v>73</v>
      </c>
      <c r="N10" s="178">
        <f>2.5/1000</f>
        <v>2.5000000000000001E-3</v>
      </c>
      <c r="O10" s="178"/>
      <c r="P10" s="82"/>
      <c r="Q10" s="180"/>
      <c r="R10" s="5" t="s">
        <v>193</v>
      </c>
      <c r="S10" s="139">
        <v>110</v>
      </c>
      <c r="T10" s="140" t="s">
        <v>331</v>
      </c>
      <c r="U10" s="101">
        <v>1</v>
      </c>
      <c r="V10" s="83"/>
      <c r="W10" s="137">
        <v>11</v>
      </c>
      <c r="X10" s="82">
        <v>110</v>
      </c>
      <c r="Y10" s="262">
        <v>250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177</v>
      </c>
      <c r="G11" s="5"/>
      <c r="H11" s="68" t="s">
        <v>65</v>
      </c>
      <c r="I11" s="104">
        <f>33000/1000000</f>
        <v>3.3000000000000002E-2</v>
      </c>
      <c r="J11" s="213" t="s">
        <v>186</v>
      </c>
      <c r="K11" s="5"/>
      <c r="L11" s="5"/>
      <c r="M11" s="75" t="s">
        <v>74</v>
      </c>
      <c r="N11" s="124" t="s">
        <v>12</v>
      </c>
      <c r="O11" s="124"/>
      <c r="P11" s="74"/>
      <c r="Q11" s="126"/>
      <c r="R11" s="5" t="s">
        <v>187</v>
      </c>
      <c r="S11" s="102">
        <v>110</v>
      </c>
      <c r="T11" s="103" t="s">
        <v>171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59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124" t="s">
        <v>172</v>
      </c>
      <c r="O12" s="124"/>
      <c r="P12" s="74"/>
      <c r="Q12" s="126"/>
      <c r="R12" s="5"/>
      <c r="S12" s="102">
        <v>110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177</v>
      </c>
      <c r="G13" s="5"/>
      <c r="H13" s="68" t="s">
        <v>67</v>
      </c>
      <c r="I13" s="104">
        <v>0.6</v>
      </c>
      <c r="J13" s="213" t="s">
        <v>177</v>
      </c>
      <c r="K13" s="5"/>
      <c r="L13" s="5"/>
      <c r="M13" s="75"/>
      <c r="N13" s="124" t="s">
        <v>171</v>
      </c>
      <c r="O13" s="74"/>
      <c r="P13" s="74"/>
      <c r="Q13" s="69"/>
      <c r="R13" s="5"/>
      <c r="S13" s="102">
        <v>110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76"/>
      <c r="N14" s="74" t="s">
        <v>331</v>
      </c>
      <c r="O14" s="74"/>
      <c r="P14" s="74"/>
      <c r="Q14" s="69"/>
      <c r="R14" s="5"/>
      <c r="S14" s="102">
        <v>110</v>
      </c>
      <c r="T14" s="74" t="s">
        <v>333</v>
      </c>
      <c r="U14" s="30">
        <v>0.05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5"/>
      <c r="L15" s="5"/>
      <c r="M15" s="76"/>
      <c r="N15" s="74" t="s">
        <v>169</v>
      </c>
      <c r="O15" s="74"/>
      <c r="P15" s="74"/>
      <c r="Q15" s="69"/>
      <c r="R15" s="5"/>
      <c r="S15" s="50">
        <v>250</v>
      </c>
      <c r="T15" s="103" t="s">
        <v>333</v>
      </c>
      <c r="U15" s="104">
        <v>0.95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171</v>
      </c>
      <c r="J16" s="213" t="s">
        <v>177</v>
      </c>
      <c r="K16" s="5"/>
      <c r="L16" s="5"/>
      <c r="M16" s="76"/>
      <c r="N16" s="74" t="s">
        <v>333</v>
      </c>
      <c r="O16" s="74"/>
      <c r="P16" s="74"/>
      <c r="Q16" s="69"/>
      <c r="R16" s="5"/>
      <c r="S16" s="50">
        <v>110</v>
      </c>
      <c r="T16" s="103" t="s">
        <v>14</v>
      </c>
      <c r="U16" s="104">
        <v>0.5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217"/>
      <c r="I17" s="242" t="s">
        <v>172</v>
      </c>
      <c r="J17" s="213" t="s">
        <v>177</v>
      </c>
      <c r="K17" s="5"/>
      <c r="L17" s="5"/>
      <c r="M17" s="76"/>
      <c r="N17" s="74"/>
      <c r="O17" s="74"/>
      <c r="P17" s="74"/>
      <c r="Q17" s="69"/>
      <c r="R17" s="5"/>
      <c r="S17" s="50">
        <v>250</v>
      </c>
      <c r="T17" s="124" t="s">
        <v>14</v>
      </c>
      <c r="U17" s="126">
        <v>0.5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242" t="s">
        <v>331</v>
      </c>
      <c r="J18" s="213" t="s">
        <v>177</v>
      </c>
      <c r="K18" s="5"/>
      <c r="L18" s="5"/>
      <c r="M18" s="76"/>
      <c r="N18" s="74"/>
      <c r="O18" s="74"/>
      <c r="P18" s="74"/>
      <c r="Q18" s="69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 t="s">
        <v>169</v>
      </c>
      <c r="J19" s="213" t="s">
        <v>177</v>
      </c>
      <c r="K19" s="5"/>
      <c r="L19" s="5"/>
      <c r="M19" s="76"/>
      <c r="N19" s="74"/>
      <c r="O19" s="74"/>
      <c r="P19" s="74"/>
      <c r="Q19" s="69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 t="s">
        <v>333</v>
      </c>
      <c r="J20" s="213" t="s">
        <v>177</v>
      </c>
      <c r="K20" s="5"/>
      <c r="L20" s="5"/>
      <c r="M20" s="109"/>
      <c r="N20" s="74"/>
      <c r="O20" s="74"/>
      <c r="P20" s="74"/>
      <c r="Q20" s="69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109"/>
      <c r="N21" s="74"/>
      <c r="O21" s="74"/>
      <c r="P21" s="74"/>
      <c r="Q21" s="69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109"/>
      <c r="N22" s="74"/>
      <c r="O22" s="74"/>
      <c r="P22" s="74"/>
      <c r="Q22" s="69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109"/>
      <c r="N23" s="74"/>
      <c r="O23" s="74"/>
      <c r="P23" s="74"/>
      <c r="Q23" s="69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109"/>
      <c r="N24" s="74"/>
      <c r="O24" s="74"/>
      <c r="P24" s="74"/>
      <c r="Q24" s="69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109"/>
      <c r="N25" s="74"/>
      <c r="O25" s="74"/>
      <c r="P25" s="74"/>
      <c r="Q25" s="69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109"/>
      <c r="N26" s="74"/>
      <c r="O26" s="74"/>
      <c r="P26" s="74"/>
      <c r="Q26" s="69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244"/>
      <c r="J27" s="214" t="s">
        <v>177</v>
      </c>
      <c r="K27" s="5"/>
      <c r="L27" s="5"/>
      <c r="M27" s="110"/>
      <c r="N27" s="112"/>
      <c r="O27" s="112"/>
      <c r="P27" s="112"/>
      <c r="Q27" s="7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329" t="s">
        <v>343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>
        <v>250</v>
      </c>
      <c r="I30" s="5" t="s">
        <v>344</v>
      </c>
      <c r="J30" s="5"/>
      <c r="K30" s="5"/>
      <c r="L30" s="5"/>
      <c r="M30" s="329"/>
      <c r="N30" s="5"/>
      <c r="O30" s="5"/>
      <c r="P30" s="5"/>
      <c r="Q30" s="5"/>
      <c r="R30" s="5"/>
      <c r="S30" s="398" t="s">
        <v>337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3" t="s">
        <v>345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 t="s">
        <v>346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 t="s">
        <v>347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H29" r:id="rId1" display="https://jh-starchmachine.en.made-in-china.com/product/TZsfrGgXbBRW/China-High-Speed-250kw-Rasper-Equipment-Cassava-Starch-Production-Line-Cassava-Crushing-Machine.html" xr:uid="{6FF9581C-E244-4579-A591-16C0F8E894D4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I18" sqref="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336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1.5</v>
      </c>
      <c r="P10" s="179"/>
      <c r="Q10" s="180"/>
      <c r="R10" s="5" t="s">
        <v>193</v>
      </c>
      <c r="S10" s="139">
        <v>888</v>
      </c>
      <c r="T10" s="140" t="s">
        <v>331</v>
      </c>
      <c r="U10" s="101">
        <v>1</v>
      </c>
      <c r="V10" s="83"/>
      <c r="W10" s="137"/>
      <c r="X10" s="82">
        <v>888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110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888</v>
      </c>
      <c r="T11" s="103" t="s">
        <v>171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14</v>
      </c>
      <c r="P12" s="179"/>
      <c r="Q12" s="180"/>
      <c r="R12" s="5"/>
      <c r="S12" s="102">
        <v>888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>
        <v>888</v>
      </c>
      <c r="T14" s="74" t="s">
        <v>333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>
        <v>888</v>
      </c>
      <c r="T15" s="74" t="s">
        <v>14</v>
      </c>
      <c r="U15" s="30">
        <v>0.05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14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172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80</v>
      </c>
      <c r="F18" s="213" t="s">
        <v>192</v>
      </c>
      <c r="G18" s="5"/>
      <c r="H18" s="76"/>
      <c r="I18" s="242" t="s">
        <v>333</v>
      </c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 t="s">
        <v>331</v>
      </c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329" t="s">
        <v>338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398" t="s">
        <v>339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www.researchgate.net/figure/Sliced-crop-data-on-solar-drying-potential_tbl1_304771464" xr:uid="{C5CD2317-87F1-490E-A573-7ED60662C860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zoomScale="75" zoomScaleNormal="47" workbookViewId="0">
      <selection activeCell="L22" sqref="L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9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340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>
        <v>0.01</v>
      </c>
      <c r="O10" s="178">
        <v>1.5</v>
      </c>
      <c r="P10" s="179"/>
      <c r="Q10" s="180"/>
      <c r="R10" s="5" t="s">
        <v>193</v>
      </c>
      <c r="S10" s="102">
        <v>5000</v>
      </c>
      <c r="T10" s="103" t="s">
        <v>333</v>
      </c>
      <c r="U10" s="104">
        <v>1</v>
      </c>
      <c r="V10" s="83"/>
      <c r="W10" s="137"/>
      <c r="X10" s="82">
        <v>5000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250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 t="s">
        <v>12</v>
      </c>
      <c r="O11" s="124" t="s">
        <v>12</v>
      </c>
      <c r="P11" s="78"/>
      <c r="Q11" s="126"/>
      <c r="R11" s="5" t="s">
        <v>187</v>
      </c>
      <c r="S11" s="102">
        <v>5000</v>
      </c>
      <c r="T11" s="103" t="s">
        <v>14</v>
      </c>
      <c r="U11" s="104">
        <v>0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245" t="s">
        <v>75</v>
      </c>
      <c r="N12" s="253" t="s">
        <v>333</v>
      </c>
      <c r="O12" s="178" t="s">
        <v>14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 t="s">
        <v>14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333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/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 t="s">
        <v>341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329" t="s">
        <v>338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398" t="s">
        <v>339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1" r:id="rId1" display="https://www.researchgate.net/figure/Sliced-crop-data-on-solar-drying-potential_tbl1_304771464" xr:uid="{224DEB4E-4C43-4537-AA57-C83A19D0BE53}"/>
  </hyperlinks>
  <pageMargins left="0.7" right="0.7" top="0.78740157499999996" bottom="0.78740157499999996" header="0.3" footer="0.3"/>
  <pageSetup paperSize="0" orientation="portrait"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29.54296875" style="3" bestFit="1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31.453125" style="3" bestFit="1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16" t="s">
        <v>70</v>
      </c>
      <c r="N8" s="317"/>
      <c r="O8" s="317"/>
      <c r="P8" s="317"/>
      <c r="Q8" s="318"/>
      <c r="R8" s="5"/>
      <c r="S8" s="310" t="s">
        <v>76</v>
      </c>
      <c r="T8" s="311"/>
      <c r="U8" s="312"/>
      <c r="V8" s="12"/>
      <c r="W8" s="313" t="s">
        <v>106</v>
      </c>
      <c r="X8" s="314"/>
      <c r="Y8" s="314"/>
      <c r="Z8" s="315"/>
      <c r="AA8" s="11"/>
      <c r="AB8" s="313" t="s">
        <v>83</v>
      </c>
      <c r="AC8" s="314"/>
      <c r="AD8" s="314"/>
      <c r="AE8" s="314"/>
      <c r="AF8" s="315"/>
      <c r="AG8" s="11"/>
      <c r="AH8" s="313" t="s">
        <v>7</v>
      </c>
      <c r="AI8" s="314"/>
      <c r="AJ8" s="315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308</v>
      </c>
      <c r="F10" s="213" t="s">
        <v>177</v>
      </c>
      <c r="G10" s="5"/>
      <c r="H10" s="66" t="s">
        <v>2</v>
      </c>
      <c r="I10" s="67"/>
      <c r="J10" s="95" t="s">
        <v>177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193</v>
      </c>
      <c r="S10" s="102">
        <v>4000</v>
      </c>
      <c r="T10" s="103" t="s">
        <v>282</v>
      </c>
      <c r="U10" s="104">
        <v>1</v>
      </c>
      <c r="V10" s="105"/>
      <c r="W10" s="137"/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282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240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8" t="s">
        <v>224</v>
      </c>
      <c r="F12" s="213" t="s">
        <v>177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5" t="s">
        <v>75</v>
      </c>
      <c r="N12" s="253" t="s">
        <v>172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0.2</v>
      </c>
      <c r="J13" s="86" t="s">
        <v>177</v>
      </c>
      <c r="K13" s="78"/>
      <c r="L13" s="78"/>
      <c r="M13" s="246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78"/>
      <c r="L14" s="78"/>
      <c r="M14" s="247"/>
      <c r="N14" s="108" t="s">
        <v>171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78"/>
      <c r="L15" s="78"/>
      <c r="M15" s="247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172</v>
      </c>
      <c r="J16" s="216" t="s">
        <v>177</v>
      </c>
      <c r="K16" s="78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75"/>
      <c r="I17" s="242" t="s">
        <v>169</v>
      </c>
      <c r="J17" s="213" t="s">
        <v>177</v>
      </c>
      <c r="K17" s="78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242" t="s">
        <v>171</v>
      </c>
      <c r="J18" s="213" t="s">
        <v>177</v>
      </c>
      <c r="K18" s="78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242"/>
      <c r="J19" s="213" t="s">
        <v>177</v>
      </c>
      <c r="K19" s="78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242"/>
      <c r="J20" s="213" t="s">
        <v>177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I17" sqref="I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331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177</v>
      </c>
      <c r="G11" s="5"/>
      <c r="H11" s="68" t="s">
        <v>65</v>
      </c>
      <c r="I11" s="104">
        <v>1.0000000000000001E-9</v>
      </c>
      <c r="J11" s="213" t="s">
        <v>186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171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59"/>
      <c r="F12" s="213" t="s">
        <v>177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172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212</v>
      </c>
      <c r="F13" s="213" t="s">
        <v>177</v>
      </c>
      <c r="G13" s="5"/>
      <c r="H13" s="68" t="s">
        <v>67</v>
      </c>
      <c r="I13" s="104">
        <v>1</v>
      </c>
      <c r="J13" s="213" t="s">
        <v>177</v>
      </c>
      <c r="K13" s="5"/>
      <c r="L13" s="5"/>
      <c r="M13" s="75" t="s">
        <v>190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331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17" t="s">
        <v>69</v>
      </c>
      <c r="I15" s="69" t="s">
        <v>12</v>
      </c>
      <c r="J15" s="213" t="s">
        <v>187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171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75" t="s">
        <v>53</v>
      </c>
      <c r="I16" s="69" t="s">
        <v>172</v>
      </c>
      <c r="J16" s="213" t="s">
        <v>177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172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217"/>
      <c r="I17" s="69" t="s">
        <v>331</v>
      </c>
      <c r="J17" s="213" t="s">
        <v>177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76"/>
      <c r="I18" s="69" t="s">
        <v>171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H1" zoomScale="75" zoomScaleNormal="47" workbookViewId="0">
      <selection activeCell="O19" sqref="O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211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248">
        <v>0.5</v>
      </c>
      <c r="O10" s="248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171</v>
      </c>
      <c r="AD10" s="138" t="s">
        <v>12</v>
      </c>
      <c r="AE10" s="82" t="s">
        <v>228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249" t="s">
        <v>12</v>
      </c>
      <c r="O11" s="249"/>
      <c r="P11" s="78"/>
      <c r="Q11" s="126"/>
      <c r="R11" s="5"/>
      <c r="S11" s="102">
        <v>320</v>
      </c>
      <c r="T11" s="103" t="s">
        <v>228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172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5" t="s">
        <v>75</v>
      </c>
      <c r="N12" s="248" t="s">
        <v>331</v>
      </c>
      <c r="O12" s="24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250" t="s">
        <v>171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331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250" t="s">
        <v>172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17" t="s">
        <v>69</v>
      </c>
      <c r="I15" s="69" t="s">
        <v>12</v>
      </c>
      <c r="J15" s="213" t="s">
        <v>187</v>
      </c>
      <c r="K15" s="5"/>
      <c r="L15" s="5"/>
      <c r="M15" s="247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5"/>
      <c r="L16" s="5"/>
      <c r="M16" s="247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181</v>
      </c>
      <c r="G17" s="5"/>
      <c r="H17" s="217"/>
      <c r="I17" s="69" t="s">
        <v>169</v>
      </c>
      <c r="J17" s="213" t="s">
        <v>177</v>
      </c>
      <c r="K17" s="5"/>
      <c r="L17" s="5"/>
      <c r="M17" s="247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181</v>
      </c>
      <c r="G18" s="5"/>
      <c r="H18" s="76"/>
      <c r="I18" s="69" t="s">
        <v>331</v>
      </c>
      <c r="J18" s="213"/>
      <c r="K18" s="5"/>
      <c r="L18" s="5"/>
      <c r="M18" s="247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5"/>
      <c r="L19" s="5"/>
      <c r="M19" s="247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302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193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220</v>
      </c>
      <c r="T11" s="103" t="s">
        <v>228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262">
        <v>10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228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228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N12" sqref="N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230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248">
        <v>0.2</v>
      </c>
      <c r="O10" s="178"/>
      <c r="P10" s="179"/>
      <c r="Q10" s="180"/>
      <c r="R10" s="5" t="s">
        <v>193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171</v>
      </c>
      <c r="AD10" s="138" t="s">
        <v>12</v>
      </c>
      <c r="AE10" s="82" t="s">
        <v>228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249" t="s">
        <v>12</v>
      </c>
      <c r="O11" s="124"/>
      <c r="P11" s="78"/>
      <c r="Q11" s="126"/>
      <c r="R11" s="5" t="s">
        <v>187</v>
      </c>
      <c r="S11" s="102">
        <v>330</v>
      </c>
      <c r="T11" s="103" t="s">
        <v>228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172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5" t="s">
        <v>75</v>
      </c>
      <c r="N12" s="248" t="s">
        <v>331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250" t="s">
        <v>171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331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250" t="s">
        <v>172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245"/>
      <c r="I17" s="69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192</v>
      </c>
      <c r="G18" s="5"/>
      <c r="H18" s="247"/>
      <c r="I18" s="69" t="s">
        <v>331</v>
      </c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247"/>
      <c r="I19" s="69" t="s">
        <v>171</v>
      </c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247"/>
      <c r="I20" s="69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243"/>
      <c r="I21" s="69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243"/>
      <c r="I22" s="69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243"/>
      <c r="I23" s="81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243"/>
      <c r="I24" s="81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243"/>
      <c r="I25" s="81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243"/>
      <c r="I26" s="81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244"/>
      <c r="I27" s="80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8"/>
      <c r="E6" s="358"/>
      <c r="F6" s="5"/>
      <c r="G6" s="5"/>
      <c r="H6" s="358"/>
      <c r="I6" s="358"/>
      <c r="J6" s="15"/>
      <c r="K6" s="15"/>
      <c r="L6" s="5"/>
      <c r="M6" s="358"/>
      <c r="N6" s="358"/>
      <c r="O6" s="358"/>
      <c r="P6" s="358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231</v>
      </c>
      <c r="F10" s="213" t="s">
        <v>177</v>
      </c>
      <c r="G10" s="5"/>
      <c r="H10" s="66" t="s">
        <v>2</v>
      </c>
      <c r="I10" s="67"/>
      <c r="J10" s="216" t="s">
        <v>177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193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187</v>
      </c>
      <c r="S11" s="102">
        <v>230</v>
      </c>
      <c r="T11" s="103" t="s">
        <v>228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177</v>
      </c>
      <c r="G12" s="5"/>
      <c r="H12" s="68" t="s">
        <v>66</v>
      </c>
      <c r="I12" s="262">
        <v>10</v>
      </c>
      <c r="J12" s="213" t="str">
        <f>J15</f>
        <v>t/h</v>
      </c>
      <c r="K12" s="5"/>
      <c r="L12" s="5"/>
      <c r="M12" s="245" t="s">
        <v>75</v>
      </c>
      <c r="N12" s="253"/>
      <c r="O12" s="178" t="s">
        <v>228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5"/>
      <c r="L13" s="5"/>
      <c r="M13" s="246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5"/>
      <c r="L14" s="5"/>
      <c r="M14" s="247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177</v>
      </c>
      <c r="G15" s="5"/>
      <c r="H15" s="257" t="s">
        <v>69</v>
      </c>
      <c r="I15" s="69" t="s">
        <v>12</v>
      </c>
      <c r="J15" s="213" t="s">
        <v>187</v>
      </c>
      <c r="K15" s="5"/>
      <c r="L15" s="5"/>
      <c r="M15" s="247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177</v>
      </c>
      <c r="G16" s="5"/>
      <c r="H16" s="240" t="s">
        <v>53</v>
      </c>
      <c r="I16" s="241" t="s">
        <v>228</v>
      </c>
      <c r="J16" s="216" t="s">
        <v>177</v>
      </c>
      <c r="K16" s="5"/>
      <c r="L16" s="5"/>
      <c r="M16" s="247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192</v>
      </c>
      <c r="G17" s="5"/>
      <c r="H17" s="75"/>
      <c r="I17" s="242" t="s">
        <v>169</v>
      </c>
      <c r="J17" s="213" t="s">
        <v>177</v>
      </c>
      <c r="K17" s="5"/>
      <c r="L17" s="5"/>
      <c r="M17" s="247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192</v>
      </c>
      <c r="G18" s="5"/>
      <c r="H18" s="76"/>
      <c r="I18" s="242"/>
      <c r="J18" s="213" t="s">
        <v>177</v>
      </c>
      <c r="K18" s="5"/>
      <c r="L18" s="5"/>
      <c r="M18" s="247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192</v>
      </c>
      <c r="G19" s="5"/>
      <c r="H19" s="76"/>
      <c r="I19" s="242"/>
      <c r="J19" s="213" t="s">
        <v>177</v>
      </c>
      <c r="K19" s="5"/>
      <c r="L19" s="5"/>
      <c r="M19" s="247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192</v>
      </c>
      <c r="G20" s="5"/>
      <c r="H20" s="76"/>
      <c r="I20" s="242"/>
      <c r="J20" s="213" t="s">
        <v>177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242"/>
      <c r="J21" s="213" t="s">
        <v>177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177</v>
      </c>
      <c r="G22" s="5"/>
      <c r="H22" s="109"/>
      <c r="I22" s="242"/>
      <c r="J22" s="213" t="s">
        <v>177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177</v>
      </c>
      <c r="G23" s="5"/>
      <c r="H23" s="109"/>
      <c r="I23" s="243"/>
      <c r="J23" s="213" t="s">
        <v>177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177</v>
      </c>
      <c r="G24" s="11"/>
      <c r="H24" s="109"/>
      <c r="I24" s="243"/>
      <c r="J24" s="213" t="s">
        <v>177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177</v>
      </c>
      <c r="G25" s="11"/>
      <c r="H25" s="109"/>
      <c r="I25" s="243"/>
      <c r="J25" s="213" t="s">
        <v>177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177</v>
      </c>
      <c r="G26" s="5"/>
      <c r="H26" s="109"/>
      <c r="I26" s="243"/>
      <c r="J26" s="213" t="s">
        <v>177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214" t="s">
        <v>177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7"/>
      <c r="E47" s="357"/>
      <c r="F47" s="357"/>
      <c r="G47" s="357"/>
      <c r="H47" s="357"/>
      <c r="I47" s="357"/>
      <c r="J47" s="357"/>
      <c r="K47" s="357"/>
      <c r="L47" s="35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17" sqref="O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201</v>
      </c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251" t="s">
        <v>73</v>
      </c>
      <c r="N10" s="248">
        <v>1E-4</v>
      </c>
      <c r="O10" s="178">
        <v>0.2</v>
      </c>
      <c r="P10" s="254"/>
      <c r="Q10" s="180"/>
      <c r="R10" s="113"/>
      <c r="S10" s="102">
        <v>2000</v>
      </c>
      <c r="T10" s="103" t="s">
        <v>195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172</v>
      </c>
      <c r="AF10" s="136">
        <v>10</v>
      </c>
      <c r="AG10" s="119"/>
      <c r="AH10" s="125" t="s">
        <v>172</v>
      </c>
      <c r="AI10" s="124">
        <v>1</v>
      </c>
      <c r="AJ10" s="126">
        <v>-1</v>
      </c>
      <c r="AK10" s="114"/>
      <c r="AL10" s="127">
        <v>1</v>
      </c>
      <c r="AM10" s="128" t="s">
        <v>172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177</v>
      </c>
      <c r="G11" s="5"/>
      <c r="H11" s="68" t="s">
        <v>65</v>
      </c>
      <c r="I11" s="104">
        <v>2</v>
      </c>
      <c r="J11" s="213" t="s">
        <v>186</v>
      </c>
      <c r="K11" s="78"/>
      <c r="L11" s="78"/>
      <c r="M11" s="252" t="s">
        <v>74</v>
      </c>
      <c r="N11" s="249" t="s">
        <v>12</v>
      </c>
      <c r="O11" s="124" t="s">
        <v>12</v>
      </c>
      <c r="P11" s="255"/>
      <c r="Q11" s="256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8" t="s">
        <v>223</v>
      </c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5" t="s">
        <v>75</v>
      </c>
      <c r="N12" s="248" t="s">
        <v>331</v>
      </c>
      <c r="O12" s="248" t="s">
        <v>331</v>
      </c>
      <c r="P12" s="179"/>
      <c r="Q12" s="180"/>
      <c r="R12" s="113"/>
      <c r="S12" s="102">
        <v>2000</v>
      </c>
      <c r="T12" s="103" t="s">
        <v>175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195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78"/>
      <c r="L13" s="78"/>
      <c r="M13" s="246"/>
      <c r="N13" s="250" t="s">
        <v>171</v>
      </c>
      <c r="O13" s="250" t="s">
        <v>171</v>
      </c>
      <c r="P13" s="74"/>
      <c r="Q13" s="69"/>
      <c r="R13" s="113"/>
      <c r="S13" s="102">
        <v>1000</v>
      </c>
      <c r="T13" s="103" t="s">
        <v>175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175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78"/>
      <c r="L14" s="78"/>
      <c r="M14" s="247"/>
      <c r="N14" s="250" t="s">
        <v>172</v>
      </c>
      <c r="O14" s="250" t="s">
        <v>172</v>
      </c>
      <c r="P14" s="78"/>
      <c r="Q14" s="81"/>
      <c r="R14" s="113"/>
      <c r="S14" s="102">
        <v>1000</v>
      </c>
      <c r="T14" s="74" t="s">
        <v>195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78"/>
      <c r="L15" s="78"/>
      <c r="M15" s="247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78"/>
      <c r="L16" s="78"/>
      <c r="M16" s="247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181</v>
      </c>
      <c r="G17" s="5"/>
      <c r="H17" s="217"/>
      <c r="I17" s="69" t="s">
        <v>169</v>
      </c>
      <c r="J17" s="213" t="s">
        <v>177</v>
      </c>
      <c r="K17" s="78"/>
      <c r="L17" s="78"/>
      <c r="M17" s="247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181</v>
      </c>
      <c r="G18" s="5"/>
      <c r="H18" s="76"/>
      <c r="I18" s="69" t="s">
        <v>331</v>
      </c>
      <c r="J18" s="213"/>
      <c r="K18" s="78"/>
      <c r="L18" s="78"/>
      <c r="M18" s="247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78"/>
      <c r="L19" s="78"/>
      <c r="M19" s="247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21" sqref="AM2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73" t="s">
        <v>30</v>
      </c>
      <c r="I9" s="73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0" t="s">
        <v>202</v>
      </c>
      <c r="F10" s="213" t="s">
        <v>177</v>
      </c>
      <c r="G10" s="5"/>
      <c r="H10" s="68" t="s">
        <v>2</v>
      </c>
      <c r="I10" s="69"/>
      <c r="J10" s="216" t="s">
        <v>177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174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172</v>
      </c>
      <c r="AI10" s="124">
        <v>2</v>
      </c>
      <c r="AJ10" s="126">
        <v>-1</v>
      </c>
      <c r="AK10" s="114"/>
      <c r="AL10" s="127">
        <v>2</v>
      </c>
      <c r="AM10" s="128" t="s">
        <v>172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177</v>
      </c>
      <c r="G11" s="5"/>
      <c r="H11" s="68" t="s">
        <v>65</v>
      </c>
      <c r="I11" s="104">
        <v>1</v>
      </c>
      <c r="J11" s="213" t="s">
        <v>186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174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174</v>
      </c>
      <c r="AI11" s="124">
        <v>2</v>
      </c>
      <c r="AJ11" s="126">
        <v>0.25</v>
      </c>
      <c r="AK11" s="114"/>
      <c r="AL11" s="115">
        <v>3</v>
      </c>
      <c r="AM11" s="6" t="s">
        <v>171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8" t="s">
        <v>223</v>
      </c>
      <c r="F12" s="213" t="s">
        <v>177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172</v>
      </c>
      <c r="O12" s="124" t="s">
        <v>172</v>
      </c>
      <c r="P12" s="78"/>
      <c r="Q12" s="126"/>
      <c r="R12" s="113"/>
      <c r="S12" s="50">
        <v>1000</v>
      </c>
      <c r="T12" s="74" t="s">
        <v>175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175</v>
      </c>
      <c r="AI12" s="124">
        <v>2</v>
      </c>
      <c r="AJ12" s="126">
        <v>0.75</v>
      </c>
      <c r="AK12" s="114"/>
      <c r="AL12" s="115">
        <v>4</v>
      </c>
      <c r="AM12" s="6" t="s">
        <v>331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213" t="s">
        <v>177</v>
      </c>
      <c r="K13" s="78"/>
      <c r="L13" s="78"/>
      <c r="M13" s="75"/>
      <c r="N13" s="124" t="s">
        <v>331</v>
      </c>
      <c r="O13" s="124" t="s">
        <v>331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171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213" t="s">
        <v>189</v>
      </c>
      <c r="K14" s="78"/>
      <c r="L14" s="78"/>
      <c r="M14" s="76"/>
      <c r="N14" s="74" t="s">
        <v>171</v>
      </c>
      <c r="O14" s="74" t="s">
        <v>171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174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213" t="s">
        <v>187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175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67" t="s">
        <v>172</v>
      </c>
      <c r="J16" s="213" t="s">
        <v>177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331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181</v>
      </c>
      <c r="G17" s="5"/>
      <c r="H17" s="217"/>
      <c r="I17" s="69" t="s">
        <v>169</v>
      </c>
      <c r="J17" s="213" t="s">
        <v>177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174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181</v>
      </c>
      <c r="G18" s="5"/>
      <c r="H18" s="76"/>
      <c r="I18" s="69" t="s">
        <v>331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175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181</v>
      </c>
      <c r="G19" s="5"/>
      <c r="H19" s="76"/>
      <c r="I19" s="69" t="s">
        <v>171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181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177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N12:N16 I16:I27 AC10:AC27 P14:Q16 O13:O15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16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203</v>
      </c>
      <c r="F10" s="213" t="s">
        <v>177</v>
      </c>
      <c r="G10" s="5"/>
      <c r="H10" s="66" t="s">
        <v>2</v>
      </c>
      <c r="I10" s="67"/>
      <c r="J10" s="95" t="s">
        <v>177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174</v>
      </c>
      <c r="AI10" s="124">
        <v>5</v>
      </c>
      <c r="AJ10" s="126">
        <v>-1</v>
      </c>
      <c r="AK10" s="114"/>
      <c r="AL10" s="127">
        <v>5</v>
      </c>
      <c r="AM10" s="128" t="s">
        <v>174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177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204</v>
      </c>
      <c r="F13" s="213" t="s">
        <v>177</v>
      </c>
      <c r="G13" s="5"/>
      <c r="H13" s="68" t="s">
        <v>67</v>
      </c>
      <c r="I13" s="104">
        <v>0.1</v>
      </c>
      <c r="J13" s="86" t="s">
        <v>177</v>
      </c>
      <c r="K13" s="78"/>
      <c r="L13" s="78"/>
      <c r="M13" s="75" t="s">
        <v>190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177</v>
      </c>
      <c r="G16" s="5"/>
      <c r="H16" s="75" t="s">
        <v>53</v>
      </c>
      <c r="I16" s="69" t="s">
        <v>174</v>
      </c>
      <c r="J16" s="86" t="s">
        <v>177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 t="s">
        <v>190</v>
      </c>
      <c r="I17" s="69"/>
      <c r="J17" s="86" t="s">
        <v>177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177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215</v>
      </c>
      <c r="E27" s="228">
        <f>Systemblatt!C11</f>
        <v>8000</v>
      </c>
      <c r="F27" s="229" t="s">
        <v>179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G35" sqref="G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9" t="s">
        <v>50</v>
      </c>
      <c r="E8" s="360"/>
      <c r="F8" s="361"/>
      <c r="G8" s="5"/>
      <c r="H8" s="362" t="s">
        <v>51</v>
      </c>
      <c r="I8" s="363"/>
      <c r="J8" s="364"/>
      <c r="K8" s="5"/>
      <c r="L8" s="5"/>
      <c r="M8" s="354" t="s">
        <v>70</v>
      </c>
      <c r="N8" s="355"/>
      <c r="O8" s="355"/>
      <c r="P8" s="355"/>
      <c r="Q8" s="356"/>
      <c r="R8" s="5"/>
      <c r="S8" s="348" t="s">
        <v>76</v>
      </c>
      <c r="T8" s="349"/>
      <c r="U8" s="350"/>
      <c r="V8" s="12"/>
      <c r="W8" s="351" t="s">
        <v>106</v>
      </c>
      <c r="X8" s="352"/>
      <c r="Y8" s="352"/>
      <c r="Z8" s="353"/>
      <c r="AA8" s="11"/>
      <c r="AB8" s="351" t="s">
        <v>83</v>
      </c>
      <c r="AC8" s="352"/>
      <c r="AD8" s="352"/>
      <c r="AE8" s="352"/>
      <c r="AF8" s="353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176</v>
      </c>
      <c r="G9" s="5"/>
      <c r="H9" s="98" t="s">
        <v>30</v>
      </c>
      <c r="I9" s="98" t="s">
        <v>52</v>
      </c>
      <c r="J9" s="73" t="s">
        <v>176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176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225</v>
      </c>
      <c r="F10" s="213" t="s">
        <v>177</v>
      </c>
      <c r="G10" s="5"/>
      <c r="H10" s="66" t="s">
        <v>2</v>
      </c>
      <c r="I10" s="67"/>
      <c r="J10" s="95" t="s">
        <v>177</v>
      </c>
      <c r="K10" s="5"/>
      <c r="L10" s="78"/>
      <c r="M10" s="66" t="s">
        <v>73</v>
      </c>
      <c r="N10" s="178"/>
      <c r="O10" s="178"/>
      <c r="P10" s="179"/>
      <c r="Q10" s="180"/>
      <c r="R10" s="5" t="s">
        <v>193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174</v>
      </c>
      <c r="AI10" s="124">
        <v>5</v>
      </c>
      <c r="AJ10" s="126">
        <v>-1</v>
      </c>
      <c r="AK10" s="114"/>
      <c r="AL10" s="127">
        <v>5</v>
      </c>
      <c r="AM10" s="128" t="s">
        <v>174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177</v>
      </c>
      <c r="G11" s="5"/>
      <c r="H11" s="68" t="s">
        <v>65</v>
      </c>
      <c r="I11" s="104">
        <v>2</v>
      </c>
      <c r="J11" s="86" t="s">
        <v>186</v>
      </c>
      <c r="K11" s="5"/>
      <c r="L11" s="78"/>
      <c r="M11" s="75" t="s">
        <v>74</v>
      </c>
      <c r="N11" s="124"/>
      <c r="O11" s="124"/>
      <c r="P11" s="78"/>
      <c r="Q11" s="126"/>
      <c r="R11" s="5" t="s">
        <v>187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177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5" t="s">
        <v>75</v>
      </c>
      <c r="N12" s="253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177</v>
      </c>
      <c r="G13" s="5"/>
      <c r="H13" s="68" t="s">
        <v>67</v>
      </c>
      <c r="I13" s="104">
        <v>0.1</v>
      </c>
      <c r="J13" s="86" t="s">
        <v>177</v>
      </c>
      <c r="K13" s="5"/>
      <c r="L13" s="78"/>
      <c r="M13" s="246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177</v>
      </c>
      <c r="G14" s="5"/>
      <c r="H14" s="68" t="s">
        <v>68</v>
      </c>
      <c r="I14" s="104">
        <v>2018</v>
      </c>
      <c r="J14" s="86" t="s">
        <v>189</v>
      </c>
      <c r="K14" s="5"/>
      <c r="L14" s="78"/>
      <c r="M14" s="247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177</v>
      </c>
      <c r="G15" s="5"/>
      <c r="H15" s="75" t="s">
        <v>69</v>
      </c>
      <c r="I15" s="69" t="s">
        <v>12</v>
      </c>
      <c r="J15" s="86" t="s">
        <v>187</v>
      </c>
      <c r="K15" s="5"/>
      <c r="L15" s="78"/>
      <c r="M15" s="247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177</v>
      </c>
      <c r="G16" s="5"/>
      <c r="H16" s="239" t="s">
        <v>53</v>
      </c>
      <c r="I16" s="241" t="s">
        <v>174</v>
      </c>
      <c r="J16" s="95" t="s">
        <v>177</v>
      </c>
      <c r="K16" s="5"/>
      <c r="L16" s="78"/>
      <c r="M16" s="247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192</v>
      </c>
      <c r="G17" s="5"/>
      <c r="H17" s="75"/>
      <c r="I17" s="242"/>
      <c r="J17" s="86" t="s">
        <v>177</v>
      </c>
      <c r="K17" s="5"/>
      <c r="L17" s="78"/>
      <c r="M17" s="247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192</v>
      </c>
      <c r="G18" s="5"/>
      <c r="H18" s="76"/>
      <c r="I18" s="242"/>
      <c r="J18" s="86" t="s">
        <v>177</v>
      </c>
      <c r="K18" s="5"/>
      <c r="L18" s="78"/>
      <c r="M18" s="247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192</v>
      </c>
      <c r="G19" s="5"/>
      <c r="H19" s="76"/>
      <c r="I19" s="242"/>
      <c r="J19" s="86" t="s">
        <v>177</v>
      </c>
      <c r="K19" s="5"/>
      <c r="L19" s="78"/>
      <c r="M19" s="247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192</v>
      </c>
      <c r="G20" s="5"/>
      <c r="H20" s="76"/>
      <c r="I20" s="242"/>
      <c r="J20" s="86" t="s">
        <v>177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177</v>
      </c>
      <c r="G21" s="5"/>
      <c r="H21" s="109"/>
      <c r="I21" s="242"/>
      <c r="J21" s="86" t="s">
        <v>177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177</v>
      </c>
      <c r="G22" s="5"/>
      <c r="H22" s="109"/>
      <c r="I22" s="242"/>
      <c r="J22" s="86" t="s">
        <v>177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177</v>
      </c>
      <c r="G23" s="5"/>
      <c r="H23" s="109"/>
      <c r="I23" s="243"/>
      <c r="J23" s="86" t="s">
        <v>177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177</v>
      </c>
      <c r="G24" s="11"/>
      <c r="H24" s="109"/>
      <c r="I24" s="243"/>
      <c r="J24" s="86" t="s">
        <v>177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177</v>
      </c>
      <c r="G25" s="11"/>
      <c r="H25" s="109"/>
      <c r="I25" s="243"/>
      <c r="J25" s="86" t="s">
        <v>177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177</v>
      </c>
      <c r="G26" s="5"/>
      <c r="H26" s="109"/>
      <c r="I26" s="243"/>
      <c r="J26" s="86" t="s">
        <v>177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179</v>
      </c>
      <c r="G27" s="5"/>
      <c r="H27" s="110"/>
      <c r="I27" s="244"/>
      <c r="J27" s="64" t="s">
        <v>177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PLA_reactor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2023-11-22T17:19:49Z</dcterms:modified>
</cp:coreProperties>
</file>