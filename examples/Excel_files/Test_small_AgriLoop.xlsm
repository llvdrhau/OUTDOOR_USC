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01CD01C4-A76A-4991-8EA5-1C2687CD5A03}" xr6:coauthVersionLast="47" xr6:coauthVersionMax="47" xr10:uidLastSave="{00000000-0000-0000-0000-000000000000}"/>
  <bookViews>
    <workbookView xWindow="28680" yWindow="-120" windowWidth="29040" windowHeight="15720" tabRatio="798" activeTab="12" xr2:uid="{F0922C42-4112-4628-95FA-9F15DE1E480B}"/>
  </bookViews>
  <sheets>
    <sheet name="Systemblatt" sheetId="14" r:id="rId1"/>
    <sheet name="Template_PhysicalProcess" sheetId="83" state="hidden" r:id="rId2"/>
    <sheet name="Template_StoichReactor" sheetId="90" state="hidden" r:id="rId3"/>
    <sheet name="Template_YieldReactor" sheetId="103" state="hidden" r:id="rId4"/>
    <sheet name="Template_ElGenerator" sheetId="120" state="hidden" r:id="rId5"/>
    <sheet name="Template_SteamGenerator" sheetId="121" state="hidden" r:id="rId6"/>
    <sheet name="DataBank" sheetId="12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40" r:id="rId12"/>
    <sheet name="testYield" sheetId="139" r:id="rId13"/>
    <sheet name="preprocessing" sheetId="124" r:id="rId14"/>
    <sheet name="help_unit" sheetId="129" r:id="rId15"/>
    <sheet name="Microwave assisted extraction" sheetId="125" r:id="rId16"/>
    <sheet name="Solvent recovery" sheetId="132" r:id="rId17"/>
    <sheet name="ultra sound assisted extraction" sheetId="133" r:id="rId18"/>
    <sheet name="Solvent Recovery 2" sheetId="134" r:id="rId19"/>
    <sheet name="Yeast Fermentation" sheetId="127" r:id="rId20"/>
    <sheet name="Anaerobic Digestor" sheetId="126" r:id="rId21"/>
    <sheet name="elek Generator" sheetId="128" r:id="rId22"/>
    <sheet name="steam generator" sheetId="131" r:id="rId2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39" l="1"/>
  <c r="J12" i="139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E13" i="115"/>
</calcChain>
</file>

<file path=xl/sharedStrings.xml><?xml version="1.0" encoding="utf-8"?>
<sst xmlns="http://schemas.openxmlformats.org/spreadsheetml/2006/main" count="2142" uniqueCount="319">
  <si>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</si>
  <si>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</si>
  <si>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</si>
  <si>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</si>
  <si>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</si>
  <si>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</si>
  <si>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</si>
  <si>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</si>
  <si>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</si>
  <si>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</si>
  <si>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</si>
  <si>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</si>
  <si>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</si>
  <si>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</si>
  <si>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</si>
  <si>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</si>
  <si>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</si>
  <si>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</si>
  <si>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</si>
  <si>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</si>
  <si>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</si>
  <si>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</si>
  <si>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</si>
  <si>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</si>
  <si>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</si>
  <si>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</si>
  <si>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</si>
  <si>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</si>
  <si>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</si>
  <si>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</si>
  <si>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</si>
  <si>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</si>
  <si>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</si>
  <si>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</si>
  <si>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</si>
  <si>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</si>
  <si>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</si>
  <si>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</si>
  <si>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</si>
  <si>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</si>
  <si>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</si>
  <si>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</si>
  <si>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</si>
  <si>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</si>
  <si>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</si>
  <si>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</si>
  <si>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</si>
  <si>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</si>
  <si>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</si>
  <si>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</si>
  <si>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</si>
  <si>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</si>
  <si>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</si>
  <si>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</si>
  <si>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</si>
  <si>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</si>
  <si>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</si>
  <si>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</si>
  <si>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</si>
  <si>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</si>
  <si>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</si>
  <si>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</si>
  <si>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</si>
  <si>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</si>
  <si>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</si>
  <si>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</si>
  <si>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</si>
  <si>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</si>
  <si>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</si>
  <si>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</si>
  <si>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</si>
  <si>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</si>
  <si>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</si>
  <si>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</si>
  <si>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</si>
  <si>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</si>
  <si>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</si>
  <si>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</si>
  <si>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</si>
  <si>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</si>
  <si>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</si>
  <si>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</si>
  <si>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</si>
  <si>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</si>
  <si>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</si>
  <si>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</si>
  <si>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</si>
  <si>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</si>
  <si>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</si>
  <si>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</si>
  <si>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</si>
  <si>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</si>
  <si>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</si>
  <si>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</si>
  <si>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</si>
  <si>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</si>
  <si>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</si>
  <si>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</si>
  <si>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</si>
  <si>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</si>
  <si>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</si>
  <si>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</si>
  <si>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</si>
  <si>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</si>
  <si>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</si>
  <si>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</si>
  <si>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</si>
  <si>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</si>
  <si>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</si>
  <si>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</si>
  <si>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</si>
  <si>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</si>
  <si>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</si>
  <si>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</si>
  <si>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</si>
  <si>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</si>
  <si>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</si>
  <si>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</si>
  <si>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</si>
  <si>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</si>
  <si>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</si>
  <si>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</si>
  <si>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</si>
  <si>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</si>
  <si>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</si>
  <si>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</si>
  <si>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</si>
  <si>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</si>
  <si>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</si>
  <si>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</si>
  <si>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</si>
  <si>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</si>
  <si>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</si>
  <si>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</si>
  <si>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</si>
  <si>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</si>
  <si>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</si>
  <si>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</si>
  <si>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</si>
  <si>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</si>
  <si>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</si>
  <si>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</si>
  <si>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</si>
  <si>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</si>
  <si>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</si>
  <si>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</si>
  <si>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</si>
  <si>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</si>
  <si>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</si>
  <si>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</si>
  <si>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</si>
  <si>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</si>
  <si>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</si>
  <si>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</si>
  <si>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</si>
  <si>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</si>
  <si>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</si>
  <si>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</si>
  <si>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</si>
  <si>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</si>
  <si>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</si>
  <si>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</si>
  <si>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</si>
  <si>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</si>
  <si>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</si>
  <si>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</si>
  <si>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</si>
  <si>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</si>
  <si>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agri_test</t>
  </si>
  <si>
    <t>Phenolics</t>
  </si>
  <si>
    <t>PotatoPeels</t>
  </si>
  <si>
    <t xml:space="preserve">proteins 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</si>
  <si>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</si>
  <si>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</si>
  <si>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</si>
  <si>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</si>
  <si>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</si>
  <si>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</si>
  <si>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</si>
  <si>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</si>
  <si>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</si>
  <si>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</si>
  <si>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</si>
  <si>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</si>
  <si>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</si>
  <si>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</si>
  <si>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</si>
  <si>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</si>
  <si>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</si>
  <si>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</si>
  <si>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</si>
  <si>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</si>
  <si>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</si>
  <si>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</si>
  <si>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</si>
  <si>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</si>
  <si>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</si>
  <si>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</si>
  <si>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</si>
  <si>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</si>
  <si>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</si>
  <si>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</si>
  <si>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</si>
  <si>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AD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</si>
  <si>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</si>
  <si>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</si>
  <si>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</si>
  <si>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</si>
  <si>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</si>
  <si>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</si>
  <si>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</si>
  <si>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</si>
  <si>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MAE</t>
  </si>
  <si>
    <t>grinding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</si>
  <si>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</si>
  <si>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</si>
  <si>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</si>
  <si>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</si>
  <si>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</si>
  <si>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</si>
  <si>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</si>
  <si>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</si>
  <si>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</si>
  <si>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</si>
  <si>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</si>
  <si>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</si>
  <si>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</si>
  <si>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steam gen.</t>
  </si>
  <si>
    <t>Methane</t>
  </si>
  <si>
    <t>Solvent</t>
  </si>
  <si>
    <t>DES</t>
  </si>
  <si>
    <t>gas splitter</t>
  </si>
  <si>
    <t>UAE</t>
  </si>
  <si>
    <t>Solvent recov2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</si>
  <si>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</si>
  <si>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</si>
  <si>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</si>
  <si>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</si>
  <si>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</si>
  <si>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</si>
  <si>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</si>
  <si>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</si>
  <si>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</si>
  <si>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</si>
  <si>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</si>
  <si>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</si>
  <si>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</si>
  <si>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</si>
  <si>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</si>
  <si>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</si>
  <si>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</si>
  <si>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</si>
  <si>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</si>
  <si>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</si>
  <si>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</si>
  <si>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</si>
  <si>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</si>
  <si>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</si>
  <si>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</si>
  <si>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</si>
  <si>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</si>
  <si>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</si>
  <si>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</si>
  <si>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</si>
  <si>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</si>
  <si>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</si>
  <si>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</si>
  <si>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</si>
  <si>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</si>
  <si>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</si>
  <si>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</si>
  <si>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</si>
  <si>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</si>
  <si>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</si>
  <si>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</si>
  <si>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</si>
  <si>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</si>
  <si>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</si>
  <si>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</si>
  <si>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</si>
  <si>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</si>
  <si>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</si>
  <si>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</si>
  <si>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</si>
  <si>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</si>
  <si>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Bio-Plastic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</si>
  <si>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</si>
  <si>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</si>
  <si>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</si>
  <si>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</si>
  <si>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</si>
  <si>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</si>
  <si>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</si>
  <si>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</si>
  <si>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</si>
  <si>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</si>
  <si>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</si>
  <si>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</si>
  <si>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</si>
  <si>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</si>
  <si>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</si>
  <si>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</si>
  <si>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Solvent recov 1</t>
  </si>
  <si>
    <t>Plastic Reactor</t>
  </si>
  <si>
    <t>h/y</t>
  </si>
  <si>
    <t xml:space="preserve">Units </t>
  </si>
  <si>
    <t>MinProduction</t>
  </si>
  <si>
    <t>MaxProduction</t>
  </si>
  <si>
    <t>Target unit</t>
  </si>
  <si>
    <t>Composition Exclusion  (phi)</t>
  </si>
  <si>
    <t>Excluded components</t>
  </si>
  <si>
    <t>Nr of scenarios</t>
  </si>
  <si>
    <t>level ^ (#Groups)</t>
  </si>
  <si>
    <t>Product prices</t>
  </si>
  <si>
    <t>[0.1, 0.8, 0.1]</t>
  </si>
  <si>
    <t>Probabilities</t>
  </si>
  <si>
    <t>[0.3, 0.7]</t>
  </si>
  <si>
    <t>[0.25, 0.5, 0.25]</t>
  </si>
  <si>
    <t>[0.2, 0.7, 0.1]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</si>
</sst>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2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8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</cellStyleXfs>
  <cellXfs count="396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left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5" fillId="5" borderId="0" xfId="0" applyFont="1" applyFill="1" applyAlignment="1">
      <alignment vertical="center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8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0" fillId="5" borderId="16" xfId="0" applyFill="1" applyBorder="1"/>
    <xf numFmtId="0" fontId="0" fillId="5" borderId="11" xfId="0" applyFill="1" applyBorder="1" applyAlignment="1">
      <alignment horizontal="center" vertical="center"/>
    </xf>
    <xf numFmtId="0" fontId="0" fillId="0" borderId="14" xfId="0" applyBorder="1"/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7" borderId="19" xfId="0" applyFon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165" fontId="0" fillId="5" borderId="0" xfId="0" applyNumberFormat="1" applyFill="1" applyAlignment="1">
      <alignment horizontal="center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</cellXfs>
  <cellStyles count="8"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809626</xdr:colOff>
      <xdr:row>30</xdr:row>
      <xdr:rowOff>142876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243416</xdr:colOff>
      <xdr:row>26</xdr:row>
      <xdr:rowOff>158748</xdr:rowOff>
    </xdr:from>
    <xdr:to>
      <xdr:col>20</xdr:col>
      <xdr:colOff>14816</xdr:colOff>
      <xdr:row>39</xdr:row>
      <xdr:rowOff>116417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5409333" y="5249331"/>
          <a:ext cx="3285066" cy="24659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  <a:endParaRPr lang="en-US">
            <a:effectLst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  <a:endParaRPr lang="en-US">
            <a:effectLst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  <a:endParaRPr lang="en-US">
            <a:effectLst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  <a:endParaRPr lang="en-US">
            <a:effectLst/>
          </a:endParaRP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398824</xdr:colOff>
      <xdr:row>44</xdr:row>
      <xdr:rowOff>38099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5007" y="4542367"/>
          <a:ext cx="7916166" cy="4040716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 txBox="1"/>
      </xdr:nvSpPr>
      <xdr:spPr>
        <a:xfrm>
          <a:off x="19493442" y="2825751"/>
          <a:ext cx="3504141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70" zoomScaleNormal="70" workbookViewId="0">
      <selection activeCell="F27" sqref="F27"/>
    </sheetView>
  </sheetViews>
  <sheetFormatPr defaultColWidth="10.81640625" defaultRowHeight="15.5" x14ac:dyDescent="0.35"/>
  <cols>
    <col min="1" max="1" width="19.453125" style="2" customWidth="1"/>
    <col min="2" max="2" width="41.26953125" style="2" customWidth="1"/>
    <col min="3" max="3" width="26" style="2" bestFit="1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32.54296875" style="2" bestFit="1" customWidth="1"/>
    <col min="16" max="16" width="21.17968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0.17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8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4">
      <c r="A3" s="37"/>
      <c r="B3" s="339" t="s">
        <v>29</v>
      </c>
      <c r="C3" s="340"/>
      <c r="D3" s="341"/>
      <c r="F3" s="324" t="s">
        <v>32</v>
      </c>
      <c r="G3" s="325"/>
      <c r="H3" s="325"/>
      <c r="I3" s="325"/>
      <c r="J3" s="325"/>
      <c r="K3" s="326"/>
      <c r="L3" s="14"/>
      <c r="M3" s="14"/>
      <c r="N3" s="345" t="s">
        <v>35</v>
      </c>
      <c r="O3" s="346"/>
      <c r="P3" s="347"/>
      <c r="Q3" s="14"/>
      <c r="R3" s="14"/>
      <c r="S3" s="348" t="s">
        <v>39</v>
      </c>
      <c r="T3" s="349"/>
      <c r="U3" s="349"/>
      <c r="V3" s="350"/>
      <c r="W3" s="14"/>
      <c r="X3" s="14"/>
      <c r="Y3" s="14"/>
      <c r="Z3" s="36"/>
      <c r="AA3" s="14"/>
      <c r="AB3" s="14"/>
      <c r="AC3" s="14"/>
    </row>
    <row r="4" spans="1:29" ht="107.15" customHeight="1" thickBot="1" x14ac:dyDescent="0.4">
      <c r="A4" s="37"/>
      <c r="B4" s="188" t="s">
        <v>30</v>
      </c>
      <c r="C4" s="189" t="s">
        <v>0</v>
      </c>
      <c r="D4" s="233" t="s">
        <v>177</v>
      </c>
      <c r="E4" s="14"/>
      <c r="F4" s="184" t="s">
        <v>33</v>
      </c>
      <c r="G4" s="185" t="s">
        <v>186</v>
      </c>
      <c r="H4" s="185" t="s">
        <v>184</v>
      </c>
      <c r="I4" s="185" t="s">
        <v>185</v>
      </c>
      <c r="J4" s="186" t="s">
        <v>34</v>
      </c>
      <c r="K4" s="187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5" t="s">
        <v>48</v>
      </c>
      <c r="T4" s="165" t="s">
        <v>47</v>
      </c>
      <c r="U4" s="166" t="s">
        <v>49</v>
      </c>
      <c r="V4" s="166" t="s">
        <v>115</v>
      </c>
      <c r="W4" s="14"/>
      <c r="X4" s="14"/>
      <c r="Z4" s="36"/>
      <c r="AA4" s="14"/>
      <c r="AB4" s="14"/>
      <c r="AC4" s="14"/>
    </row>
    <row r="5" spans="1:29" ht="18.5" x14ac:dyDescent="0.45">
      <c r="A5" s="62"/>
      <c r="B5" s="26" t="s">
        <v>27</v>
      </c>
      <c r="C5" s="28" t="s">
        <v>168</v>
      </c>
      <c r="D5" s="234" t="s">
        <v>178</v>
      </c>
      <c r="E5" s="14"/>
      <c r="F5" s="24" t="s">
        <v>171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9" t="s">
        <v>195</v>
      </c>
      <c r="P5" s="28" t="s">
        <v>173</v>
      </c>
      <c r="Q5" s="14"/>
      <c r="R5" s="14"/>
      <c r="S5" s="20" t="s">
        <v>18</v>
      </c>
      <c r="T5" s="42">
        <v>87</v>
      </c>
      <c r="U5" s="42">
        <v>1.4E-2</v>
      </c>
      <c r="V5" s="167"/>
      <c r="W5" s="14"/>
      <c r="X5" s="14"/>
      <c r="Y5" s="14"/>
      <c r="Z5" s="36"/>
      <c r="AA5" s="14"/>
      <c r="AB5" s="14"/>
      <c r="AC5" s="14"/>
    </row>
    <row r="6" spans="1:29" ht="18.5" x14ac:dyDescent="0.45">
      <c r="A6" s="37"/>
      <c r="B6" s="24" t="s">
        <v>28</v>
      </c>
      <c r="C6" s="30" t="s">
        <v>167</v>
      </c>
      <c r="D6" s="235" t="s">
        <v>178</v>
      </c>
      <c r="E6" s="14"/>
      <c r="F6" s="24" t="s">
        <v>172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50">
        <v>2</v>
      </c>
      <c r="O6" s="51" t="s">
        <v>198</v>
      </c>
      <c r="P6" s="30" t="s">
        <v>173</v>
      </c>
      <c r="Q6" s="14"/>
      <c r="R6" s="14"/>
      <c r="S6" s="24" t="s">
        <v>19</v>
      </c>
      <c r="T6" s="43"/>
      <c r="U6" s="43">
        <v>0.248</v>
      </c>
      <c r="V6" s="53"/>
      <c r="W6" s="14"/>
      <c r="X6" s="14"/>
      <c r="Y6" s="14"/>
      <c r="Z6" s="36"/>
      <c r="AA6" s="14"/>
      <c r="AB6" s="14"/>
      <c r="AC6" s="14"/>
    </row>
    <row r="7" spans="1:29" ht="19" thickBot="1" x14ac:dyDescent="0.5">
      <c r="A7" s="37"/>
      <c r="B7" s="190" t="s">
        <v>130</v>
      </c>
      <c r="C7" s="191" t="s">
        <v>128</v>
      </c>
      <c r="D7" s="235" t="s">
        <v>178</v>
      </c>
      <c r="E7" s="14"/>
      <c r="F7" s="24" t="s">
        <v>173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50">
        <v>3</v>
      </c>
      <c r="O7" s="51" t="s">
        <v>199</v>
      </c>
      <c r="P7" s="30" t="s">
        <v>172</v>
      </c>
      <c r="Q7" s="14"/>
      <c r="R7" s="14"/>
      <c r="S7" s="25" t="s">
        <v>114</v>
      </c>
      <c r="T7" s="45">
        <v>35</v>
      </c>
      <c r="U7" s="45">
        <v>0.1</v>
      </c>
      <c r="V7" s="55"/>
      <c r="W7" s="14"/>
      <c r="X7" s="14"/>
      <c r="Y7" s="14"/>
      <c r="Z7" s="36"/>
      <c r="AA7" s="14"/>
      <c r="AB7" s="14"/>
      <c r="AC7" s="14"/>
    </row>
    <row r="8" spans="1:29" ht="18.5" x14ac:dyDescent="0.45">
      <c r="A8" s="37"/>
      <c r="B8" s="231" t="s">
        <v>222</v>
      </c>
      <c r="C8" s="232" t="s">
        <v>221</v>
      </c>
      <c r="D8" s="235" t="s">
        <v>178</v>
      </c>
      <c r="E8" s="14"/>
      <c r="F8" s="24" t="s">
        <v>169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50">
        <v>4</v>
      </c>
      <c r="O8" s="51" t="s">
        <v>200</v>
      </c>
      <c r="P8" s="30" t="s">
        <v>171</v>
      </c>
      <c r="Q8" s="14"/>
      <c r="R8" s="14"/>
      <c r="S8" s="58"/>
      <c r="T8" s="34"/>
      <c r="U8" s="34"/>
      <c r="V8" s="167"/>
      <c r="W8" s="14"/>
      <c r="X8" s="14"/>
      <c r="Y8" s="14"/>
      <c r="Z8" s="36"/>
      <c r="AA8" s="14"/>
      <c r="AB8" s="14"/>
      <c r="AC8" s="14"/>
    </row>
    <row r="9" spans="1:29" ht="18.5" x14ac:dyDescent="0.45">
      <c r="A9" s="37"/>
      <c r="B9" s="21" t="s">
        <v>299</v>
      </c>
      <c r="C9" s="30"/>
      <c r="D9" s="235" t="s">
        <v>178</v>
      </c>
      <c r="E9" s="14"/>
      <c r="F9" s="24" t="s">
        <v>175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50">
        <v>5</v>
      </c>
      <c r="O9" s="19" t="s">
        <v>201</v>
      </c>
      <c r="P9" s="30" t="s">
        <v>175</v>
      </c>
      <c r="Q9" s="14"/>
      <c r="R9" s="14"/>
      <c r="S9" s="24"/>
      <c r="T9" s="19"/>
      <c r="U9" s="19"/>
      <c r="V9" s="53"/>
      <c r="W9" s="14"/>
      <c r="X9" s="14"/>
      <c r="Y9" s="14"/>
      <c r="Z9" s="36"/>
      <c r="AA9" s="14"/>
      <c r="AB9" s="14"/>
      <c r="AC9" s="14"/>
    </row>
    <row r="10" spans="1:29" ht="19" thickBot="1" x14ac:dyDescent="0.5">
      <c r="A10" s="37"/>
      <c r="B10" s="27" t="s">
        <v>300</v>
      </c>
      <c r="C10" s="29"/>
      <c r="D10" s="235" t="s">
        <v>179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52"/>
      <c r="O10" s="19"/>
      <c r="P10" s="53"/>
      <c r="Q10" s="14"/>
      <c r="R10" s="14"/>
      <c r="S10" s="24"/>
      <c r="T10" s="19"/>
      <c r="U10" s="19"/>
      <c r="V10" s="53"/>
      <c r="W10" s="14"/>
      <c r="X10" s="14"/>
      <c r="Y10" s="14"/>
      <c r="Z10" s="36"/>
      <c r="AA10" s="14"/>
      <c r="AB10" s="14"/>
      <c r="AC10" s="14"/>
    </row>
    <row r="11" spans="1:29" ht="18.5" x14ac:dyDescent="0.45">
      <c r="A11" s="37"/>
      <c r="B11" s="20" t="s">
        <v>166</v>
      </c>
      <c r="C11" s="28">
        <v>8000</v>
      </c>
      <c r="D11" s="235" t="s">
        <v>304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52"/>
      <c r="O11" s="19"/>
      <c r="P11" s="53"/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" thickBot="1" x14ac:dyDescent="0.5">
      <c r="A12" s="37"/>
      <c r="B12" s="21" t="s">
        <v>31</v>
      </c>
      <c r="C12" s="30">
        <v>2018</v>
      </c>
      <c r="D12" s="236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52"/>
      <c r="O12" s="19"/>
      <c r="P12" s="53"/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49999999999999" customHeight="1" thickBot="1" x14ac:dyDescent="0.5">
      <c r="A13" s="37"/>
      <c r="B13" s="21" t="s">
        <v>131</v>
      </c>
      <c r="C13" s="30">
        <v>0.05</v>
      </c>
      <c r="D13" s="236"/>
      <c r="E13" s="14"/>
      <c r="F13" s="24" t="s">
        <v>176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52"/>
      <c r="O13" s="19"/>
      <c r="P13" s="53"/>
      <c r="Q13" s="14"/>
      <c r="R13" s="14"/>
      <c r="S13" s="59" t="s">
        <v>40</v>
      </c>
      <c r="T13" s="60" t="s">
        <v>46</v>
      </c>
      <c r="U13" s="61" t="s">
        <v>47</v>
      </c>
      <c r="V13" s="59"/>
      <c r="W13" s="14"/>
      <c r="X13" s="14"/>
      <c r="Y13" s="14"/>
      <c r="Z13" s="36"/>
      <c r="AA13" s="14"/>
      <c r="AB13" s="14"/>
      <c r="AC13" s="14"/>
    </row>
    <row r="14" spans="1:29" ht="18.5" x14ac:dyDescent="0.45">
      <c r="A14" s="37"/>
      <c r="B14" s="23" t="s">
        <v>132</v>
      </c>
      <c r="C14" s="30" t="s">
        <v>116</v>
      </c>
      <c r="D14" s="236"/>
      <c r="E14" s="14"/>
      <c r="F14" s="24" t="s">
        <v>196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52"/>
      <c r="O14" s="19"/>
      <c r="P14" s="53"/>
      <c r="Q14" s="14"/>
      <c r="R14" s="14"/>
      <c r="S14" s="26" t="s">
        <v>41</v>
      </c>
      <c r="T14" s="42">
        <v>600</v>
      </c>
      <c r="U14" s="28">
        <v>34</v>
      </c>
      <c r="V14" s="167"/>
      <c r="W14" s="14"/>
      <c r="X14" s="14"/>
      <c r="Y14" s="14"/>
      <c r="Z14" s="36"/>
      <c r="AA14" s="14"/>
      <c r="AB14" s="14"/>
      <c r="AC14" s="14"/>
    </row>
    <row r="15" spans="1:29" ht="19" thickBot="1" x14ac:dyDescent="0.5">
      <c r="A15" s="37"/>
      <c r="B15" s="27" t="s">
        <v>165</v>
      </c>
      <c r="C15" s="29">
        <v>0.04</v>
      </c>
      <c r="D15" s="236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52"/>
      <c r="O15" s="19"/>
      <c r="P15" s="53"/>
      <c r="Q15" s="14"/>
      <c r="R15" s="14"/>
      <c r="S15" s="24" t="s">
        <v>42</v>
      </c>
      <c r="T15" s="43">
        <v>330</v>
      </c>
      <c r="U15" s="30">
        <v>32</v>
      </c>
      <c r="V15" s="53"/>
      <c r="W15" s="14"/>
      <c r="X15" s="14"/>
      <c r="Y15" s="14"/>
      <c r="Z15" s="36"/>
      <c r="AA15" s="14"/>
      <c r="AB15" s="14"/>
      <c r="AC15" s="14"/>
    </row>
    <row r="16" spans="1:29" ht="18.5" x14ac:dyDescent="0.45">
      <c r="A16" s="37"/>
      <c r="B16" s="26" t="s">
        <v>93</v>
      </c>
      <c r="C16" s="28" t="s">
        <v>94</v>
      </c>
      <c r="D16" s="236"/>
      <c r="E16" s="14"/>
      <c r="F16" s="24" t="s">
        <v>230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52"/>
      <c r="O16" s="19"/>
      <c r="P16" s="53"/>
      <c r="Q16" s="14"/>
      <c r="R16" s="14"/>
      <c r="S16" s="24" t="s">
        <v>43</v>
      </c>
      <c r="T16" s="43">
        <v>220</v>
      </c>
      <c r="U16" s="30">
        <v>30</v>
      </c>
      <c r="V16" s="53"/>
      <c r="W16" s="14"/>
      <c r="X16" s="14"/>
      <c r="Y16" s="14"/>
      <c r="Z16" s="36"/>
      <c r="AA16" s="14"/>
      <c r="AB16" s="14"/>
      <c r="AC16" s="14"/>
    </row>
    <row r="17" spans="1:29" ht="18.5" x14ac:dyDescent="0.45">
      <c r="A17" s="63"/>
      <c r="B17" s="143" t="s">
        <v>95</v>
      </c>
      <c r="C17" s="144">
        <v>2.5</v>
      </c>
      <c r="D17" s="236"/>
      <c r="E17" s="14"/>
      <c r="F17" s="24" t="s">
        <v>284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52"/>
      <c r="O17" s="19"/>
      <c r="P17" s="53"/>
      <c r="Q17" s="14"/>
      <c r="R17" s="14"/>
      <c r="S17" s="24" t="s">
        <v>44</v>
      </c>
      <c r="T17" s="43">
        <v>130</v>
      </c>
      <c r="U17" s="30">
        <v>29</v>
      </c>
      <c r="V17" s="53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7"/>
      <c r="B18" s="24" t="s">
        <v>96</v>
      </c>
      <c r="C18" s="30">
        <v>450</v>
      </c>
      <c r="D18" s="236"/>
      <c r="E18" s="14"/>
      <c r="F18" s="24"/>
      <c r="G18" s="43"/>
      <c r="H18" s="44"/>
      <c r="I18" s="43"/>
      <c r="J18" s="43"/>
      <c r="K18" s="164"/>
      <c r="L18" s="14"/>
      <c r="M18" s="14"/>
      <c r="N18" s="25"/>
      <c r="O18" s="54"/>
      <c r="P18" s="55"/>
      <c r="Q18" s="8"/>
      <c r="R18" s="56"/>
      <c r="S18" s="25" t="s">
        <v>45</v>
      </c>
      <c r="T18" s="45">
        <v>15</v>
      </c>
      <c r="U18" s="29">
        <v>0.22</v>
      </c>
      <c r="V18" s="55"/>
      <c r="W18" s="354"/>
      <c r="X18" s="354"/>
      <c r="Y18" s="354"/>
      <c r="Z18" s="355"/>
      <c r="AA18" s="14"/>
      <c r="AB18" s="14"/>
      <c r="AC18" s="14"/>
    </row>
    <row r="19" spans="1:29" ht="18.5" x14ac:dyDescent="0.45">
      <c r="A19" s="37"/>
      <c r="B19" s="24" t="s">
        <v>55</v>
      </c>
      <c r="C19" s="30">
        <v>15</v>
      </c>
      <c r="D19" s="235" t="s">
        <v>181</v>
      </c>
      <c r="E19" s="14"/>
      <c r="F19" s="24"/>
      <c r="G19" s="43"/>
      <c r="H19" s="44"/>
      <c r="I19" s="43"/>
      <c r="J19" s="43"/>
      <c r="K19" s="30"/>
      <c r="L19" s="14"/>
      <c r="M19" s="14"/>
      <c r="N19" s="14"/>
      <c r="O19" s="14"/>
      <c r="P19" s="14"/>
      <c r="Q19" s="8"/>
      <c r="R19" s="57"/>
      <c r="S19" s="14"/>
      <c r="T19" s="14"/>
      <c r="U19" s="14"/>
      <c r="V19" s="14"/>
      <c r="W19" s="57"/>
      <c r="X19" s="10"/>
      <c r="Y19" s="352"/>
      <c r="Z19" s="353"/>
      <c r="AA19" s="14"/>
      <c r="AB19" s="14"/>
      <c r="AC19" s="14"/>
    </row>
    <row r="20" spans="1:29" ht="18.5" x14ac:dyDescent="0.45">
      <c r="A20" s="37"/>
      <c r="B20" s="24" t="s">
        <v>97</v>
      </c>
      <c r="C20" s="30">
        <v>20</v>
      </c>
      <c r="D20" s="235" t="s">
        <v>183</v>
      </c>
      <c r="E20" s="14"/>
      <c r="F20" s="24"/>
      <c r="G20" s="43"/>
      <c r="H20" s="43"/>
      <c r="I20" s="43"/>
      <c r="J20" s="43"/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52"/>
      <c r="Z20" s="353"/>
      <c r="AA20" s="14"/>
      <c r="AB20" s="14"/>
      <c r="AC20" s="14"/>
    </row>
    <row r="21" spans="1:29" ht="19" thickBot="1" x14ac:dyDescent="0.5">
      <c r="A21" s="37"/>
      <c r="B21" s="25" t="s">
        <v>98</v>
      </c>
      <c r="C21" s="29">
        <v>35</v>
      </c>
      <c r="D21" s="237" t="s">
        <v>183</v>
      </c>
      <c r="E21" s="14"/>
      <c r="F21" s="24"/>
      <c r="G21" s="43"/>
      <c r="H21" s="43"/>
      <c r="I21" s="43"/>
      <c r="J21" s="43"/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52"/>
      <c r="Z21" s="353"/>
      <c r="AA21" s="14"/>
      <c r="AB21" s="14"/>
      <c r="AC21" s="14"/>
    </row>
    <row r="22" spans="1:29" ht="18.5" x14ac:dyDescent="0.45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52"/>
      <c r="Z22" s="353"/>
      <c r="AA22" s="14"/>
      <c r="AB22" s="14"/>
      <c r="AC22" s="14"/>
    </row>
    <row r="23" spans="1:29" ht="18.5" x14ac:dyDescent="0.45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351"/>
      <c r="U23" s="351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" thickBot="1" x14ac:dyDescent="0.4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5" thickBot="1" x14ac:dyDescent="0.5500000000000000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342" t="s">
        <v>133</v>
      </c>
      <c r="O30" s="343"/>
      <c r="P30" s="344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5" thickBot="1" x14ac:dyDescent="0.5500000000000000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5" t="s">
        <v>134</v>
      </c>
      <c r="O31" s="195" t="s">
        <v>135</v>
      </c>
      <c r="P31" s="195" t="s">
        <v>136</v>
      </c>
      <c r="Q31" s="14"/>
      <c r="R31" s="14"/>
      <c r="S31" s="342" t="s">
        <v>140</v>
      </c>
      <c r="T31" s="343"/>
      <c r="U31" s="343"/>
      <c r="V31" s="343"/>
      <c r="W31" s="344"/>
      <c r="X31" s="14"/>
      <c r="Y31" s="14"/>
      <c r="Z31" s="36"/>
      <c r="AA31" s="14"/>
      <c r="AB31" s="14"/>
      <c r="AC31" s="14"/>
    </row>
    <row r="32" spans="1:29" ht="21.5" thickBot="1" x14ac:dyDescent="0.5500000000000000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6">
        <v>0.55000000000000004</v>
      </c>
      <c r="P32" s="167">
        <v>325</v>
      </c>
      <c r="Q32" s="14"/>
      <c r="R32" s="14"/>
      <c r="S32" s="197" t="s">
        <v>141</v>
      </c>
      <c r="T32" s="197" t="s">
        <v>142</v>
      </c>
      <c r="U32" s="197" t="s">
        <v>143</v>
      </c>
      <c r="V32" s="197" t="s">
        <v>144</v>
      </c>
      <c r="W32" s="198" t="s">
        <v>145</v>
      </c>
      <c r="X32" s="14"/>
      <c r="Y32" s="14"/>
      <c r="Z32" s="36"/>
      <c r="AA32" s="14"/>
      <c r="AB32" s="14"/>
      <c r="AC32" s="14"/>
    </row>
    <row r="33" spans="1:29" ht="18.5" x14ac:dyDescent="0.45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148</v>
      </c>
      <c r="O33" s="19">
        <v>0.27</v>
      </c>
      <c r="P33" s="53">
        <v>0.58599999999999997</v>
      </c>
      <c r="Q33" s="14"/>
      <c r="R33" s="14"/>
      <c r="S33" s="26" t="s">
        <v>164</v>
      </c>
      <c r="T33" s="205">
        <v>5000</v>
      </c>
      <c r="U33" s="196">
        <v>10</v>
      </c>
      <c r="V33" s="196">
        <v>50</v>
      </c>
      <c r="W33" s="167">
        <v>3</v>
      </c>
      <c r="X33" s="14"/>
      <c r="Y33" s="14"/>
      <c r="Z33" s="36"/>
      <c r="AA33" s="14"/>
      <c r="AB33" s="14"/>
      <c r="AC33" s="14"/>
    </row>
    <row r="34" spans="1:29" ht="19" thickBot="1" x14ac:dyDescent="0.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137</v>
      </c>
      <c r="O34" s="54">
        <v>0.18</v>
      </c>
      <c r="P34" s="55">
        <v>4.2699999999999996</v>
      </c>
      <c r="Q34" s="14"/>
      <c r="R34" s="14"/>
      <c r="S34" s="24"/>
      <c r="T34" s="19"/>
      <c r="U34" s="19"/>
      <c r="V34" s="19"/>
      <c r="W34" s="53"/>
      <c r="X34" s="14"/>
      <c r="Y34" s="14"/>
      <c r="Z34" s="36"/>
      <c r="AA34" s="14"/>
      <c r="AB34" s="14"/>
      <c r="AC34" s="14"/>
    </row>
    <row r="35" spans="1:29" ht="18.5" x14ac:dyDescent="0.45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3"/>
      <c r="X35" s="14"/>
      <c r="Y35" s="14"/>
      <c r="Z35" s="36"/>
      <c r="AA35" s="14"/>
      <c r="AB35" s="14"/>
      <c r="AC35" s="14"/>
    </row>
    <row r="36" spans="1:29" ht="21" x14ac:dyDescent="0.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92"/>
      <c r="O36" s="194"/>
      <c r="P36" s="193"/>
      <c r="Q36" s="194"/>
      <c r="R36" s="194"/>
      <c r="S36" s="24"/>
      <c r="T36" s="19"/>
      <c r="U36" s="19"/>
      <c r="V36" s="19"/>
      <c r="W36" s="53"/>
      <c r="X36" s="14"/>
      <c r="Y36" s="14"/>
      <c r="Z36" s="36"/>
      <c r="AA36" s="14"/>
      <c r="AB36" s="14"/>
      <c r="AC36" s="14"/>
    </row>
    <row r="37" spans="1:29" ht="18.5" x14ac:dyDescent="0.45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3"/>
      <c r="X37" s="14"/>
      <c r="Y37" s="14"/>
      <c r="Z37" s="36"/>
      <c r="AA37" s="14"/>
      <c r="AB37" s="14"/>
      <c r="AC37" s="14"/>
    </row>
    <row r="38" spans="1:29" ht="19" thickBot="1" x14ac:dyDescent="0.5">
      <c r="A38" s="37"/>
      <c r="B38" s="14"/>
      <c r="C38" s="14"/>
      <c r="D38" s="14"/>
      <c r="E38" s="14"/>
      <c r="F38" s="238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3"/>
      <c r="X38" s="14"/>
      <c r="Y38" s="14"/>
      <c r="Z38" s="36"/>
      <c r="AA38" s="14"/>
      <c r="AB38" s="206" t="s">
        <v>22</v>
      </c>
      <c r="AC38" s="14"/>
    </row>
    <row r="39" spans="1:29" ht="18.5" x14ac:dyDescent="0.4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3"/>
      <c r="X39" s="14"/>
      <c r="Y39" s="14"/>
      <c r="Z39" s="36"/>
      <c r="AA39" s="14"/>
      <c r="AB39" s="14"/>
      <c r="AC39" s="14"/>
    </row>
    <row r="40" spans="1:29" ht="18.5" x14ac:dyDescent="0.45">
      <c r="A40" s="37"/>
      <c r="B40" s="14"/>
      <c r="C40" s="14"/>
      <c r="D40" s="14"/>
      <c r="E40" s="14"/>
      <c r="F40" s="14"/>
      <c r="G40" s="14"/>
      <c r="H40" s="14"/>
      <c r="I40" s="33"/>
      <c r="J40" s="14"/>
      <c r="K40" s="14"/>
      <c r="L40" s="14"/>
      <c r="M40" s="14"/>
      <c r="N40" s="43"/>
      <c r="O40" s="182"/>
      <c r="P40" s="19"/>
      <c r="Q40" s="19"/>
      <c r="R40" s="19"/>
      <c r="S40" s="24"/>
      <c r="T40" s="19"/>
      <c r="U40" s="19"/>
      <c r="V40" s="19"/>
      <c r="W40" s="53"/>
      <c r="X40" s="14"/>
      <c r="Y40" s="14"/>
      <c r="Z40" s="36"/>
      <c r="AA40" s="14"/>
      <c r="AB40" s="14"/>
      <c r="AC40" s="14"/>
    </row>
    <row r="41" spans="1:29" ht="19" thickBot="1" x14ac:dyDescent="0.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4"/>
      <c r="U41" s="54"/>
      <c r="V41" s="54"/>
      <c r="W41" s="55"/>
      <c r="X41" s="14"/>
      <c r="Y41" s="14"/>
      <c r="Z41" s="36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6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35">
      <c r="H67" s="323" t="s">
        <v>22</v>
      </c>
    </row>
    <row r="72" spans="1:29" x14ac:dyDescent="0.35">
      <c r="A72" s="2" t="s">
        <v>22</v>
      </c>
    </row>
    <row r="79" spans="1:29" x14ac:dyDescent="0.35">
      <c r="V79" s="2" t="s">
        <v>22</v>
      </c>
    </row>
  </sheetData>
  <mergeCells count="11">
    <mergeCell ref="Y20:Z20"/>
    <mergeCell ref="Y21:Z21"/>
    <mergeCell ref="Y22:Z22"/>
    <mergeCell ref="W18:Z18"/>
    <mergeCell ref="Y19:Z19"/>
    <mergeCell ref="B3:D3"/>
    <mergeCell ref="N30:P30"/>
    <mergeCell ref="S31:W31"/>
    <mergeCell ref="N3:P3"/>
    <mergeCell ref="S3:V3"/>
    <mergeCell ref="T23:U23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A9" zoomScale="75" zoomScaleNormal="47" workbookViewId="0">
      <selection activeCell="E15" sqref="E1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7"/>
      <c r="E6" s="357"/>
      <c r="F6" s="5"/>
      <c r="G6" s="5"/>
      <c r="H6" s="357"/>
      <c r="I6" s="357"/>
      <c r="J6" s="15"/>
      <c r="K6" s="15"/>
      <c r="L6" s="5"/>
      <c r="M6" s="357"/>
      <c r="N6" s="357"/>
      <c r="O6" s="357"/>
      <c r="P6" s="357"/>
      <c r="Q6" s="5"/>
      <c r="R6" s="5"/>
      <c r="S6" s="364"/>
      <c r="T6" s="364"/>
      <c r="U6" s="364"/>
      <c r="V6" s="364"/>
      <c r="W6" s="364"/>
      <c r="X6" s="364"/>
      <c r="Y6" s="364"/>
      <c r="Z6" s="364"/>
      <c r="AA6" s="364"/>
      <c r="AB6" s="364"/>
      <c r="AC6" s="364"/>
      <c r="AD6" s="364"/>
      <c r="AE6" s="364"/>
      <c r="AF6" s="364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8" t="s">
        <v>50</v>
      </c>
      <c r="E8" s="359"/>
      <c r="F8" s="360"/>
      <c r="G8" s="5"/>
      <c r="H8" s="361" t="s">
        <v>51</v>
      </c>
      <c r="I8" s="362"/>
      <c r="J8" s="363"/>
      <c r="K8" s="16"/>
      <c r="L8" s="5"/>
      <c r="M8" s="371" t="s">
        <v>70</v>
      </c>
      <c r="N8" s="372"/>
      <c r="O8" s="372"/>
      <c r="P8" s="372"/>
      <c r="Q8" s="373"/>
      <c r="R8" s="5"/>
      <c r="S8" s="365" t="s">
        <v>76</v>
      </c>
      <c r="T8" s="366"/>
      <c r="U8" s="367"/>
      <c r="V8" s="12"/>
      <c r="W8" s="368" t="s">
        <v>106</v>
      </c>
      <c r="X8" s="369"/>
      <c r="Y8" s="369"/>
      <c r="Z8" s="370"/>
      <c r="AA8" s="11"/>
      <c r="AB8" s="368" t="s">
        <v>83</v>
      </c>
      <c r="AC8" s="369"/>
      <c r="AD8" s="369"/>
      <c r="AE8" s="369"/>
      <c r="AF8" s="370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83"/>
      <c r="W10" s="137"/>
      <c r="X10" s="82"/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213" t="s">
        <v>187</v>
      </c>
      <c r="K11" s="5"/>
      <c r="L11" s="5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/>
      <c r="J12" s="213" t="str">
        <f>J15</f>
        <v>t/h</v>
      </c>
      <c r="K12" s="5"/>
      <c r="L12" s="5"/>
      <c r="M12" s="246" t="s">
        <v>75</v>
      </c>
      <c r="N12" s="254"/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6"/>
      <c r="E47" s="356"/>
      <c r="F47" s="356"/>
      <c r="G47" s="356"/>
      <c r="H47" s="356"/>
      <c r="I47" s="356"/>
      <c r="J47" s="356"/>
      <c r="K47" s="356"/>
      <c r="L47" s="35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77"/>
      <c r="E6" s="377"/>
      <c r="F6" s="5"/>
      <c r="G6" s="5"/>
      <c r="H6" s="377"/>
      <c r="I6" s="377"/>
      <c r="J6" s="15"/>
      <c r="K6" s="15"/>
      <c r="L6" s="5"/>
      <c r="M6" s="377"/>
      <c r="N6" s="377"/>
      <c r="O6" s="377"/>
      <c r="P6" s="377"/>
      <c r="Q6" s="5"/>
      <c r="R6" s="5"/>
      <c r="S6" s="378"/>
      <c r="T6" s="378"/>
      <c r="U6" s="378"/>
      <c r="V6" s="378"/>
      <c r="W6" s="378"/>
      <c r="X6" s="378"/>
      <c r="Y6" s="378"/>
      <c r="Z6" s="378"/>
      <c r="AA6" s="378"/>
      <c r="AB6" s="378"/>
      <c r="AC6" s="378"/>
      <c r="AD6" s="378"/>
      <c r="AE6" s="378"/>
      <c r="AF6" s="37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8" t="s">
        <v>50</v>
      </c>
      <c r="E8" s="359"/>
      <c r="F8" s="360"/>
      <c r="G8" s="5"/>
      <c r="H8" s="361" t="s">
        <v>51</v>
      </c>
      <c r="I8" s="362"/>
      <c r="J8" s="363"/>
      <c r="K8" s="16"/>
      <c r="L8" s="5"/>
      <c r="M8" s="371" t="s">
        <v>70</v>
      </c>
      <c r="N8" s="372"/>
      <c r="O8" s="372"/>
      <c r="P8" s="372"/>
      <c r="Q8" s="373"/>
      <c r="R8" s="5"/>
      <c r="S8" s="365" t="s">
        <v>76</v>
      </c>
      <c r="T8" s="366"/>
      <c r="U8" s="367"/>
      <c r="V8" s="12"/>
      <c r="W8" s="368" t="s">
        <v>106</v>
      </c>
      <c r="X8" s="369"/>
      <c r="Y8" s="369"/>
      <c r="Z8" s="370"/>
      <c r="AA8" s="11"/>
      <c r="AB8" s="368" t="s">
        <v>83</v>
      </c>
      <c r="AC8" s="369"/>
      <c r="AD8" s="369"/>
      <c r="AE8" s="369"/>
      <c r="AF8" s="370"/>
      <c r="AG8" s="11"/>
      <c r="AH8" s="374" t="s">
        <v>5</v>
      </c>
      <c r="AI8" s="375"/>
      <c r="AJ8" s="376"/>
      <c r="AK8" s="97"/>
      <c r="AL8" s="374" t="s">
        <v>6</v>
      </c>
      <c r="AM8" s="375"/>
      <c r="AN8" s="37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252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213" t="s">
        <v>187</v>
      </c>
      <c r="K11" s="78"/>
      <c r="L11" s="78"/>
      <c r="M11" s="253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225</v>
      </c>
      <c r="F12" s="213" t="s">
        <v>178</v>
      </c>
      <c r="G12" s="5"/>
      <c r="H12" s="68" t="s">
        <v>66</v>
      </c>
      <c r="I12" s="104"/>
      <c r="J12" s="213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213" t="s">
        <v>178</v>
      </c>
      <c r="K13" s="78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213" t="s">
        <v>190</v>
      </c>
      <c r="K14" s="78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213" t="s">
        <v>188</v>
      </c>
      <c r="K15" s="78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182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182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H36" sqref="H36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8" width="15.26953125" style="3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35">
      <c r="A6" s="5"/>
      <c r="B6" s="5"/>
      <c r="C6" s="85"/>
      <c r="D6" s="377"/>
      <c r="E6" s="377"/>
      <c r="F6" s="5"/>
      <c r="G6" s="5"/>
      <c r="H6" s="377"/>
      <c r="I6" s="377"/>
      <c r="J6" s="15"/>
      <c r="K6" s="15"/>
      <c r="L6" s="5"/>
      <c r="M6" s="377"/>
      <c r="N6" s="377"/>
      <c r="O6" s="377"/>
      <c r="P6" s="377"/>
      <c r="Q6" s="5"/>
      <c r="R6" s="5"/>
      <c r="S6" s="378"/>
      <c r="T6" s="378"/>
      <c r="U6" s="378"/>
      <c r="V6" s="378"/>
      <c r="W6" s="378"/>
      <c r="X6" s="378"/>
      <c r="Y6" s="378"/>
      <c r="Z6" s="378"/>
      <c r="AA6" s="378"/>
      <c r="AB6" s="378"/>
      <c r="AC6" s="378"/>
      <c r="AD6" s="378"/>
      <c r="AE6" s="378"/>
      <c r="AF6" s="378"/>
      <c r="AG6" s="11"/>
      <c r="AH6" s="11"/>
      <c r="AI6" s="11"/>
      <c r="AJ6" s="11"/>
      <c r="AK6" s="86"/>
      <c r="AL6" s="5"/>
      <c r="AM6" s="5"/>
      <c r="AN6" s="5"/>
      <c r="AO6" s="5"/>
    </row>
    <row r="7" spans="1:41" ht="15" thickBot="1" x14ac:dyDescent="0.4">
      <c r="A7" s="5"/>
      <c r="B7" s="5"/>
      <c r="C7" s="8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6"/>
      <c r="AL7" s="5"/>
      <c r="AM7" s="5"/>
      <c r="AN7" s="5"/>
      <c r="AO7" s="5"/>
    </row>
    <row r="8" spans="1:41" ht="24" thickBot="1" x14ac:dyDescent="0.6">
      <c r="A8" s="5"/>
      <c r="B8" s="5"/>
      <c r="C8" s="85"/>
      <c r="D8" s="358" t="s">
        <v>50</v>
      </c>
      <c r="E8" s="359"/>
      <c r="F8" s="360"/>
      <c r="G8" s="5"/>
      <c r="H8" s="361" t="s">
        <v>51</v>
      </c>
      <c r="I8" s="362"/>
      <c r="J8" s="363"/>
      <c r="K8" s="16"/>
      <c r="L8" s="5"/>
      <c r="M8" s="371" t="s">
        <v>70</v>
      </c>
      <c r="N8" s="372"/>
      <c r="O8" s="372"/>
      <c r="P8" s="372"/>
      <c r="Q8" s="373"/>
      <c r="R8" s="5"/>
      <c r="S8" s="368" t="s">
        <v>76</v>
      </c>
      <c r="T8" s="369"/>
      <c r="U8" s="370"/>
      <c r="V8" s="12"/>
      <c r="W8" s="368" t="s">
        <v>106</v>
      </c>
      <c r="X8" s="369"/>
      <c r="Y8" s="369"/>
      <c r="Z8" s="370"/>
      <c r="AA8" s="11"/>
      <c r="AB8" s="368" t="s">
        <v>83</v>
      </c>
      <c r="AC8" s="369"/>
      <c r="AD8" s="369"/>
      <c r="AE8" s="369"/>
      <c r="AF8" s="370"/>
      <c r="AG8" s="11"/>
      <c r="AH8" s="368" t="s">
        <v>7</v>
      </c>
      <c r="AI8" s="369"/>
      <c r="AJ8" s="370"/>
      <c r="AK8" s="86"/>
      <c r="AL8" s="5"/>
      <c r="AM8" s="5"/>
      <c r="AN8" s="5"/>
      <c r="AO8" s="5"/>
    </row>
    <row r="9" spans="1:41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5" x14ac:dyDescent="0.45">
      <c r="A10" s="5"/>
      <c r="B10" s="5"/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02"/>
      <c r="AC10" s="103"/>
      <c r="AD10" s="103"/>
      <c r="AE10" s="103"/>
      <c r="AF10" s="69"/>
      <c r="AG10" s="119"/>
      <c r="AH10" s="139"/>
      <c r="AI10" s="82"/>
      <c r="AJ10" s="163"/>
      <c r="AK10" s="86"/>
      <c r="AL10" s="5"/>
      <c r="AM10" s="5"/>
      <c r="AN10" s="5"/>
      <c r="AO10" s="5"/>
    </row>
    <row r="11" spans="1:41" ht="19" thickBot="1" x14ac:dyDescent="0.5">
      <c r="A11" s="5"/>
      <c r="B11" s="5"/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78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5" x14ac:dyDescent="0.45">
      <c r="A12" s="5"/>
      <c r="B12" s="5"/>
      <c r="C12" s="85"/>
      <c r="D12" s="68" t="s">
        <v>40</v>
      </c>
      <c r="E12" s="259" t="s">
        <v>226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78"/>
      <c r="L13" s="78"/>
      <c r="M13" s="247"/>
      <c r="N13" s="125"/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78"/>
      <c r="L14" s="78"/>
      <c r="M14" s="248"/>
      <c r="N14" s="109"/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5" x14ac:dyDescent="0.45">
      <c r="A17" s="5"/>
      <c r="B17" s="5"/>
      <c r="C17" s="85"/>
      <c r="D17" s="68" t="s">
        <v>58</v>
      </c>
      <c r="E17" s="69"/>
      <c r="F17" s="213" t="s">
        <v>182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5" x14ac:dyDescent="0.45">
      <c r="A18" s="5"/>
      <c r="B18" s="5"/>
      <c r="C18" s="85"/>
      <c r="D18" s="70" t="s">
        <v>59</v>
      </c>
      <c r="E18" s="69"/>
      <c r="F18" s="213" t="s">
        <v>182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5" x14ac:dyDescent="0.45">
      <c r="A24" s="5"/>
      <c r="B24" s="5"/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5" x14ac:dyDescent="0.45">
      <c r="A25" s="5"/>
      <c r="B25" s="5"/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" thickBot="1" x14ac:dyDescent="0.5">
      <c r="A26" s="5"/>
      <c r="B26" s="5"/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" thickBot="1" x14ac:dyDescent="0.5">
      <c r="A27" s="5"/>
      <c r="B27" s="5"/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3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3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5" x14ac:dyDescent="0.3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5" x14ac:dyDescent="0.3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5" x14ac:dyDescent="0.3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5" x14ac:dyDescent="0.3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5" x14ac:dyDescent="0.3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5" x14ac:dyDescent="0.3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5" x14ac:dyDescent="0.3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5" x14ac:dyDescent="0.3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3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" thickBot="1" x14ac:dyDescent="0.4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77"/>
      <c r="E6" s="377"/>
      <c r="F6" s="5"/>
      <c r="G6" s="5"/>
      <c r="H6" s="377"/>
      <c r="I6" s="377"/>
      <c r="J6" s="15"/>
      <c r="K6" s="15"/>
      <c r="L6" s="5"/>
      <c r="M6" s="377"/>
      <c r="N6" s="377"/>
      <c r="O6" s="377"/>
      <c r="P6" s="377"/>
      <c r="Q6" s="5"/>
      <c r="R6" s="5"/>
      <c r="S6" s="378"/>
      <c r="T6" s="378"/>
      <c r="U6" s="378"/>
      <c r="V6" s="378"/>
      <c r="W6" s="378"/>
      <c r="X6" s="378"/>
      <c r="Y6" s="378"/>
      <c r="Z6" s="378"/>
      <c r="AA6" s="378"/>
      <c r="AB6" s="378"/>
      <c r="AC6" s="378"/>
      <c r="AD6" s="378"/>
      <c r="AE6" s="378"/>
      <c r="AF6" s="37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8" t="s">
        <v>50</v>
      </c>
      <c r="E8" s="359"/>
      <c r="F8" s="360"/>
      <c r="G8" s="5"/>
      <c r="H8" s="361" t="s">
        <v>51</v>
      </c>
      <c r="I8" s="362"/>
      <c r="J8" s="363"/>
      <c r="K8" s="16"/>
      <c r="L8" s="5"/>
      <c r="M8" s="371" t="s">
        <v>70</v>
      </c>
      <c r="N8" s="372"/>
      <c r="O8" s="372"/>
      <c r="P8" s="372"/>
      <c r="Q8" s="373"/>
      <c r="R8" s="5"/>
      <c r="S8" s="365" t="s">
        <v>76</v>
      </c>
      <c r="T8" s="366"/>
      <c r="U8" s="367"/>
      <c r="V8" s="12"/>
      <c r="W8" s="368" t="s">
        <v>106</v>
      </c>
      <c r="X8" s="369"/>
      <c r="Y8" s="369"/>
      <c r="Z8" s="370"/>
      <c r="AA8" s="11"/>
      <c r="AB8" s="368" t="s">
        <v>83</v>
      </c>
      <c r="AC8" s="369"/>
      <c r="AD8" s="369"/>
      <c r="AE8" s="369"/>
      <c r="AF8" s="370"/>
      <c r="AG8" s="11"/>
      <c r="AH8" s="374" t="s">
        <v>5</v>
      </c>
      <c r="AI8" s="375"/>
      <c r="AJ8" s="376"/>
      <c r="AK8" s="97"/>
      <c r="AL8" s="374" t="s">
        <v>6</v>
      </c>
      <c r="AM8" s="375"/>
      <c r="AN8" s="37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78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161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78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78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0.57999999999999996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77"/>
      <c r="E6" s="377"/>
      <c r="F6" s="5"/>
      <c r="G6" s="5"/>
      <c r="H6" s="377"/>
      <c r="I6" s="377"/>
      <c r="J6" s="15"/>
      <c r="K6" s="15"/>
      <c r="L6" s="5"/>
      <c r="M6" s="377"/>
      <c r="N6" s="377"/>
      <c r="O6" s="377"/>
      <c r="P6" s="377"/>
      <c r="Q6" s="5"/>
      <c r="R6" s="5"/>
      <c r="S6" s="378"/>
      <c r="T6" s="378"/>
      <c r="U6" s="378"/>
      <c r="V6" s="378"/>
      <c r="W6" s="378"/>
      <c r="X6" s="378"/>
      <c r="Y6" s="378"/>
      <c r="Z6" s="378"/>
      <c r="AA6" s="378"/>
      <c r="AB6" s="378"/>
      <c r="AC6" s="378"/>
      <c r="AD6" s="378"/>
      <c r="AE6" s="378"/>
      <c r="AF6" s="37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8" t="s">
        <v>50</v>
      </c>
      <c r="E8" s="359"/>
      <c r="F8" s="360"/>
      <c r="G8" s="5"/>
      <c r="H8" s="361" t="s">
        <v>51</v>
      </c>
      <c r="I8" s="362"/>
      <c r="J8" s="363"/>
      <c r="K8" s="5"/>
      <c r="L8" s="5"/>
      <c r="M8" s="371" t="s">
        <v>70</v>
      </c>
      <c r="N8" s="372"/>
      <c r="O8" s="372"/>
      <c r="P8" s="372"/>
      <c r="Q8" s="373"/>
      <c r="R8" s="5"/>
      <c r="S8" s="365" t="s">
        <v>76</v>
      </c>
      <c r="T8" s="366"/>
      <c r="U8" s="367"/>
      <c r="V8" s="12"/>
      <c r="W8" s="368" t="s">
        <v>106</v>
      </c>
      <c r="X8" s="369"/>
      <c r="Y8" s="369"/>
      <c r="Z8" s="370"/>
      <c r="AA8" s="11"/>
      <c r="AB8" s="368" t="s">
        <v>83</v>
      </c>
      <c r="AC8" s="369"/>
      <c r="AD8" s="369"/>
      <c r="AE8" s="369"/>
      <c r="AF8" s="370"/>
      <c r="AG8" s="11"/>
      <c r="AH8" s="374" t="s">
        <v>5</v>
      </c>
      <c r="AI8" s="375"/>
      <c r="AJ8" s="376"/>
      <c r="AK8" s="97"/>
      <c r="AL8" s="374" t="s">
        <v>6</v>
      </c>
      <c r="AM8" s="375"/>
      <c r="AN8" s="37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5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5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23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5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5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5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5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5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5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5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0.83</v>
      </c>
      <c r="F21" s="213" t="s">
        <v>178</v>
      </c>
      <c r="G21" s="5"/>
      <c r="H21" s="109"/>
      <c r="I21" s="242"/>
      <c r="J21" s="213" t="s">
        <v>178</v>
      </c>
      <c r="K21" s="5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5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5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U35"/>
  <sheetViews>
    <sheetView topLeftCell="C1" workbookViewId="0">
      <selection activeCell="L30" sqref="L30"/>
    </sheetView>
  </sheetViews>
  <sheetFormatPr defaultColWidth="10.81640625" defaultRowHeight="14.5" x14ac:dyDescent="0.35"/>
  <cols>
    <col min="7" max="8" width="24.1796875" bestFit="1" customWidth="1"/>
  </cols>
  <sheetData>
    <row r="1" spans="1:21" ht="15.5" x14ac:dyDescent="0.35">
      <c r="A1" t="s">
        <v>26</v>
      </c>
      <c r="B1" t="s">
        <v>189</v>
      </c>
      <c r="F1" s="1" t="s">
        <v>16</v>
      </c>
      <c r="L1" t="s">
        <v>138</v>
      </c>
    </row>
    <row r="2" spans="1:21" ht="15.5" x14ac:dyDescent="0.35">
      <c r="A2" t="s">
        <v>25</v>
      </c>
      <c r="B2" t="s">
        <v>189</v>
      </c>
      <c r="C2" t="s">
        <v>25</v>
      </c>
      <c r="F2" s="183" t="s">
        <v>116</v>
      </c>
      <c r="L2" t="s">
        <v>122</v>
      </c>
    </row>
    <row r="3" spans="1:21" ht="15.5" x14ac:dyDescent="0.35">
      <c r="A3" t="s">
        <v>12</v>
      </c>
      <c r="B3" t="s">
        <v>188</v>
      </c>
      <c r="C3" t="s">
        <v>12</v>
      </c>
      <c r="F3" s="230" t="s">
        <v>218</v>
      </c>
      <c r="L3" t="s">
        <v>139</v>
      </c>
    </row>
    <row r="4" spans="1:21" ht="15.5" x14ac:dyDescent="0.35">
      <c r="A4" t="s">
        <v>13</v>
      </c>
      <c r="B4" t="s">
        <v>188</v>
      </c>
      <c r="C4" t="s">
        <v>13</v>
      </c>
      <c r="F4" s="230" t="s">
        <v>219</v>
      </c>
      <c r="L4" t="s">
        <v>126</v>
      </c>
    </row>
    <row r="5" spans="1:21" ht="15.5" x14ac:dyDescent="0.35">
      <c r="A5" t="s">
        <v>20</v>
      </c>
      <c r="C5" t="s">
        <v>20</v>
      </c>
      <c r="F5" s="230" t="s">
        <v>220</v>
      </c>
      <c r="L5" t="s">
        <v>124</v>
      </c>
    </row>
    <row r="6" spans="1:21" x14ac:dyDescent="0.35">
      <c r="A6" t="s">
        <v>24</v>
      </c>
      <c r="C6" t="s">
        <v>24</v>
      </c>
      <c r="L6" t="s">
        <v>125</v>
      </c>
    </row>
    <row r="7" spans="1:21" x14ac:dyDescent="0.35">
      <c r="A7" t="s">
        <v>109</v>
      </c>
      <c r="L7" t="s">
        <v>123</v>
      </c>
    </row>
    <row r="8" spans="1:21" x14ac:dyDescent="0.35">
      <c r="A8" t="s">
        <v>110</v>
      </c>
      <c r="L8" t="s">
        <v>162</v>
      </c>
    </row>
    <row r="9" spans="1:21" x14ac:dyDescent="0.35">
      <c r="A9" t="s">
        <v>119</v>
      </c>
      <c r="L9" t="s">
        <v>163</v>
      </c>
    </row>
    <row r="10" spans="1:21" x14ac:dyDescent="0.35">
      <c r="A10" t="s">
        <v>120</v>
      </c>
      <c r="L10" t="s">
        <v>164</v>
      </c>
    </row>
    <row r="14" spans="1:21" x14ac:dyDescent="0.35">
      <c r="A14" t="s">
        <v>223</v>
      </c>
    </row>
    <row r="15" spans="1:21" x14ac:dyDescent="0.35">
      <c r="A15" t="s">
        <v>221</v>
      </c>
    </row>
    <row r="16" spans="1:21" x14ac:dyDescent="0.35">
      <c r="G16" s="327" t="s">
        <v>127</v>
      </c>
      <c r="H16" s="327" t="s">
        <v>149</v>
      </c>
      <c r="I16" t="s">
        <v>150</v>
      </c>
      <c r="J16" t="s">
        <v>152</v>
      </c>
      <c r="K16" t="s">
        <v>153</v>
      </c>
      <c r="M16" t="s">
        <v>253</v>
      </c>
      <c r="O16" t="s">
        <v>260</v>
      </c>
      <c r="R16" t="s">
        <v>262</v>
      </c>
      <c r="U16" t="s">
        <v>261</v>
      </c>
    </row>
    <row r="17" spans="7:21" x14ac:dyDescent="0.35">
      <c r="G17" t="s">
        <v>128</v>
      </c>
      <c r="H17" t="s">
        <v>167</v>
      </c>
      <c r="I17" t="s">
        <v>94</v>
      </c>
      <c r="J17" t="s">
        <v>11</v>
      </c>
      <c r="K17" t="s">
        <v>154</v>
      </c>
      <c r="M17" s="262">
        <v>2</v>
      </c>
      <c r="O17" t="s">
        <v>296</v>
      </c>
      <c r="R17" t="s">
        <v>249</v>
      </c>
      <c r="U17" t="s">
        <v>276</v>
      </c>
    </row>
    <row r="18" spans="7:21" x14ac:dyDescent="0.35">
      <c r="G18" t="s">
        <v>147</v>
      </c>
      <c r="H18" t="s">
        <v>88</v>
      </c>
      <c r="I18" t="s">
        <v>151</v>
      </c>
      <c r="J18" t="s">
        <v>8</v>
      </c>
      <c r="K18" t="s">
        <v>87</v>
      </c>
      <c r="M18" s="262">
        <v>3</v>
      </c>
      <c r="O18" t="s">
        <v>291</v>
      </c>
      <c r="R18" t="s">
        <v>254</v>
      </c>
      <c r="U18" t="s">
        <v>278</v>
      </c>
    </row>
    <row r="19" spans="7:21" x14ac:dyDescent="0.35">
      <c r="G19" t="s">
        <v>146</v>
      </c>
      <c r="H19" t="s">
        <v>148</v>
      </c>
      <c r="M19" s="262" t="s">
        <v>291</v>
      </c>
      <c r="R19" t="s">
        <v>255</v>
      </c>
      <c r="U19" t="s">
        <v>277</v>
      </c>
    </row>
    <row r="20" spans="7:21" x14ac:dyDescent="0.35">
      <c r="G20" t="s">
        <v>129</v>
      </c>
      <c r="H20" t="s">
        <v>137</v>
      </c>
      <c r="R20" t="s">
        <v>256</v>
      </c>
    </row>
    <row r="21" spans="7:21" x14ac:dyDescent="0.35">
      <c r="G21" t="s">
        <v>234</v>
      </c>
      <c r="H21" t="s">
        <v>298</v>
      </c>
    </row>
    <row r="22" spans="7:21" x14ac:dyDescent="0.35">
      <c r="G22" t="s">
        <v>301</v>
      </c>
    </row>
    <row r="35" spans="2:2" x14ac:dyDescent="0.35">
      <c r="B35" t="s">
        <v>224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zoomScale="80" zoomScaleNormal="80" workbookViewId="0">
      <selection activeCell="D23" sqref="D23"/>
    </sheetView>
  </sheetViews>
  <sheetFormatPr defaultColWidth="10.81640625" defaultRowHeight="14.5" x14ac:dyDescent="0.35"/>
  <cols>
    <col min="3" max="3" width="16.453125" bestFit="1" customWidth="1"/>
    <col min="4" max="4" width="13.26953125" bestFit="1" customWidth="1"/>
    <col min="5" max="5" width="14.54296875" bestFit="1" customWidth="1"/>
    <col min="6" max="6" width="13.7265625" bestFit="1" customWidth="1"/>
    <col min="7" max="8" width="14.179687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328" t="s">
        <v>305</v>
      </c>
      <c r="C5" s="379" t="s">
        <v>99</v>
      </c>
      <c r="D5" s="380"/>
      <c r="E5" s="380"/>
      <c r="F5" s="380"/>
      <c r="G5" s="380"/>
      <c r="H5" s="380"/>
      <c r="I5" s="380"/>
      <c r="J5" s="380"/>
      <c r="K5" s="380"/>
      <c r="L5" s="380"/>
      <c r="M5" s="380"/>
      <c r="N5" s="380"/>
      <c r="O5" s="380"/>
      <c r="P5" s="380"/>
      <c r="Q5" s="381"/>
      <c r="R5" t="s">
        <v>22</v>
      </c>
    </row>
    <row r="6" spans="2:18" ht="18.5" x14ac:dyDescent="0.45">
      <c r="B6" s="299"/>
      <c r="C6" s="172" t="s">
        <v>1</v>
      </c>
      <c r="D6" s="168" t="s">
        <v>197</v>
      </c>
      <c r="E6" s="168" t="s">
        <v>192</v>
      </c>
      <c r="F6" s="168" t="s">
        <v>169</v>
      </c>
      <c r="G6" s="168" t="s">
        <v>228</v>
      </c>
      <c r="H6" s="168" t="s">
        <v>285</v>
      </c>
      <c r="I6" s="94"/>
      <c r="J6" s="94"/>
      <c r="K6" s="94"/>
      <c r="L6" s="94"/>
      <c r="M6" s="94"/>
      <c r="N6" s="94"/>
      <c r="O6" s="94"/>
      <c r="P6" s="94"/>
      <c r="Q6" s="163"/>
    </row>
    <row r="7" spans="2:18" ht="18.5" x14ac:dyDescent="0.45">
      <c r="B7" s="301"/>
      <c r="C7" s="169" t="s">
        <v>100</v>
      </c>
      <c r="D7" s="119">
        <v>1000</v>
      </c>
      <c r="E7" s="119">
        <v>2000</v>
      </c>
      <c r="F7" s="119">
        <v>3000</v>
      </c>
      <c r="G7" s="119">
        <v>1100</v>
      </c>
      <c r="H7" s="119">
        <v>4000</v>
      </c>
      <c r="I7" s="11"/>
      <c r="J7" s="11"/>
      <c r="K7" s="11"/>
      <c r="L7" s="11"/>
      <c r="M7" s="11"/>
      <c r="N7" s="11"/>
      <c r="O7" s="11"/>
      <c r="P7" s="11"/>
      <c r="Q7" s="91"/>
    </row>
    <row r="8" spans="2:18" ht="18.5" x14ac:dyDescent="0.45">
      <c r="B8" s="301"/>
      <c r="C8" s="170" t="s">
        <v>40</v>
      </c>
      <c r="D8" s="119" t="s">
        <v>10</v>
      </c>
      <c r="E8" s="119" t="s">
        <v>10</v>
      </c>
      <c r="F8" s="119" t="s">
        <v>10</v>
      </c>
      <c r="G8" s="119" t="s">
        <v>10</v>
      </c>
      <c r="H8" s="119" t="s">
        <v>10</v>
      </c>
      <c r="I8" s="11"/>
      <c r="J8" s="11"/>
      <c r="K8" s="11"/>
      <c r="L8" s="11"/>
      <c r="M8" s="11"/>
      <c r="N8" s="11"/>
      <c r="O8" s="11"/>
      <c r="P8" s="11"/>
      <c r="Q8" s="91"/>
    </row>
    <row r="9" spans="2:18" ht="18.5" x14ac:dyDescent="0.45">
      <c r="B9" s="301"/>
      <c r="C9" s="171" t="s">
        <v>101</v>
      </c>
      <c r="D9" s="119"/>
      <c r="E9" s="119"/>
      <c r="F9" s="119"/>
      <c r="G9" s="207"/>
      <c r="H9" s="119"/>
      <c r="I9" s="11"/>
      <c r="J9" s="11"/>
      <c r="K9" s="11"/>
      <c r="L9" s="11"/>
      <c r="M9" s="11"/>
      <c r="N9" s="11"/>
      <c r="O9" s="11"/>
      <c r="P9" s="11"/>
      <c r="Q9" s="91"/>
    </row>
    <row r="10" spans="2:18" ht="18.5" x14ac:dyDescent="0.45">
      <c r="B10" s="301"/>
      <c r="C10" s="169" t="s">
        <v>206</v>
      </c>
      <c r="D10" s="119">
        <v>0</v>
      </c>
      <c r="E10" s="119">
        <v>400</v>
      </c>
      <c r="F10" s="119">
        <v>10000</v>
      </c>
      <c r="G10" s="119">
        <v>80</v>
      </c>
      <c r="H10" s="119">
        <v>600</v>
      </c>
      <c r="I10" s="11"/>
      <c r="J10" s="11"/>
      <c r="K10" s="11"/>
      <c r="L10" s="11"/>
      <c r="M10" s="11"/>
      <c r="N10" s="11"/>
      <c r="O10" s="11"/>
      <c r="P10" s="11"/>
      <c r="Q10" s="91"/>
    </row>
    <row r="11" spans="2:18" ht="18.5" x14ac:dyDescent="0.45">
      <c r="B11" s="301"/>
      <c r="C11" s="169" t="s">
        <v>9</v>
      </c>
      <c r="D11" s="119" t="s">
        <v>8</v>
      </c>
      <c r="E11" s="119" t="s">
        <v>8</v>
      </c>
      <c r="F11" s="119" t="s">
        <v>11</v>
      </c>
      <c r="G11" s="119" t="s">
        <v>11</v>
      </c>
      <c r="H11" s="119" t="s">
        <v>11</v>
      </c>
      <c r="I11" s="11"/>
      <c r="J11" s="11"/>
      <c r="K11" s="11"/>
      <c r="L11" s="11"/>
      <c r="M11" s="11"/>
      <c r="N11" s="11"/>
      <c r="O11" s="11"/>
      <c r="P11" s="11"/>
      <c r="Q11" s="91"/>
    </row>
    <row r="12" spans="2:18" ht="18.5" x14ac:dyDescent="0.45">
      <c r="B12" s="301"/>
      <c r="C12" s="173" t="s">
        <v>117</v>
      </c>
      <c r="D12" s="119">
        <v>0.5</v>
      </c>
      <c r="E12" s="119">
        <v>0.58499999999999996</v>
      </c>
      <c r="F12" s="119">
        <v>0</v>
      </c>
      <c r="G12" s="119">
        <v>0</v>
      </c>
      <c r="H12" s="119">
        <v>0</v>
      </c>
      <c r="I12" s="11"/>
      <c r="J12" s="11"/>
      <c r="K12" s="11"/>
      <c r="L12" s="11"/>
      <c r="M12" s="11"/>
      <c r="N12" s="11"/>
      <c r="O12" s="11"/>
      <c r="P12" s="11"/>
      <c r="Q12" s="91"/>
    </row>
    <row r="13" spans="2:18" ht="18.5" x14ac:dyDescent="0.45">
      <c r="B13" s="301"/>
      <c r="C13" s="131" t="s">
        <v>118</v>
      </c>
      <c r="D13" s="11"/>
      <c r="E13" s="11"/>
      <c r="F13" s="11"/>
      <c r="G13" s="119"/>
      <c r="H13" s="119"/>
      <c r="I13" s="11"/>
      <c r="J13" s="11"/>
      <c r="K13" s="11"/>
      <c r="L13" s="11"/>
      <c r="M13" s="11"/>
      <c r="N13" s="11"/>
      <c r="O13" s="11"/>
      <c r="P13" s="11"/>
      <c r="Q13" s="91"/>
    </row>
    <row r="14" spans="2:18" ht="18.5" x14ac:dyDescent="0.45">
      <c r="B14" s="301" t="s">
        <v>188</v>
      </c>
      <c r="C14" s="131" t="s">
        <v>306</v>
      </c>
      <c r="D14" s="119"/>
      <c r="E14" s="119"/>
      <c r="F14" s="119"/>
      <c r="G14" s="119"/>
      <c r="H14" s="119"/>
      <c r="I14" s="11"/>
      <c r="J14" s="11"/>
      <c r="K14" s="11"/>
      <c r="L14" s="11"/>
      <c r="M14" s="11"/>
      <c r="N14" s="11"/>
      <c r="O14" s="11"/>
      <c r="P14" s="11"/>
      <c r="Q14" s="91"/>
    </row>
    <row r="15" spans="2:18" ht="19" thickBot="1" x14ac:dyDescent="0.5">
      <c r="B15" s="302" t="s">
        <v>188</v>
      </c>
      <c r="C15" s="174" t="s">
        <v>307</v>
      </c>
      <c r="D15" s="93"/>
      <c r="E15" s="93"/>
      <c r="F15" s="93"/>
      <c r="G15" s="93"/>
      <c r="H15" s="122"/>
      <c r="I15" s="93"/>
      <c r="J15" s="93"/>
      <c r="K15" s="93"/>
      <c r="L15" s="93"/>
      <c r="M15" s="93"/>
      <c r="N15" s="93"/>
      <c r="O15" s="93"/>
      <c r="P15" s="93"/>
      <c r="Q15" s="145"/>
    </row>
    <row r="16" spans="2:18" x14ac:dyDescent="0.35">
      <c r="I16" s="11"/>
      <c r="J16" s="11"/>
      <c r="K16" s="11"/>
      <c r="L16" s="11"/>
    </row>
    <row r="26" spans="11:11" x14ac:dyDescent="0.35">
      <c r="K26" t="s">
        <v>22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5"/>
  <sheetViews>
    <sheetView zoomScale="83" zoomScaleNormal="83" workbookViewId="0">
      <selection activeCell="E14" sqref="E14:E17"/>
    </sheetView>
  </sheetViews>
  <sheetFormatPr defaultColWidth="10.81640625" defaultRowHeight="14.5" x14ac:dyDescent="0.35"/>
  <cols>
    <col min="4" max="4" width="21.269531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220" t="s">
        <v>207</v>
      </c>
      <c r="D5" s="382" t="s">
        <v>102</v>
      </c>
      <c r="E5" s="383"/>
      <c r="F5" s="383"/>
      <c r="G5" s="383"/>
      <c r="H5" s="383"/>
      <c r="I5" s="383"/>
      <c r="J5" s="383"/>
      <c r="K5" s="383"/>
      <c r="L5" s="383"/>
      <c r="M5" s="383"/>
      <c r="N5" s="383"/>
      <c r="O5" s="384"/>
      <c r="P5" s="11"/>
      <c r="Q5" s="11"/>
    </row>
    <row r="6" spans="3:17" ht="18.5" x14ac:dyDescent="0.45">
      <c r="C6" s="221" t="s">
        <v>178</v>
      </c>
      <c r="D6" s="146" t="s">
        <v>1</v>
      </c>
      <c r="E6" s="209" t="s">
        <v>170</v>
      </c>
      <c r="F6" s="210" t="s">
        <v>174</v>
      </c>
      <c r="G6" s="210" t="s">
        <v>108</v>
      </c>
      <c r="H6" s="210" t="s">
        <v>229</v>
      </c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5" x14ac:dyDescent="0.45">
      <c r="C7" s="222" t="s">
        <v>178</v>
      </c>
      <c r="D7" s="146" t="s">
        <v>100</v>
      </c>
      <c r="E7" s="160">
        <v>11</v>
      </c>
      <c r="F7" s="149">
        <v>22</v>
      </c>
      <c r="G7" s="149">
        <v>33</v>
      </c>
      <c r="H7" s="149">
        <v>44</v>
      </c>
      <c r="I7" s="149"/>
      <c r="J7" s="149"/>
      <c r="K7" s="149"/>
      <c r="L7" s="149"/>
      <c r="M7" s="149"/>
      <c r="N7" s="149"/>
      <c r="O7" s="150"/>
      <c r="P7" s="11"/>
      <c r="Q7" s="11"/>
    </row>
    <row r="8" spans="3:17" ht="18.5" x14ac:dyDescent="0.45">
      <c r="C8" s="223" t="s">
        <v>208</v>
      </c>
      <c r="D8" s="146" t="s">
        <v>103</v>
      </c>
      <c r="E8" s="160">
        <v>0</v>
      </c>
      <c r="F8" s="149">
        <v>0</v>
      </c>
      <c r="G8" s="149">
        <v>0</v>
      </c>
      <c r="H8" s="149">
        <v>20</v>
      </c>
      <c r="I8" s="149"/>
      <c r="J8" s="149"/>
      <c r="K8" s="149"/>
      <c r="L8" s="149"/>
      <c r="M8" s="149"/>
      <c r="N8" s="149"/>
      <c r="O8" s="150"/>
      <c r="P8" s="11"/>
      <c r="Q8" s="11"/>
    </row>
    <row r="9" spans="3:17" ht="18.5" x14ac:dyDescent="0.45">
      <c r="C9" s="223" t="s">
        <v>188</v>
      </c>
      <c r="D9" s="146" t="s">
        <v>210</v>
      </c>
      <c r="E9" s="160">
        <v>100</v>
      </c>
      <c r="F9" s="149"/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5" x14ac:dyDescent="0.45">
      <c r="C10" s="223" t="s">
        <v>188</v>
      </c>
      <c r="D10" s="146" t="s">
        <v>211</v>
      </c>
      <c r="E10" s="160">
        <v>100</v>
      </c>
      <c r="F10" s="149"/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5" x14ac:dyDescent="0.45">
      <c r="C11" s="222" t="s">
        <v>178</v>
      </c>
      <c r="D11" s="146" t="s">
        <v>104</v>
      </c>
      <c r="E11" s="160"/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5" x14ac:dyDescent="0.45">
      <c r="C12" s="222" t="s">
        <v>178</v>
      </c>
      <c r="D12" s="146" t="s">
        <v>209</v>
      </c>
      <c r="E12" s="181">
        <v>0</v>
      </c>
      <c r="F12" s="207">
        <v>1</v>
      </c>
      <c r="G12" s="207">
        <v>0</v>
      </c>
      <c r="H12" s="11"/>
      <c r="I12" s="11"/>
      <c r="J12" s="11"/>
      <c r="K12" s="11"/>
      <c r="L12" s="11"/>
      <c r="M12" s="11"/>
      <c r="N12" s="11"/>
      <c r="O12" s="91"/>
      <c r="P12" s="11"/>
      <c r="Q12" s="11"/>
    </row>
    <row r="13" spans="3:17" ht="19" thickBot="1" x14ac:dyDescent="0.5">
      <c r="C13" s="224" t="s">
        <v>178</v>
      </c>
      <c r="D13" s="146" t="s">
        <v>105</v>
      </c>
      <c r="E13" s="161">
        <f>SUM(E14:E37)</f>
        <v>1</v>
      </c>
      <c r="F13" s="157">
        <f t="shared" ref="F13:O13" si="0">SUM(F14:F37)</f>
        <v>1</v>
      </c>
      <c r="G13" s="157">
        <f t="shared" si="0"/>
        <v>1</v>
      </c>
      <c r="H13" s="157">
        <f t="shared" si="0"/>
        <v>1</v>
      </c>
      <c r="I13" s="157">
        <f t="shared" si="0"/>
        <v>0</v>
      </c>
      <c r="J13" s="157">
        <f t="shared" si="0"/>
        <v>0</v>
      </c>
      <c r="K13" s="157">
        <f t="shared" si="0"/>
        <v>0</v>
      </c>
      <c r="L13" s="157">
        <f t="shared" si="0"/>
        <v>0</v>
      </c>
      <c r="M13" s="157">
        <f t="shared" si="0"/>
        <v>0</v>
      </c>
      <c r="N13" s="157">
        <f t="shared" si="0"/>
        <v>0</v>
      </c>
      <c r="O13" s="158">
        <f t="shared" si="0"/>
        <v>0</v>
      </c>
      <c r="P13" s="11"/>
      <c r="Q13" s="11"/>
    </row>
    <row r="14" spans="3:17" ht="18.5" x14ac:dyDescent="0.45">
      <c r="C14" s="225"/>
      <c r="D14" s="151" t="s">
        <v>171</v>
      </c>
      <c r="E14" s="210">
        <v>0.25</v>
      </c>
      <c r="F14" s="147"/>
      <c r="G14" s="147"/>
      <c r="H14" s="147"/>
      <c r="I14" s="147"/>
      <c r="J14" s="147"/>
      <c r="K14" s="147"/>
      <c r="L14" s="147"/>
      <c r="M14" s="147"/>
      <c r="N14" s="147"/>
      <c r="O14" s="148"/>
      <c r="P14" s="11"/>
      <c r="Q14" s="11"/>
    </row>
    <row r="15" spans="3:17" ht="18.5" x14ac:dyDescent="0.45">
      <c r="C15" s="175"/>
      <c r="D15" s="152" t="s">
        <v>172</v>
      </c>
      <c r="E15" s="211">
        <v>0.13</v>
      </c>
      <c r="F15" s="149"/>
      <c r="G15" s="149"/>
      <c r="H15" s="153"/>
      <c r="I15" s="149"/>
      <c r="J15" s="149"/>
      <c r="K15" s="149"/>
      <c r="L15" s="149"/>
      <c r="M15" s="149"/>
      <c r="N15" s="149"/>
      <c r="O15" s="150"/>
      <c r="P15" s="11"/>
      <c r="Q15" s="11"/>
    </row>
    <row r="16" spans="3:17" ht="18.5" x14ac:dyDescent="0.45">
      <c r="C16" s="175"/>
      <c r="D16" s="152" t="s">
        <v>173</v>
      </c>
      <c r="E16" s="211">
        <v>0.55000000000000004</v>
      </c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22" ht="18.5" x14ac:dyDescent="0.45">
      <c r="C17" s="175"/>
      <c r="D17" s="152" t="s">
        <v>169</v>
      </c>
      <c r="E17" s="211">
        <v>7.0000000000000007E-2</v>
      </c>
      <c r="F17" s="149"/>
      <c r="G17" s="149"/>
      <c r="H17" s="153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22" ht="18.5" x14ac:dyDescent="0.45">
      <c r="C18" s="175"/>
      <c r="D18" s="152" t="s">
        <v>14</v>
      </c>
      <c r="E18" s="211"/>
      <c r="F18" s="149">
        <v>1</v>
      </c>
      <c r="G18" s="149"/>
      <c r="H18" s="149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22" ht="18.5" x14ac:dyDescent="0.45">
      <c r="C19" s="175"/>
      <c r="D19" s="152" t="s">
        <v>4</v>
      </c>
      <c r="E19" s="211"/>
      <c r="F19" s="149"/>
      <c r="G19" s="149">
        <v>0.22</v>
      </c>
      <c r="H19" s="149"/>
      <c r="I19" s="149"/>
      <c r="J19" s="149"/>
      <c r="K19" s="154"/>
      <c r="L19" s="149"/>
      <c r="M19" s="149"/>
      <c r="N19" s="149"/>
      <c r="O19" s="150"/>
      <c r="P19" s="11"/>
      <c r="Q19" s="11"/>
    </row>
    <row r="20" spans="3:22" ht="18.5" x14ac:dyDescent="0.45">
      <c r="C20" s="175"/>
      <c r="D20" s="152" t="s">
        <v>17</v>
      </c>
      <c r="E20" s="211"/>
      <c r="F20" s="211"/>
      <c r="G20" s="149">
        <v>0.78</v>
      </c>
      <c r="H20" s="155"/>
      <c r="I20" s="149"/>
      <c r="J20" s="149"/>
      <c r="K20" s="154"/>
      <c r="L20" s="149"/>
      <c r="M20" s="149"/>
      <c r="N20" s="149"/>
      <c r="O20" s="150"/>
      <c r="P20" s="11"/>
      <c r="Q20" s="11"/>
    </row>
    <row r="21" spans="3:22" ht="18.5" x14ac:dyDescent="0.45">
      <c r="C21" s="175"/>
      <c r="D21" s="152" t="s">
        <v>230</v>
      </c>
      <c r="E21" s="149"/>
      <c r="F21" s="149"/>
      <c r="G21" s="149"/>
      <c r="H21" s="155">
        <v>1</v>
      </c>
      <c r="I21" s="149"/>
      <c r="J21" s="149"/>
      <c r="K21" s="149"/>
      <c r="L21" s="149"/>
      <c r="M21" s="149"/>
      <c r="N21" s="149"/>
      <c r="O21" s="150"/>
      <c r="P21" s="11"/>
      <c r="Q21" s="11"/>
    </row>
    <row r="22" spans="3:22" ht="18.5" x14ac:dyDescent="0.45">
      <c r="C22" s="175"/>
      <c r="D22" s="152"/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22" ht="18.5" x14ac:dyDescent="0.45">
      <c r="C23" s="175"/>
      <c r="D23" s="152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50"/>
      <c r="P23" s="11"/>
      <c r="Q23" s="11"/>
    </row>
    <row r="24" spans="3:22" ht="18.5" x14ac:dyDescent="0.45">
      <c r="C24" s="175"/>
      <c r="D24" s="152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50"/>
      <c r="P24" s="11"/>
      <c r="V24" s="11" t="s">
        <v>22</v>
      </c>
    </row>
    <row r="25" spans="3:22" ht="18.5" x14ac:dyDescent="0.45">
      <c r="C25" s="175"/>
      <c r="D25" s="152"/>
      <c r="E25" s="149"/>
      <c r="F25" s="149"/>
      <c r="G25" s="149"/>
      <c r="H25" s="149"/>
      <c r="I25" s="149"/>
      <c r="J25" s="149"/>
      <c r="K25" s="149"/>
      <c r="L25" s="149"/>
      <c r="M25" s="149"/>
      <c r="N25" s="149"/>
      <c r="O25" s="150"/>
      <c r="P25" s="11"/>
      <c r="Q25" s="11"/>
    </row>
    <row r="26" spans="3:22" x14ac:dyDescent="0.35">
      <c r="C26" s="175"/>
      <c r="D26" s="175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1"/>
      <c r="P26" s="11"/>
      <c r="Q26" s="11"/>
    </row>
    <row r="27" spans="3:22" x14ac:dyDescent="0.35">
      <c r="C27" s="175"/>
      <c r="D27" s="175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1"/>
      <c r="P27" s="11"/>
      <c r="Q27" s="11"/>
    </row>
    <row r="28" spans="3:22" x14ac:dyDescent="0.35">
      <c r="C28" s="175"/>
      <c r="D28" s="175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1"/>
      <c r="P28" s="11"/>
      <c r="Q28" s="11"/>
    </row>
    <row r="29" spans="3:22" x14ac:dyDescent="0.35">
      <c r="C29" s="175"/>
      <c r="D29" s="175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1"/>
      <c r="P29" s="11"/>
      <c r="Q29" s="11"/>
    </row>
    <row r="30" spans="3:22" x14ac:dyDescent="0.35">
      <c r="C30" s="175"/>
      <c r="D30" s="175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1"/>
      <c r="P30" s="11"/>
      <c r="Q30" s="11"/>
    </row>
    <row r="31" spans="3:22" x14ac:dyDescent="0.35">
      <c r="C31" s="175"/>
      <c r="D31" s="175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1"/>
      <c r="P31" s="11"/>
      <c r="Q31" s="11"/>
    </row>
    <row r="32" spans="3:22" x14ac:dyDescent="0.35">
      <c r="C32" s="175"/>
      <c r="D32" s="175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1"/>
      <c r="P32" s="11"/>
      <c r="Q32" s="11"/>
    </row>
    <row r="33" spans="2:17" x14ac:dyDescent="0.35">
      <c r="C33" s="175"/>
      <c r="D33" s="175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1"/>
      <c r="P33" s="11"/>
      <c r="Q33" s="11"/>
    </row>
    <row r="34" spans="2:17" x14ac:dyDescent="0.35">
      <c r="C34" s="175"/>
      <c r="D34" s="175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1"/>
      <c r="P34" s="11"/>
      <c r="Q34" s="11"/>
    </row>
    <row r="35" spans="2:17" x14ac:dyDescent="0.35">
      <c r="C35" s="175"/>
      <c r="D35" s="175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1"/>
      <c r="P35" s="11"/>
      <c r="Q35" s="11"/>
    </row>
    <row r="36" spans="2:17" x14ac:dyDescent="0.35">
      <c r="C36" s="175"/>
      <c r="D36" s="175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91"/>
      <c r="P36" s="11"/>
      <c r="Q36" s="11"/>
    </row>
    <row r="37" spans="2:17" ht="15" thickBot="1" x14ac:dyDescent="0.4">
      <c r="C37" s="176"/>
      <c r="D37" s="176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145"/>
      <c r="P37" s="11"/>
      <c r="Q37" s="11"/>
    </row>
    <row r="38" spans="2:17" x14ac:dyDescent="0.3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5" spans="2:17" x14ac:dyDescent="0.35">
      <c r="N45" s="11" t="s">
        <v>22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>
    <tabColor rgb="FFFF0000"/>
  </sheetPr>
  <dimension ref="C3:T36"/>
  <sheetViews>
    <sheetView workbookViewId="0">
      <selection activeCell="D25" sqref="D25"/>
    </sheetView>
  </sheetViews>
  <sheetFormatPr defaultColWidth="10.81640625" defaultRowHeight="14.5" x14ac:dyDescent="0.35"/>
  <cols>
    <col min="4" max="4" width="21.54296875" bestFit="1" customWidth="1"/>
    <col min="5" max="5" width="11.81640625" bestFit="1" customWidth="1"/>
    <col min="6" max="7" width="23" bestFit="1" customWidth="1"/>
    <col min="8" max="8" width="11.81640625" bestFit="1" customWidth="1"/>
    <col min="9" max="9" width="8.453125" customWidth="1"/>
    <col min="10" max="10" width="11.81640625" bestFit="1" customWidth="1"/>
    <col min="11" max="11" width="23" bestFit="1" customWidth="1"/>
    <col min="12" max="12" width="11" bestFit="1" customWidth="1"/>
    <col min="14" max="14" width="11.81640625" bestFit="1" customWidth="1"/>
    <col min="15" max="15" width="22.1796875" bestFit="1" customWidth="1"/>
    <col min="16" max="16" width="11" bestFit="1" customWidth="1"/>
  </cols>
  <sheetData>
    <row r="3" spans="3:20" x14ac:dyDescent="0.3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3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 x14ac:dyDescent="0.4">
      <c r="C5" s="11"/>
      <c r="D5" s="11"/>
      <c r="E5" s="11"/>
      <c r="F5" s="207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 x14ac:dyDescent="0.4">
      <c r="C6" s="268" t="s">
        <v>243</v>
      </c>
      <c r="D6" s="271" t="s">
        <v>247</v>
      </c>
      <c r="E6" s="207"/>
      <c r="F6" s="276" t="s">
        <v>244</v>
      </c>
      <c r="G6" s="276" t="s">
        <v>248</v>
      </c>
      <c r="H6" s="276" t="s">
        <v>246</v>
      </c>
      <c r="I6" s="207"/>
      <c r="J6" s="266" t="s">
        <v>244</v>
      </c>
      <c r="K6" s="266" t="s">
        <v>248</v>
      </c>
      <c r="L6" s="266" t="s">
        <v>246</v>
      </c>
      <c r="M6" s="262"/>
      <c r="N6" s="266" t="s">
        <v>244</v>
      </c>
      <c r="O6" s="270" t="s">
        <v>245</v>
      </c>
      <c r="P6" s="266" t="s">
        <v>246</v>
      </c>
      <c r="Q6" s="207"/>
      <c r="R6" s="11"/>
      <c r="S6" s="11"/>
      <c r="T6" s="11"/>
    </row>
    <row r="7" spans="3:20" x14ac:dyDescent="0.35">
      <c r="C7" s="280" t="s">
        <v>235</v>
      </c>
      <c r="D7" s="281">
        <f>1/8</f>
        <v>0.125</v>
      </c>
      <c r="E7" s="207"/>
      <c r="F7" s="282">
        <v>11</v>
      </c>
      <c r="G7" s="277">
        <v>0.15</v>
      </c>
      <c r="H7" s="283" t="s">
        <v>173</v>
      </c>
      <c r="I7" s="207"/>
      <c r="J7" s="280">
        <v>11</v>
      </c>
      <c r="K7" s="291"/>
      <c r="L7" s="295" t="s">
        <v>169</v>
      </c>
      <c r="M7" s="207"/>
      <c r="N7" s="207"/>
      <c r="O7" s="207"/>
      <c r="P7" s="207"/>
      <c r="Q7" s="207"/>
      <c r="R7" s="11"/>
      <c r="S7" s="11"/>
      <c r="T7" s="11"/>
    </row>
    <row r="8" spans="3:20" x14ac:dyDescent="0.35">
      <c r="C8" s="181" t="s">
        <v>236</v>
      </c>
      <c r="D8" s="284">
        <f t="shared" ref="D8:D14" si="0">1/8</f>
        <v>0.125</v>
      </c>
      <c r="E8" s="207"/>
      <c r="F8" s="285">
        <v>11</v>
      </c>
      <c r="G8" s="278">
        <v>0.15</v>
      </c>
      <c r="H8" s="286" t="s">
        <v>173</v>
      </c>
      <c r="I8" s="207"/>
      <c r="J8" s="181">
        <v>11</v>
      </c>
      <c r="K8" s="207"/>
      <c r="L8" s="293"/>
      <c r="M8" s="207"/>
      <c r="N8" s="207"/>
      <c r="O8" s="207"/>
      <c r="P8" s="207"/>
      <c r="Q8" s="207"/>
      <c r="R8" s="11"/>
      <c r="S8" s="11"/>
      <c r="T8" s="11"/>
    </row>
    <row r="9" spans="3:20" x14ac:dyDescent="0.35">
      <c r="C9" s="181" t="s">
        <v>237</v>
      </c>
      <c r="D9" s="284">
        <f t="shared" si="0"/>
        <v>0.125</v>
      </c>
      <c r="E9" s="207"/>
      <c r="F9" s="285">
        <v>11</v>
      </c>
      <c r="G9" s="278">
        <v>-0.15</v>
      </c>
      <c r="H9" s="286" t="s">
        <v>173</v>
      </c>
      <c r="I9" s="207"/>
      <c r="J9" s="181">
        <v>11</v>
      </c>
      <c r="K9" s="207"/>
      <c r="L9" s="293"/>
      <c r="M9" s="207"/>
      <c r="N9" s="207"/>
      <c r="O9" s="207"/>
      <c r="P9" s="207"/>
      <c r="Q9" s="207"/>
      <c r="R9" s="11"/>
      <c r="S9" s="11"/>
      <c r="T9" s="11"/>
    </row>
    <row r="10" spans="3:20" x14ac:dyDescent="0.35">
      <c r="C10" s="181" t="s">
        <v>238</v>
      </c>
      <c r="D10" s="284">
        <f t="shared" si="0"/>
        <v>0.125</v>
      </c>
      <c r="E10" s="207"/>
      <c r="F10" s="285">
        <v>11</v>
      </c>
      <c r="G10" s="278">
        <v>-0.15</v>
      </c>
      <c r="H10" s="286" t="s">
        <v>173</v>
      </c>
      <c r="I10" s="207"/>
      <c r="J10" s="181">
        <v>11</v>
      </c>
      <c r="K10" s="207"/>
      <c r="L10" s="293"/>
      <c r="M10" s="207"/>
      <c r="N10" s="207"/>
      <c r="O10" s="207"/>
      <c r="P10" s="207"/>
      <c r="Q10" s="207"/>
      <c r="R10" s="11"/>
      <c r="S10" s="11"/>
      <c r="T10" s="11"/>
    </row>
    <row r="11" spans="3:20" x14ac:dyDescent="0.35">
      <c r="C11" s="181" t="s">
        <v>239</v>
      </c>
      <c r="D11" s="284">
        <f t="shared" si="0"/>
        <v>0.125</v>
      </c>
      <c r="E11" s="207"/>
      <c r="F11" s="285">
        <v>11</v>
      </c>
      <c r="G11" s="278">
        <v>0.15</v>
      </c>
      <c r="H11" s="286" t="s">
        <v>173</v>
      </c>
      <c r="I11" s="207"/>
      <c r="J11" s="181">
        <v>11</v>
      </c>
      <c r="K11" s="207"/>
      <c r="L11" s="293"/>
      <c r="M11" s="207"/>
      <c r="N11" s="207"/>
      <c r="O11" s="207"/>
      <c r="P11" s="207"/>
      <c r="Q11" s="207"/>
      <c r="R11" s="11"/>
      <c r="S11" s="11"/>
      <c r="T11" s="11"/>
    </row>
    <row r="12" spans="3:20" x14ac:dyDescent="0.35">
      <c r="C12" s="181" t="s">
        <v>240</v>
      </c>
      <c r="D12" s="284">
        <f>1/8</f>
        <v>0.125</v>
      </c>
      <c r="E12" s="207"/>
      <c r="F12" s="285">
        <v>11</v>
      </c>
      <c r="G12" s="278">
        <v>0.15</v>
      </c>
      <c r="H12" s="286" t="s">
        <v>173</v>
      </c>
      <c r="I12" s="207"/>
      <c r="J12" s="181">
        <v>11</v>
      </c>
      <c r="K12" s="207"/>
      <c r="L12" s="293"/>
      <c r="M12" s="207"/>
      <c r="N12" s="207"/>
      <c r="O12" s="207"/>
      <c r="P12" s="207"/>
      <c r="Q12" s="207"/>
      <c r="R12" s="11"/>
      <c r="S12" s="11"/>
      <c r="T12" s="11"/>
    </row>
    <row r="13" spans="3:20" x14ac:dyDescent="0.35">
      <c r="C13" s="181" t="s">
        <v>241</v>
      </c>
      <c r="D13" s="284">
        <f t="shared" si="0"/>
        <v>0.125</v>
      </c>
      <c r="E13" s="207"/>
      <c r="F13" s="285">
        <v>11</v>
      </c>
      <c r="G13" s="278">
        <v>-0.15</v>
      </c>
      <c r="H13" s="286" t="s">
        <v>173</v>
      </c>
      <c r="I13" s="207"/>
      <c r="J13" s="181">
        <v>11</v>
      </c>
      <c r="K13" s="207"/>
      <c r="L13" s="293"/>
      <c r="M13" s="207"/>
      <c r="N13" s="207"/>
      <c r="O13" s="207"/>
      <c r="P13" s="207"/>
      <c r="Q13" s="207"/>
      <c r="R13" s="11"/>
      <c r="S13" s="11"/>
      <c r="T13" s="11"/>
    </row>
    <row r="14" spans="3:20" ht="15" thickBot="1" x14ac:dyDescent="0.4">
      <c r="C14" s="287" t="s">
        <v>242</v>
      </c>
      <c r="D14" s="288">
        <f t="shared" si="0"/>
        <v>0.125</v>
      </c>
      <c r="E14" s="207"/>
      <c r="F14" s="289">
        <v>11</v>
      </c>
      <c r="G14" s="279">
        <v>-0.15</v>
      </c>
      <c r="H14" s="290" t="s">
        <v>173</v>
      </c>
      <c r="I14" s="207"/>
      <c r="J14" s="287">
        <v>11</v>
      </c>
      <c r="K14" s="162"/>
      <c r="L14" s="294"/>
      <c r="M14" s="207"/>
      <c r="N14" s="207"/>
      <c r="O14" s="207"/>
      <c r="P14" s="207"/>
      <c r="Q14" s="207"/>
      <c r="R14" s="11"/>
      <c r="S14" s="11"/>
      <c r="T14" s="11"/>
    </row>
    <row r="15" spans="3:20" x14ac:dyDescent="0.35">
      <c r="C15" s="207"/>
      <c r="D15" s="207"/>
      <c r="E15" s="207"/>
      <c r="F15" s="207"/>
      <c r="G15" s="207"/>
      <c r="H15" s="207"/>
      <c r="I15" s="207"/>
      <c r="J15" s="207"/>
      <c r="K15" s="207"/>
      <c r="L15" s="207"/>
      <c r="M15" s="207"/>
      <c r="N15" s="207"/>
      <c r="O15" s="207"/>
      <c r="P15" s="207"/>
      <c r="Q15" s="207"/>
      <c r="R15" s="11"/>
      <c r="S15" s="11"/>
      <c r="T15" s="11"/>
    </row>
    <row r="16" spans="3:20" x14ac:dyDescent="0.35"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11"/>
      <c r="S16" s="11"/>
      <c r="T16" s="11"/>
    </row>
    <row r="17" spans="3:20" x14ac:dyDescent="0.3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3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3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3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 x14ac:dyDescent="0.4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 x14ac:dyDescent="0.4">
      <c r="C22" s="385" t="s">
        <v>249</v>
      </c>
      <c r="D22" s="386"/>
      <c r="E22" s="386"/>
      <c r="F22" s="387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 x14ac:dyDescent="0.4">
      <c r="C23" s="272" t="s">
        <v>250</v>
      </c>
      <c r="D23" s="273" t="s">
        <v>251</v>
      </c>
      <c r="E23" s="272" t="s">
        <v>252</v>
      </c>
      <c r="F23" s="265" t="s">
        <v>247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35">
      <c r="C24" s="296">
        <v>11</v>
      </c>
      <c r="D24" s="297" t="s">
        <v>173</v>
      </c>
      <c r="E24" s="297">
        <v>0.15</v>
      </c>
      <c r="F24" s="163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35">
      <c r="C25" s="92"/>
      <c r="D25" s="274" t="s">
        <v>169</v>
      </c>
      <c r="E25" s="207">
        <v>0.1</v>
      </c>
      <c r="F25" s="9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35">
      <c r="C26" s="92"/>
      <c r="D26" s="274"/>
      <c r="E26" s="11"/>
      <c r="F26" s="9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35">
      <c r="C27" s="92"/>
      <c r="D27" s="274"/>
      <c r="E27" s="11"/>
      <c r="F27" s="9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35">
      <c r="C28" s="92"/>
      <c r="D28" s="274"/>
      <c r="E28" s="11"/>
      <c r="F28" s="9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35">
      <c r="C29" s="92"/>
      <c r="D29" s="274"/>
      <c r="E29" s="11"/>
      <c r="F29" s="9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35">
      <c r="C30" s="92"/>
      <c r="D30" s="274"/>
      <c r="E30" s="11"/>
      <c r="F30" s="9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35">
      <c r="C31" s="92"/>
      <c r="D31" s="274"/>
      <c r="E31" s="11"/>
      <c r="F31" s="9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35">
      <c r="C32" s="92"/>
      <c r="D32" s="274"/>
      <c r="E32" s="11"/>
      <c r="F32" s="9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35">
      <c r="C33" s="92"/>
      <c r="D33" s="11"/>
      <c r="E33" s="11"/>
      <c r="F33" s="9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35">
      <c r="C34" s="92"/>
      <c r="D34" s="11"/>
      <c r="E34" s="11"/>
      <c r="F34" s="9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35">
      <c r="C35" s="92"/>
      <c r="D35" s="11"/>
      <c r="E35" s="11"/>
      <c r="F35" s="9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 x14ac:dyDescent="0.4">
      <c r="C36" s="267"/>
      <c r="D36" s="93"/>
      <c r="E36" s="93"/>
      <c r="F36" s="145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9" sqref="F9"/>
    </sheetView>
  </sheetViews>
  <sheetFormatPr defaultColWidth="10.81640625" defaultRowHeight="14.5" x14ac:dyDescent="0.35"/>
  <cols>
    <col min="4" max="4" width="17.7265625" bestFit="1" customWidth="1"/>
    <col min="5" max="5" width="17" bestFit="1" customWidth="1"/>
    <col min="6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388" t="s">
        <v>111</v>
      </c>
      <c r="E5" s="389"/>
      <c r="F5" s="389"/>
      <c r="G5" s="389"/>
      <c r="H5" s="389"/>
      <c r="I5" s="389"/>
      <c r="J5" s="389"/>
      <c r="K5" s="389"/>
      <c r="L5" s="389"/>
      <c r="M5" s="389"/>
      <c r="N5" s="389"/>
      <c r="O5" s="390"/>
      <c r="P5" s="11"/>
      <c r="Q5" s="11"/>
    </row>
    <row r="6" spans="3:17" ht="18.5" x14ac:dyDescent="0.45">
      <c r="C6" s="11"/>
      <c r="D6" s="219" t="s">
        <v>1</v>
      </c>
      <c r="E6" s="210" t="s">
        <v>216</v>
      </c>
      <c r="F6" s="210" t="s">
        <v>231</v>
      </c>
      <c r="G6" s="159"/>
      <c r="H6" s="147"/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5" x14ac:dyDescent="0.45">
      <c r="C7" s="11"/>
      <c r="D7" s="146" t="s">
        <v>100</v>
      </c>
      <c r="E7" s="149">
        <v>888</v>
      </c>
      <c r="F7" s="149">
        <v>777</v>
      </c>
      <c r="G7" s="149"/>
      <c r="H7" s="149"/>
      <c r="I7" s="149"/>
      <c r="J7" s="149"/>
      <c r="K7" s="149"/>
      <c r="L7" s="149"/>
      <c r="M7" s="149"/>
      <c r="N7" s="149"/>
      <c r="O7" s="150"/>
      <c r="P7" s="11"/>
      <c r="Q7" s="11"/>
    </row>
    <row r="8" spans="3:17" ht="15" thickBot="1" x14ac:dyDescent="0.4">
      <c r="C8" s="11"/>
      <c r="D8" s="176" t="s">
        <v>113</v>
      </c>
      <c r="E8" s="162">
        <v>2</v>
      </c>
      <c r="F8" s="162">
        <v>2</v>
      </c>
      <c r="G8" s="93"/>
      <c r="H8" s="93"/>
      <c r="I8" s="93"/>
      <c r="J8" s="93"/>
      <c r="K8" s="93"/>
      <c r="L8" s="93"/>
      <c r="M8" s="93"/>
      <c r="N8" s="93"/>
      <c r="O8" s="145"/>
      <c r="P8" s="11"/>
      <c r="Q8" s="11"/>
    </row>
    <row r="9" spans="3:17" ht="18.5" x14ac:dyDescent="0.45">
      <c r="C9" s="11"/>
      <c r="D9" s="146" t="s">
        <v>112</v>
      </c>
      <c r="E9" s="160">
        <v>200</v>
      </c>
      <c r="F9" s="149">
        <v>300</v>
      </c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5" x14ac:dyDescent="0.45">
      <c r="C10" s="11"/>
      <c r="D10" s="146"/>
      <c r="E10" s="264">
        <v>210</v>
      </c>
      <c r="F10" s="149">
        <v>310</v>
      </c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5" x14ac:dyDescent="0.45">
      <c r="C11" s="11"/>
      <c r="D11" s="146"/>
      <c r="E11" s="160">
        <v>999</v>
      </c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5" x14ac:dyDescent="0.45">
      <c r="C12" s="11"/>
      <c r="D12" s="146"/>
      <c r="E12" s="160"/>
      <c r="F12" s="149"/>
      <c r="G12" s="149"/>
      <c r="H12" s="149"/>
      <c r="I12" s="149"/>
      <c r="J12" s="149"/>
      <c r="K12" s="149"/>
      <c r="L12" s="149"/>
      <c r="M12" s="149"/>
      <c r="N12" s="149"/>
      <c r="O12" s="150"/>
      <c r="P12" s="11"/>
      <c r="Q12" s="11"/>
    </row>
    <row r="13" spans="3:17" ht="18.5" x14ac:dyDescent="0.45">
      <c r="C13" s="11"/>
      <c r="D13" s="152"/>
      <c r="E13" s="92"/>
      <c r="F13" s="149"/>
      <c r="G13" s="149"/>
      <c r="H13" s="149"/>
      <c r="I13" s="149"/>
      <c r="J13" s="149"/>
      <c r="K13" s="149"/>
      <c r="L13" s="149"/>
      <c r="M13" s="149"/>
      <c r="N13" s="149"/>
      <c r="O13" s="150"/>
      <c r="P13" s="11"/>
      <c r="Q13" s="11"/>
    </row>
    <row r="14" spans="3:17" ht="18.5" x14ac:dyDescent="0.45">
      <c r="C14" s="11"/>
      <c r="D14" s="152"/>
      <c r="E14" s="160"/>
      <c r="F14" s="149"/>
      <c r="G14" s="149"/>
      <c r="H14" s="149"/>
      <c r="I14" s="149"/>
      <c r="J14" s="149"/>
      <c r="K14" s="154"/>
      <c r="L14" s="149"/>
      <c r="M14" s="149"/>
      <c r="N14" s="149"/>
      <c r="O14" s="150"/>
      <c r="P14" s="11"/>
      <c r="Q14" s="11"/>
    </row>
    <row r="15" spans="3:17" ht="18.5" x14ac:dyDescent="0.45">
      <c r="C15" s="11"/>
      <c r="D15" s="152"/>
      <c r="E15" s="160"/>
      <c r="F15" s="149"/>
      <c r="G15" s="149"/>
      <c r="H15" s="153"/>
      <c r="I15" s="149"/>
      <c r="J15" s="149"/>
      <c r="K15" s="154"/>
      <c r="L15" s="149"/>
      <c r="M15" s="149"/>
      <c r="N15" s="149"/>
      <c r="O15" s="150"/>
      <c r="P15" s="11"/>
      <c r="Q15" s="11"/>
    </row>
    <row r="16" spans="3:17" ht="18.5" x14ac:dyDescent="0.45">
      <c r="C16" s="11"/>
      <c r="D16" s="152"/>
      <c r="E16" s="160"/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17" ht="18.5" x14ac:dyDescent="0.45">
      <c r="C17" s="11"/>
      <c r="D17" s="152"/>
      <c r="E17" s="160"/>
      <c r="F17" s="149"/>
      <c r="G17" s="149"/>
      <c r="H17" s="149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17" ht="18.5" x14ac:dyDescent="0.45">
      <c r="C18" s="11"/>
      <c r="D18" s="152"/>
      <c r="E18" s="160"/>
      <c r="F18" s="149"/>
      <c r="G18" s="149"/>
      <c r="H18" s="155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17" ht="18.5" x14ac:dyDescent="0.45">
      <c r="C19" s="11"/>
      <c r="D19" s="152"/>
      <c r="E19" s="160"/>
      <c r="F19" s="149"/>
      <c r="G19" s="149"/>
      <c r="H19" s="155"/>
      <c r="I19" s="149"/>
      <c r="J19" s="149"/>
      <c r="K19" s="149"/>
      <c r="L19" s="149"/>
      <c r="M19" s="149"/>
      <c r="N19" s="149"/>
      <c r="O19" s="150"/>
      <c r="P19" s="11"/>
      <c r="Q19" s="11"/>
    </row>
    <row r="20" spans="3:17" ht="18.5" x14ac:dyDescent="0.45">
      <c r="C20" s="11"/>
      <c r="D20" s="152"/>
      <c r="E20" s="160"/>
      <c r="F20" s="149"/>
      <c r="G20" s="149"/>
      <c r="H20" s="149"/>
      <c r="I20" s="149"/>
      <c r="J20" s="149"/>
      <c r="K20" s="149"/>
      <c r="L20" s="149"/>
      <c r="M20" s="149"/>
      <c r="N20" s="149"/>
      <c r="O20" s="150"/>
      <c r="P20" s="11"/>
      <c r="Q20" s="11"/>
    </row>
    <row r="21" spans="3:17" ht="18.5" x14ac:dyDescent="0.45">
      <c r="C21" s="11"/>
      <c r="D21" s="152"/>
      <c r="E21" s="160"/>
      <c r="F21" s="149"/>
      <c r="G21" s="149"/>
      <c r="H21" s="149"/>
      <c r="I21" s="149"/>
      <c r="J21" s="149"/>
      <c r="K21" s="149"/>
      <c r="L21" s="149"/>
      <c r="M21" s="149"/>
      <c r="N21" s="149"/>
      <c r="O21" s="150"/>
      <c r="P21" s="11"/>
      <c r="Q21" s="11"/>
    </row>
    <row r="22" spans="3:17" ht="18.5" x14ac:dyDescent="0.45">
      <c r="C22" s="11"/>
      <c r="D22" s="152"/>
      <c r="E22" s="160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17" ht="19" thickBot="1" x14ac:dyDescent="0.5">
      <c r="C23" s="11"/>
      <c r="D23" s="156"/>
      <c r="E23" s="161"/>
      <c r="F23" s="157"/>
      <c r="G23" s="157"/>
      <c r="H23" s="157"/>
      <c r="I23" s="157"/>
      <c r="J23" s="157"/>
      <c r="K23" s="157"/>
      <c r="L23" s="157"/>
      <c r="M23" s="157"/>
      <c r="N23" s="157"/>
      <c r="O23" s="158"/>
      <c r="P23" s="11"/>
      <c r="Q23" s="11" t="s">
        <v>22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D3CE5-7816-4ECB-9A04-ECEE2382D716}">
  <sheetPr>
    <tabColor rgb="FFFF0000"/>
  </sheetPr>
  <dimension ref="A2:AI67"/>
  <sheetViews>
    <sheetView zoomScale="90" zoomScaleNormal="90" workbookViewId="0">
      <selection activeCell="R42" sqref="R42"/>
    </sheetView>
  </sheetViews>
  <sheetFormatPr defaultColWidth="10.81640625" defaultRowHeight="14.5" x14ac:dyDescent="0.35"/>
  <cols>
    <col min="2" max="2" width="21.1796875" bestFit="1" customWidth="1"/>
    <col min="3" max="3" width="14" bestFit="1" customWidth="1"/>
    <col min="4" max="4" width="16.54296875" bestFit="1" customWidth="1"/>
    <col min="5" max="5" width="15.7265625" customWidth="1"/>
    <col min="6" max="6" width="11.81640625" bestFit="1" customWidth="1"/>
    <col min="7" max="7" width="14.54296875" bestFit="1" customWidth="1"/>
    <col min="8" max="8" width="12.453125" bestFit="1" customWidth="1"/>
    <col min="9" max="9" width="13" bestFit="1" customWidth="1"/>
    <col min="10" max="11" width="16.54296875" bestFit="1" customWidth="1"/>
    <col min="12" max="12" width="12.26953125" bestFit="1" customWidth="1"/>
    <col min="13" max="13" width="12.7265625" bestFit="1" customWidth="1"/>
    <col min="14" max="14" width="11.7265625" bestFit="1" customWidth="1"/>
    <col min="15" max="15" width="13" customWidth="1"/>
    <col min="16" max="16" width="14.7265625" bestFit="1" customWidth="1"/>
    <col min="17" max="17" width="12.26953125" bestFit="1" customWidth="1"/>
    <col min="18" max="18" width="15.54296875" customWidth="1"/>
    <col min="19" max="19" width="12.7265625" bestFit="1" customWidth="1"/>
    <col min="20" max="20" width="12.26953125" bestFit="1" customWidth="1"/>
    <col min="21" max="21" width="16.54296875" bestFit="1" customWidth="1"/>
    <col min="24" max="24" width="16.54296875" bestFit="1" customWidth="1"/>
  </cols>
  <sheetData>
    <row r="2" spans="1:35" ht="15" thickBot="1" x14ac:dyDescent="0.4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 x14ac:dyDescent="0.4">
      <c r="A3" s="11"/>
      <c r="B3" s="385" t="s">
        <v>257</v>
      </c>
      <c r="C3" s="387"/>
      <c r="D3" s="11"/>
      <c r="E3" s="265" t="s">
        <v>264</v>
      </c>
      <c r="F3" s="300" t="s">
        <v>263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 x14ac:dyDescent="0.4">
      <c r="A4" s="11"/>
      <c r="B4" s="275" t="s">
        <v>258</v>
      </c>
      <c r="C4" s="320">
        <v>3</v>
      </c>
      <c r="D4" s="11"/>
      <c r="E4" s="11" t="s">
        <v>311</v>
      </c>
      <c r="F4" s="11" t="s">
        <v>312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295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 x14ac:dyDescent="0.4">
      <c r="A5" s="11"/>
      <c r="B5" s="92" t="s">
        <v>259</v>
      </c>
      <c r="C5" s="307" t="s">
        <v>291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68" t="s">
        <v>268</v>
      </c>
      <c r="S5" s="269"/>
      <c r="T5" s="303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 x14ac:dyDescent="0.4">
      <c r="A6" s="11"/>
      <c r="B6" s="267"/>
      <c r="C6" s="145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81">
        <v>2</v>
      </c>
      <c r="S6" s="308" t="s">
        <v>293</v>
      </c>
      <c r="T6" s="9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81">
        <v>3</v>
      </c>
      <c r="S7" s="308" t="s">
        <v>292</v>
      </c>
      <c r="T7" s="9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 x14ac:dyDescent="0.4">
      <c r="A8" s="11"/>
      <c r="B8" s="309" t="s">
        <v>273</v>
      </c>
      <c r="C8" s="11"/>
      <c r="D8" s="11"/>
      <c r="E8" s="11"/>
      <c r="F8" s="11"/>
      <c r="G8" s="11"/>
      <c r="H8" s="11"/>
      <c r="I8" s="11"/>
      <c r="J8" s="310" t="s">
        <v>275</v>
      </c>
      <c r="K8" s="11"/>
      <c r="L8" s="11"/>
      <c r="M8" s="11"/>
      <c r="N8" s="11"/>
      <c r="O8" s="11"/>
      <c r="P8" s="11"/>
      <c r="R8" s="181">
        <v>4</v>
      </c>
      <c r="S8" s="308" t="s">
        <v>297</v>
      </c>
      <c r="T8" s="9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 x14ac:dyDescent="0.4">
      <c r="A9" s="11"/>
      <c r="B9" s="391" t="s">
        <v>282</v>
      </c>
      <c r="C9" s="392"/>
      <c r="D9" s="392"/>
      <c r="E9" s="392"/>
      <c r="F9" s="392"/>
      <c r="G9" s="270"/>
      <c r="H9" s="11"/>
      <c r="I9" s="11"/>
      <c r="J9" s="333" t="s">
        <v>283</v>
      </c>
      <c r="K9" s="334"/>
      <c r="L9" s="334"/>
      <c r="M9" s="334"/>
      <c r="N9" s="334"/>
      <c r="O9" s="269"/>
      <c r="P9" s="270"/>
      <c r="R9" s="267"/>
      <c r="S9" s="93" t="s">
        <v>270</v>
      </c>
      <c r="T9" s="145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 x14ac:dyDescent="0.4">
      <c r="A10" s="11"/>
      <c r="B10" s="302" t="s">
        <v>266</v>
      </c>
      <c r="C10" s="304" t="s">
        <v>33</v>
      </c>
      <c r="D10" s="305" t="s">
        <v>269</v>
      </c>
      <c r="E10" s="335" t="s">
        <v>267</v>
      </c>
      <c r="F10" s="301" t="s">
        <v>271</v>
      </c>
      <c r="G10" s="336" t="s">
        <v>315</v>
      </c>
      <c r="H10" s="11"/>
      <c r="I10" s="11"/>
      <c r="J10" s="302" t="s">
        <v>266</v>
      </c>
      <c r="K10" s="302" t="s">
        <v>33</v>
      </c>
      <c r="L10" s="306" t="s">
        <v>265</v>
      </c>
      <c r="M10" s="302" t="s">
        <v>269</v>
      </c>
      <c r="N10" s="302" t="s">
        <v>267</v>
      </c>
      <c r="O10" s="302" t="s">
        <v>271</v>
      </c>
      <c r="P10" s="336" t="s">
        <v>315</v>
      </c>
      <c r="R10" s="11"/>
      <c r="S10" s="11"/>
      <c r="T10" s="309" t="s">
        <v>273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 x14ac:dyDescent="0.4">
      <c r="A11" s="11"/>
      <c r="B11" s="296">
        <v>11</v>
      </c>
      <c r="C11" s="297" t="s">
        <v>173</v>
      </c>
      <c r="D11" s="291">
        <v>0.4</v>
      </c>
      <c r="E11" s="297">
        <v>1</v>
      </c>
      <c r="F11" s="299" t="s">
        <v>277</v>
      </c>
      <c r="G11" s="299" t="s">
        <v>318</v>
      </c>
      <c r="H11" s="11"/>
      <c r="I11" s="11"/>
      <c r="J11" s="181"/>
      <c r="K11" s="274" t="s">
        <v>173</v>
      </c>
      <c r="L11" s="207">
        <v>2</v>
      </c>
      <c r="M11" s="207">
        <v>0.2</v>
      </c>
      <c r="N11" s="293">
        <v>1</v>
      </c>
      <c r="O11" s="301" t="s">
        <v>276</v>
      </c>
      <c r="P11" s="299"/>
      <c r="R11" s="321" t="s">
        <v>294</v>
      </c>
      <c r="S11" s="11"/>
      <c r="T11" s="322" t="s">
        <v>309</v>
      </c>
      <c r="U11" s="330"/>
      <c r="V11" s="330"/>
      <c r="W11" s="330"/>
      <c r="X11" s="330"/>
      <c r="Y11" s="330"/>
      <c r="Z11" s="303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 x14ac:dyDescent="0.4">
      <c r="A12" s="11"/>
      <c r="B12" s="181"/>
      <c r="C12" s="274" t="s">
        <v>169</v>
      </c>
      <c r="D12" s="207">
        <v>0.5</v>
      </c>
      <c r="E12" s="207">
        <v>1</v>
      </c>
      <c r="F12" s="301" t="s">
        <v>278</v>
      </c>
      <c r="G12" s="299" t="s">
        <v>317</v>
      </c>
      <c r="H12" s="11"/>
      <c r="I12" s="11"/>
      <c r="J12" s="181"/>
      <c r="K12" s="274" t="s">
        <v>173</v>
      </c>
      <c r="L12" s="207">
        <v>1</v>
      </c>
      <c r="M12" s="207">
        <v>0.1</v>
      </c>
      <c r="N12" s="293">
        <v>1</v>
      </c>
      <c r="O12" s="301" t="s">
        <v>276</v>
      </c>
      <c r="P12" s="301"/>
      <c r="R12" s="225" t="s">
        <v>290</v>
      </c>
      <c r="S12" s="11"/>
      <c r="T12" s="175" t="s">
        <v>266</v>
      </c>
      <c r="U12" s="287" t="s">
        <v>310</v>
      </c>
      <c r="V12" s="162"/>
      <c r="W12" s="162"/>
      <c r="X12" s="162"/>
      <c r="Y12" s="162"/>
      <c r="Z12" s="294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35">
      <c r="A13" s="11"/>
      <c r="B13" s="181"/>
      <c r="C13" s="274"/>
      <c r="D13" s="337"/>
      <c r="E13" s="207"/>
      <c r="F13" s="181"/>
      <c r="G13" s="301"/>
      <c r="H13" s="11"/>
      <c r="I13" s="11"/>
      <c r="J13" s="181"/>
      <c r="K13" s="274"/>
      <c r="L13" s="207"/>
      <c r="M13" s="207"/>
      <c r="N13" s="293"/>
      <c r="O13" s="301"/>
      <c r="P13" s="301"/>
      <c r="R13" s="225">
        <v>1</v>
      </c>
      <c r="S13" s="207"/>
      <c r="T13" s="275">
        <v>11</v>
      </c>
      <c r="U13" s="296" t="s">
        <v>14</v>
      </c>
      <c r="V13" s="297"/>
      <c r="W13" s="297"/>
      <c r="X13" s="297"/>
      <c r="Y13" s="297"/>
      <c r="Z13" s="331"/>
      <c r="AA13" s="11"/>
      <c r="AB13" s="11"/>
      <c r="AC13" s="11"/>
      <c r="AD13" s="11"/>
      <c r="AE13" s="11" t="s">
        <v>22</v>
      </c>
      <c r="AF13" s="11"/>
      <c r="AG13" s="11"/>
      <c r="AH13" s="11"/>
      <c r="AI13" s="11"/>
    </row>
    <row r="14" spans="1:35" x14ac:dyDescent="0.35">
      <c r="A14" s="11"/>
      <c r="B14" s="181"/>
      <c r="C14" s="274"/>
      <c r="D14" s="207"/>
      <c r="E14" s="207"/>
      <c r="F14" s="181"/>
      <c r="G14" s="301"/>
      <c r="H14" s="11"/>
      <c r="I14" s="11"/>
      <c r="J14" s="181"/>
      <c r="K14" s="274"/>
      <c r="L14" s="207"/>
      <c r="M14" s="207"/>
      <c r="N14" s="293"/>
      <c r="O14" s="301"/>
      <c r="P14" s="301"/>
      <c r="R14" s="175">
        <v>0.5</v>
      </c>
      <c r="S14" s="11"/>
      <c r="T14" s="92"/>
      <c r="U14" s="92"/>
      <c r="V14" s="11"/>
      <c r="W14" s="11"/>
      <c r="X14" s="11"/>
      <c r="Y14" s="11"/>
      <c r="Z14" s="9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35">
      <c r="A15" s="11"/>
      <c r="B15" s="181"/>
      <c r="C15" s="274"/>
      <c r="D15" s="207"/>
      <c r="E15" s="207"/>
      <c r="F15" s="181"/>
      <c r="G15" s="301"/>
      <c r="H15" s="11"/>
      <c r="I15" s="11"/>
      <c r="J15" s="181"/>
      <c r="K15" s="274"/>
      <c r="L15" s="207"/>
      <c r="M15" s="207"/>
      <c r="N15" s="293"/>
      <c r="O15" s="301"/>
      <c r="P15" s="301"/>
      <c r="R15" s="175">
        <v>0</v>
      </c>
      <c r="S15" s="11"/>
      <c r="T15" s="92"/>
      <c r="U15" s="92"/>
      <c r="V15" s="11"/>
      <c r="W15" s="11"/>
      <c r="X15" s="11"/>
      <c r="Y15" s="11"/>
      <c r="Z15" s="9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35">
      <c r="A16" s="11"/>
      <c r="B16" s="181"/>
      <c r="C16" s="274"/>
      <c r="D16" s="207"/>
      <c r="E16" s="207"/>
      <c r="F16" s="181"/>
      <c r="G16" s="301"/>
      <c r="H16" s="11"/>
      <c r="I16" s="11"/>
      <c r="J16" s="181"/>
      <c r="K16" s="274"/>
      <c r="L16" s="207"/>
      <c r="M16" s="207"/>
      <c r="N16" s="293"/>
      <c r="O16" s="301"/>
      <c r="P16" s="301"/>
      <c r="R16" s="175">
        <v>-0.5</v>
      </c>
      <c r="S16" s="11"/>
      <c r="T16" s="92"/>
      <c r="U16" s="92"/>
      <c r="V16" s="11"/>
      <c r="W16" s="11"/>
      <c r="X16" s="11"/>
      <c r="Y16" s="11"/>
      <c r="Z16" s="91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35">
      <c r="A17" s="11"/>
      <c r="B17" s="181"/>
      <c r="C17" s="274"/>
      <c r="D17" s="207"/>
      <c r="E17" s="207"/>
      <c r="F17" s="181"/>
      <c r="G17" s="301"/>
      <c r="H17" s="11"/>
      <c r="I17" s="11"/>
      <c r="J17" s="181"/>
      <c r="K17" s="274"/>
      <c r="L17" s="207"/>
      <c r="M17" s="207"/>
      <c r="N17" s="293"/>
      <c r="O17" s="301"/>
      <c r="P17" s="301"/>
      <c r="R17" s="175">
        <v>-1</v>
      </c>
      <c r="S17" s="11"/>
      <c r="T17" s="92"/>
      <c r="U17" s="92"/>
      <c r="V17" s="11"/>
      <c r="W17" s="11"/>
      <c r="X17" s="11"/>
      <c r="Y17" s="11"/>
      <c r="Z17" s="9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35">
      <c r="A18" s="11"/>
      <c r="B18" s="181"/>
      <c r="C18" s="274"/>
      <c r="D18" s="207"/>
      <c r="E18" s="207"/>
      <c r="F18" s="181"/>
      <c r="G18" s="301"/>
      <c r="H18" s="11"/>
      <c r="I18" s="11"/>
      <c r="J18" s="181"/>
      <c r="K18" s="274"/>
      <c r="L18" s="207"/>
      <c r="M18" s="207"/>
      <c r="N18" s="293"/>
      <c r="O18" s="301"/>
      <c r="P18" s="301"/>
      <c r="R18" s="175"/>
      <c r="S18" s="11"/>
      <c r="T18" s="92"/>
      <c r="U18" s="92"/>
      <c r="V18" s="11"/>
      <c r="W18" s="11"/>
      <c r="X18" s="11"/>
      <c r="Y18" s="11"/>
      <c r="Z18" s="9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35">
      <c r="A19" s="11"/>
      <c r="B19" s="181"/>
      <c r="C19" s="274"/>
      <c r="D19" s="207"/>
      <c r="E19" s="207"/>
      <c r="F19" s="181"/>
      <c r="G19" s="301"/>
      <c r="H19" s="11"/>
      <c r="I19" s="11"/>
      <c r="J19" s="181"/>
      <c r="K19" s="274"/>
      <c r="L19" s="207"/>
      <c r="M19" s="207"/>
      <c r="N19" s="293"/>
      <c r="O19" s="301"/>
      <c r="P19" s="301"/>
      <c r="R19" s="175"/>
      <c r="S19" s="11"/>
      <c r="T19" s="92"/>
      <c r="U19" s="92"/>
      <c r="V19" s="11"/>
      <c r="W19" s="11"/>
      <c r="X19" s="11"/>
      <c r="Y19" s="11"/>
      <c r="Z19" s="91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 x14ac:dyDescent="0.4">
      <c r="A20" s="11"/>
      <c r="B20" s="181"/>
      <c r="C20" s="274"/>
      <c r="D20" s="207"/>
      <c r="E20" s="207"/>
      <c r="F20" s="181"/>
      <c r="G20" s="301"/>
      <c r="H20" s="11"/>
      <c r="I20" s="11"/>
      <c r="J20" s="181"/>
      <c r="K20" s="274"/>
      <c r="L20" s="207"/>
      <c r="M20" s="207"/>
      <c r="N20" s="293"/>
      <c r="O20" s="301"/>
      <c r="P20" s="301"/>
      <c r="R20" s="226"/>
      <c r="S20" s="11"/>
      <c r="T20" s="332"/>
      <c r="U20" s="267"/>
      <c r="V20" s="93"/>
      <c r="W20" s="93"/>
      <c r="X20" s="93"/>
      <c r="Y20" s="93"/>
      <c r="Z20" s="145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1:35" x14ac:dyDescent="0.35">
      <c r="A21" s="11"/>
      <c r="B21" s="181"/>
      <c r="C21" s="274"/>
      <c r="D21" s="207"/>
      <c r="E21" s="207"/>
      <c r="F21" s="181"/>
      <c r="G21" s="301"/>
      <c r="H21" s="11"/>
      <c r="I21" s="11"/>
      <c r="J21" s="181"/>
      <c r="K21" s="274"/>
      <c r="L21" s="207"/>
      <c r="M21" s="207"/>
      <c r="N21" s="293"/>
      <c r="O21" s="301"/>
      <c r="P21" s="301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35">
      <c r="A22" s="11"/>
      <c r="B22" s="181"/>
      <c r="C22" s="274"/>
      <c r="D22" s="207"/>
      <c r="E22" s="207"/>
      <c r="F22" s="181"/>
      <c r="G22" s="301"/>
      <c r="H22" s="11"/>
      <c r="I22" s="11"/>
      <c r="J22" s="181"/>
      <c r="K22" s="274"/>
      <c r="L22" s="207"/>
      <c r="M22" s="207"/>
      <c r="N22" s="293"/>
      <c r="O22" s="301"/>
      <c r="P22" s="30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 x14ac:dyDescent="0.4">
      <c r="A23" s="11"/>
      <c r="B23" s="287"/>
      <c r="C23" s="298"/>
      <c r="D23" s="162"/>
      <c r="E23" s="162"/>
      <c r="F23" s="287"/>
      <c r="G23" s="302"/>
      <c r="H23" s="11"/>
      <c r="I23" s="11"/>
      <c r="J23" s="287"/>
      <c r="K23" s="162"/>
      <c r="L23" s="162"/>
      <c r="M23" s="162"/>
      <c r="N23" s="294"/>
      <c r="O23" s="302"/>
      <c r="P23" s="302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35">
      <c r="A24" s="11"/>
      <c r="B24" s="207"/>
      <c r="C24" s="207"/>
      <c r="D24" s="207"/>
      <c r="E24" s="207"/>
      <c r="F24" s="207"/>
      <c r="G24" s="207"/>
      <c r="H24" s="11"/>
      <c r="I24" s="11"/>
      <c r="J24" s="207"/>
      <c r="K24" s="207"/>
      <c r="L24" s="207"/>
      <c r="M24" s="207"/>
      <c r="N24" s="207"/>
      <c r="O24" s="207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35">
      <c r="A25" s="11"/>
      <c r="B25" s="207"/>
      <c r="C25" s="207"/>
      <c r="D25" s="207"/>
      <c r="E25" s="207"/>
      <c r="F25" s="207"/>
      <c r="G25" s="207"/>
      <c r="H25" s="11"/>
      <c r="I25" s="207"/>
      <c r="J25" s="207"/>
      <c r="K25" s="207"/>
      <c r="L25" s="207"/>
      <c r="M25" s="207"/>
      <c r="N25" s="207"/>
      <c r="O25" s="207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 x14ac:dyDescent="0.4">
      <c r="A26" s="11"/>
      <c r="B26" s="310" t="s">
        <v>279</v>
      </c>
      <c r="C26" s="207"/>
      <c r="D26" s="207"/>
      <c r="E26" s="207"/>
      <c r="F26" s="207"/>
      <c r="G26" s="207"/>
      <c r="H26" s="207"/>
      <c r="I26" s="11"/>
      <c r="J26" s="310" t="s">
        <v>275</v>
      </c>
      <c r="K26" s="207"/>
      <c r="L26" s="207"/>
      <c r="M26" s="207"/>
      <c r="N26" s="207"/>
      <c r="O26" s="207"/>
      <c r="P26" s="207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 x14ac:dyDescent="0.4">
      <c r="A27" s="11"/>
      <c r="B27" s="268" t="s">
        <v>280</v>
      </c>
      <c r="C27" s="269"/>
      <c r="D27" s="269"/>
      <c r="E27" s="269"/>
      <c r="F27" s="269"/>
      <c r="G27" s="269"/>
      <c r="H27" s="270"/>
      <c r="I27" s="11"/>
      <c r="J27" s="333" t="s">
        <v>281</v>
      </c>
      <c r="K27" s="334"/>
      <c r="L27" s="334"/>
      <c r="M27" s="334"/>
      <c r="N27" s="334"/>
      <c r="O27" s="300"/>
      <c r="P27" s="266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 x14ac:dyDescent="0.4">
      <c r="A28" s="11"/>
      <c r="B28" s="302" t="s">
        <v>266</v>
      </c>
      <c r="C28" s="335" t="s">
        <v>308</v>
      </c>
      <c r="D28" s="302" t="s">
        <v>33</v>
      </c>
      <c r="E28" s="335" t="s">
        <v>269</v>
      </c>
      <c r="F28" s="302" t="s">
        <v>267</v>
      </c>
      <c r="G28" s="301" t="s">
        <v>271</v>
      </c>
      <c r="H28" s="336" t="s">
        <v>315</v>
      </c>
      <c r="I28" s="11"/>
      <c r="J28" s="299" t="s">
        <v>266</v>
      </c>
      <c r="K28" s="266" t="s">
        <v>33</v>
      </c>
      <c r="L28" s="271" t="s">
        <v>265</v>
      </c>
      <c r="M28" s="292" t="s">
        <v>269</v>
      </c>
      <c r="N28" s="299" t="s">
        <v>267</v>
      </c>
      <c r="O28" s="299" t="s">
        <v>271</v>
      </c>
      <c r="P28" s="336" t="s">
        <v>315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ht="15" thickBot="1" x14ac:dyDescent="0.4">
      <c r="A29" t="s">
        <v>212</v>
      </c>
      <c r="B29" s="280">
        <v>220</v>
      </c>
      <c r="C29" s="291">
        <v>320</v>
      </c>
      <c r="D29" s="297" t="s">
        <v>169</v>
      </c>
      <c r="E29" s="291">
        <v>0.1</v>
      </c>
      <c r="F29" s="292">
        <v>2</v>
      </c>
      <c r="G29" s="292" t="s">
        <v>277</v>
      </c>
      <c r="H29" s="299" t="s">
        <v>318</v>
      </c>
      <c r="I29" s="11"/>
      <c r="J29" s="280"/>
      <c r="K29" s="274" t="s">
        <v>173</v>
      </c>
      <c r="L29" s="207">
        <v>2</v>
      </c>
      <c r="M29" s="291">
        <v>0.1</v>
      </c>
      <c r="N29" s="291">
        <v>2</v>
      </c>
      <c r="O29" s="299" t="s">
        <v>278</v>
      </c>
      <c r="P29" s="299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35">
      <c r="A30" t="s">
        <v>232</v>
      </c>
      <c r="B30" s="181">
        <v>230</v>
      </c>
      <c r="C30" s="207">
        <v>330</v>
      </c>
      <c r="D30" s="274" t="s">
        <v>169</v>
      </c>
      <c r="E30" s="207">
        <v>0.1</v>
      </c>
      <c r="F30" s="293">
        <v>2</v>
      </c>
      <c r="G30" s="293" t="s">
        <v>276</v>
      </c>
      <c r="H30" s="299" t="s">
        <v>318</v>
      </c>
      <c r="I30" s="11"/>
      <c r="J30" s="181"/>
      <c r="K30" s="274" t="s">
        <v>173</v>
      </c>
      <c r="L30" s="207">
        <v>1</v>
      </c>
      <c r="M30" s="207">
        <v>0.2</v>
      </c>
      <c r="N30" s="207">
        <v>2</v>
      </c>
      <c r="O30" s="301" t="s">
        <v>278</v>
      </c>
      <c r="P30" s="30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35">
      <c r="A31" s="11"/>
      <c r="B31" s="181"/>
      <c r="C31" s="207"/>
      <c r="D31" s="274"/>
      <c r="E31" s="207"/>
      <c r="F31" s="293"/>
      <c r="G31" s="293"/>
      <c r="H31" s="301"/>
      <c r="I31" s="11"/>
      <c r="J31" s="181"/>
      <c r="K31" s="274"/>
      <c r="L31" s="207"/>
      <c r="M31" s="207"/>
      <c r="N31" s="207"/>
      <c r="O31" s="301"/>
      <c r="P31" s="30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35">
      <c r="A32" s="11"/>
      <c r="B32" s="181"/>
      <c r="C32" s="11"/>
      <c r="D32" s="274"/>
      <c r="E32" s="207"/>
      <c r="F32" s="293"/>
      <c r="G32" s="293"/>
      <c r="H32" s="301"/>
      <c r="I32" s="11"/>
      <c r="J32" s="181"/>
      <c r="K32" s="274"/>
      <c r="L32" s="207"/>
      <c r="M32" s="207"/>
      <c r="N32" s="207"/>
      <c r="O32" s="301"/>
      <c r="P32" s="30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35">
      <c r="A33" s="11"/>
      <c r="B33" s="181"/>
      <c r="C33" s="11"/>
      <c r="D33" s="274"/>
      <c r="E33" s="207"/>
      <c r="F33" s="293"/>
      <c r="G33" s="293"/>
      <c r="H33" s="301"/>
      <c r="I33" s="11"/>
      <c r="J33" s="181"/>
      <c r="K33" s="274"/>
      <c r="L33" s="207"/>
      <c r="M33" s="207"/>
      <c r="N33" s="207"/>
      <c r="O33" s="301"/>
      <c r="P33" s="30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35">
      <c r="A34" s="11"/>
      <c r="B34" s="181"/>
      <c r="C34" s="11"/>
      <c r="D34" s="274"/>
      <c r="E34" s="207"/>
      <c r="F34" s="293"/>
      <c r="G34" s="293"/>
      <c r="H34" s="301"/>
      <c r="I34" s="11"/>
      <c r="J34" s="181"/>
      <c r="K34" s="274"/>
      <c r="L34" s="207"/>
      <c r="M34" s="207"/>
      <c r="N34" s="207"/>
      <c r="O34" s="301"/>
      <c r="P34" s="30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35">
      <c r="A35" s="11"/>
      <c r="B35" s="181"/>
      <c r="C35" s="11"/>
      <c r="D35" s="274"/>
      <c r="E35" s="207"/>
      <c r="F35" s="293"/>
      <c r="G35" s="293"/>
      <c r="H35" s="301"/>
      <c r="I35" s="11"/>
      <c r="J35" s="181"/>
      <c r="K35" s="274"/>
      <c r="L35" s="207"/>
      <c r="M35" s="207"/>
      <c r="N35" s="207"/>
      <c r="O35" s="301"/>
      <c r="P35" s="30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35">
      <c r="A36" s="11"/>
      <c r="B36" s="181"/>
      <c r="C36" s="11"/>
      <c r="D36" s="274"/>
      <c r="E36" s="207"/>
      <c r="F36" s="293"/>
      <c r="G36" s="293"/>
      <c r="H36" s="301"/>
      <c r="I36" s="11"/>
      <c r="J36" s="181"/>
      <c r="K36" s="274"/>
      <c r="L36" s="207"/>
      <c r="M36" s="207"/>
      <c r="N36" s="207"/>
      <c r="O36" s="301"/>
      <c r="P36" s="30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35">
      <c r="A37" s="11"/>
      <c r="B37" s="181"/>
      <c r="C37" s="11"/>
      <c r="D37" s="274"/>
      <c r="E37" s="207"/>
      <c r="F37" s="293"/>
      <c r="G37" s="293"/>
      <c r="H37" s="301"/>
      <c r="I37" s="11"/>
      <c r="J37" s="181"/>
      <c r="K37" s="274"/>
      <c r="L37" s="207"/>
      <c r="M37" s="207"/>
      <c r="N37" s="207"/>
      <c r="O37" s="301"/>
      <c r="P37" s="30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35">
      <c r="A38" s="11"/>
      <c r="B38" s="181"/>
      <c r="C38" s="11"/>
      <c r="D38" s="274"/>
      <c r="E38" s="207"/>
      <c r="F38" s="293"/>
      <c r="G38" s="293"/>
      <c r="H38" s="301"/>
      <c r="I38" s="11"/>
      <c r="J38" s="181"/>
      <c r="K38" s="274"/>
      <c r="L38" s="207"/>
      <c r="M38" s="207"/>
      <c r="N38" s="207"/>
      <c r="O38" s="301"/>
      <c r="P38" s="30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35">
      <c r="B39" s="329"/>
      <c r="C39" s="11"/>
      <c r="D39" s="274"/>
      <c r="E39" s="207"/>
      <c r="F39" s="293"/>
      <c r="G39" s="293"/>
      <c r="H39" s="301"/>
      <c r="I39" s="11"/>
      <c r="J39" s="181"/>
      <c r="K39" s="274"/>
      <c r="L39" s="207"/>
      <c r="M39" s="207"/>
      <c r="N39" s="207"/>
      <c r="O39" s="301"/>
      <c r="P39" s="30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35">
      <c r="B40" s="181"/>
      <c r="C40" s="11"/>
      <c r="D40" s="274"/>
      <c r="E40" s="207"/>
      <c r="F40" s="293"/>
      <c r="G40" s="293"/>
      <c r="H40" s="301"/>
      <c r="I40" s="11"/>
      <c r="J40" s="181"/>
      <c r="K40" s="274"/>
      <c r="L40" s="207"/>
      <c r="M40" s="207"/>
      <c r="N40" s="207"/>
      <c r="O40" s="301"/>
      <c r="P40" s="30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 x14ac:dyDescent="0.4">
      <c r="A41" s="11"/>
      <c r="B41" s="287"/>
      <c r="C41" s="93"/>
      <c r="D41" s="162"/>
      <c r="E41" s="162"/>
      <c r="F41" s="294"/>
      <c r="G41" s="294"/>
      <c r="H41" s="302"/>
      <c r="I41" s="11"/>
      <c r="J41" s="287"/>
      <c r="K41" s="162"/>
      <c r="L41" s="162"/>
      <c r="M41" s="162"/>
      <c r="N41" s="162"/>
      <c r="O41" s="302"/>
      <c r="P41" s="302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35">
      <c r="A42" s="11"/>
      <c r="B42" s="11"/>
      <c r="C42" s="11"/>
      <c r="D42" s="11"/>
      <c r="E42" s="11"/>
      <c r="F42" s="11"/>
      <c r="G42" s="207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 x14ac:dyDescent="0.4">
      <c r="A45" s="11"/>
      <c r="B45" s="310" t="s">
        <v>274</v>
      </c>
      <c r="C45" s="11"/>
      <c r="D45" s="11"/>
      <c r="E45" s="11"/>
      <c r="F45" s="11"/>
      <c r="G45" s="11"/>
      <c r="H45" s="11"/>
      <c r="I45" s="310" t="s">
        <v>286</v>
      </c>
      <c r="J45" s="11"/>
      <c r="K45" s="11"/>
      <c r="L45" s="11"/>
      <c r="M45" s="11"/>
      <c r="O45" s="310" t="s">
        <v>287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 x14ac:dyDescent="0.4">
      <c r="A46" s="11"/>
      <c r="B46" s="393" t="s">
        <v>272</v>
      </c>
      <c r="C46" s="394"/>
      <c r="D46" s="394"/>
      <c r="E46" s="394"/>
      <c r="F46" s="395"/>
      <c r="G46" s="265"/>
      <c r="H46" s="11"/>
      <c r="I46" s="393" t="s">
        <v>288</v>
      </c>
      <c r="J46" s="394"/>
      <c r="K46" s="394"/>
      <c r="L46" s="395"/>
      <c r="M46" s="321"/>
      <c r="O46" s="333" t="s">
        <v>289</v>
      </c>
      <c r="P46" s="334"/>
      <c r="Q46" s="334"/>
      <c r="R46" s="300"/>
      <c r="S46" s="321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 x14ac:dyDescent="0.4">
      <c r="A47" s="11"/>
      <c r="B47" s="299" t="s">
        <v>266</v>
      </c>
      <c r="C47" s="299" t="s">
        <v>33</v>
      </c>
      <c r="D47" s="292" t="s">
        <v>269</v>
      </c>
      <c r="E47" s="299" t="s">
        <v>267</v>
      </c>
      <c r="F47" s="299" t="s">
        <v>271</v>
      </c>
      <c r="G47" s="336" t="s">
        <v>315</v>
      </c>
      <c r="H47" s="11"/>
      <c r="I47" s="299" t="s">
        <v>266</v>
      </c>
      <c r="J47" s="292" t="s">
        <v>269</v>
      </c>
      <c r="K47" s="299" t="s">
        <v>267</v>
      </c>
      <c r="L47" s="299" t="s">
        <v>271</v>
      </c>
      <c r="M47" s="336" t="s">
        <v>315</v>
      </c>
      <c r="O47" s="266" t="s">
        <v>266</v>
      </c>
      <c r="P47" s="270" t="s">
        <v>269</v>
      </c>
      <c r="Q47" s="266" t="s">
        <v>267</v>
      </c>
      <c r="R47" s="299" t="s">
        <v>271</v>
      </c>
      <c r="S47" s="336" t="s">
        <v>315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35">
      <c r="A48" s="11"/>
      <c r="B48" s="280"/>
      <c r="C48" s="297" t="s">
        <v>284</v>
      </c>
      <c r="D48" s="291">
        <v>0.2</v>
      </c>
      <c r="E48" s="291">
        <v>3</v>
      </c>
      <c r="F48" s="299" t="s">
        <v>277</v>
      </c>
      <c r="G48" s="299" t="s">
        <v>317</v>
      </c>
      <c r="H48" s="11"/>
      <c r="I48" s="280"/>
      <c r="J48" s="291">
        <v>0</v>
      </c>
      <c r="K48" s="292">
        <v>3</v>
      </c>
      <c r="L48" s="299" t="s">
        <v>276</v>
      </c>
      <c r="M48" s="299" t="s">
        <v>314</v>
      </c>
      <c r="O48" s="280">
        <v>2000</v>
      </c>
      <c r="P48" s="291">
        <v>0.4</v>
      </c>
      <c r="Q48" s="292">
        <v>3</v>
      </c>
      <c r="R48" s="299" t="s">
        <v>277</v>
      </c>
      <c r="S48" s="299" t="s">
        <v>317</v>
      </c>
      <c r="T48" s="338"/>
      <c r="U48" s="11"/>
      <c r="V48" s="11"/>
      <c r="W48" s="11"/>
      <c r="X48" s="11"/>
      <c r="Y48" s="11"/>
      <c r="Z48" s="11"/>
      <c r="AA48" s="11"/>
      <c r="AB48" s="11"/>
    </row>
    <row r="49" spans="1:30" x14ac:dyDescent="0.35">
      <c r="A49" s="11"/>
      <c r="B49" s="181"/>
      <c r="C49" s="274"/>
      <c r="D49" s="207"/>
      <c r="E49" s="207"/>
      <c r="F49" s="301"/>
      <c r="G49" s="301" t="s">
        <v>314</v>
      </c>
      <c r="H49" s="11"/>
      <c r="I49" s="181"/>
      <c r="J49" s="207"/>
      <c r="K49" s="293"/>
      <c r="L49" s="301"/>
      <c r="M49" s="301" t="s">
        <v>314</v>
      </c>
      <c r="O49" s="181">
        <v>3000</v>
      </c>
      <c r="P49" s="207">
        <v>0.4</v>
      </c>
      <c r="Q49" s="293">
        <v>3</v>
      </c>
      <c r="R49" s="301" t="s">
        <v>278</v>
      </c>
      <c r="T49" s="207"/>
      <c r="U49" s="11"/>
      <c r="V49" s="11"/>
      <c r="W49" s="11"/>
      <c r="X49" s="11"/>
      <c r="Y49" s="11"/>
      <c r="Z49" s="11"/>
      <c r="AA49" s="11"/>
      <c r="AB49" s="11"/>
    </row>
    <row r="50" spans="1:30" x14ac:dyDescent="0.35">
      <c r="A50" s="11"/>
      <c r="B50" s="181"/>
      <c r="C50" s="274"/>
      <c r="D50" s="207"/>
      <c r="E50" s="207"/>
      <c r="F50" s="301"/>
      <c r="G50" s="301"/>
      <c r="H50" s="11"/>
      <c r="I50" s="181"/>
      <c r="J50" s="207"/>
      <c r="K50" s="293"/>
      <c r="L50" s="301"/>
      <c r="M50" s="301"/>
      <c r="O50" s="181"/>
      <c r="P50" s="207"/>
      <c r="Q50" s="293"/>
      <c r="R50" s="301"/>
      <c r="S50" s="301"/>
      <c r="T50" s="207"/>
      <c r="U50" s="11"/>
      <c r="V50" s="11"/>
      <c r="W50" s="11"/>
      <c r="X50" s="11"/>
      <c r="Y50" s="11"/>
      <c r="Z50" s="11"/>
      <c r="AA50" s="11"/>
      <c r="AB50" s="11"/>
    </row>
    <row r="51" spans="1:30" ht="15" thickBot="1" x14ac:dyDescent="0.4">
      <c r="A51" s="11"/>
      <c r="B51" s="181"/>
      <c r="C51" s="274"/>
      <c r="D51" s="207"/>
      <c r="E51" s="207"/>
      <c r="F51" s="301"/>
      <c r="G51" s="301"/>
      <c r="H51" s="11"/>
      <c r="I51" s="181"/>
      <c r="J51" s="207"/>
      <c r="K51" s="293"/>
      <c r="L51" s="301"/>
      <c r="M51" s="301"/>
      <c r="O51" s="181"/>
      <c r="P51" s="207"/>
      <c r="Q51" s="293"/>
      <c r="R51" s="301"/>
      <c r="S51" s="301"/>
      <c r="T51" s="207"/>
      <c r="U51" s="11"/>
      <c r="V51" s="11"/>
      <c r="W51" s="11"/>
      <c r="X51" s="11"/>
      <c r="Y51" s="11"/>
      <c r="Z51" s="11"/>
      <c r="AA51" s="11"/>
      <c r="AB51" s="11"/>
    </row>
    <row r="52" spans="1:30" x14ac:dyDescent="0.35">
      <c r="A52" s="11"/>
      <c r="B52" s="181"/>
      <c r="C52" s="274"/>
      <c r="D52" s="207"/>
      <c r="E52" s="207"/>
      <c r="F52" s="301"/>
      <c r="G52" s="301"/>
      <c r="H52" s="11"/>
      <c r="I52" s="181"/>
      <c r="J52" s="207"/>
      <c r="K52" s="293"/>
      <c r="L52" s="301"/>
      <c r="M52" s="301"/>
      <c r="O52" s="181"/>
      <c r="P52" s="207"/>
      <c r="Q52" s="293"/>
      <c r="R52" s="301"/>
      <c r="S52" s="299" t="s">
        <v>316</v>
      </c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35">
      <c r="A53" s="11"/>
      <c r="B53" s="181"/>
      <c r="C53" s="274"/>
      <c r="D53" s="207"/>
      <c r="E53" s="207"/>
      <c r="F53" s="301"/>
      <c r="G53" s="301"/>
      <c r="H53" s="11"/>
      <c r="I53" s="181"/>
      <c r="J53" s="207"/>
      <c r="K53" s="293"/>
      <c r="L53" s="301"/>
      <c r="M53" s="301"/>
      <c r="O53" s="181"/>
      <c r="P53" s="207"/>
      <c r="Q53" s="293"/>
      <c r="R53" s="301"/>
      <c r="S53" s="301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35">
      <c r="A54" s="11"/>
      <c r="B54" s="181"/>
      <c r="C54" s="274"/>
      <c r="D54" s="207"/>
      <c r="E54" s="207"/>
      <c r="F54" s="301"/>
      <c r="G54" s="301"/>
      <c r="H54" s="11"/>
      <c r="I54" s="181"/>
      <c r="J54" s="207"/>
      <c r="K54" s="293"/>
      <c r="L54" s="301"/>
      <c r="M54" s="301"/>
      <c r="O54" s="181"/>
      <c r="P54" s="207"/>
      <c r="Q54" s="293"/>
      <c r="R54" s="301"/>
      <c r="S54" s="301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35">
      <c r="A55" s="11"/>
      <c r="B55" s="181"/>
      <c r="C55" s="274"/>
      <c r="D55" s="207"/>
      <c r="E55" s="207"/>
      <c r="F55" s="301"/>
      <c r="G55" s="301"/>
      <c r="H55" s="11"/>
      <c r="I55" s="181"/>
      <c r="J55" s="207"/>
      <c r="K55" s="293"/>
      <c r="L55" s="301"/>
      <c r="M55" s="301"/>
      <c r="O55" s="181"/>
      <c r="P55" s="207"/>
      <c r="Q55" s="293"/>
      <c r="R55" s="301"/>
      <c r="S55" s="301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35">
      <c r="A56" s="11"/>
      <c r="B56" s="181"/>
      <c r="C56" s="274"/>
      <c r="D56" s="207"/>
      <c r="E56" s="207"/>
      <c r="F56" s="301"/>
      <c r="G56" s="301"/>
      <c r="H56" s="11"/>
      <c r="I56" s="181"/>
      <c r="J56" s="207"/>
      <c r="K56" s="293"/>
      <c r="L56" s="301"/>
      <c r="M56" s="301"/>
      <c r="O56" s="181"/>
      <c r="P56" s="207"/>
      <c r="Q56" s="293"/>
      <c r="R56" s="301"/>
      <c r="S56" s="301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35">
      <c r="A57" s="11"/>
      <c r="B57" s="181"/>
      <c r="C57" s="274"/>
      <c r="D57" s="207"/>
      <c r="E57" s="207"/>
      <c r="F57" s="301"/>
      <c r="G57" s="301"/>
      <c r="H57" s="11"/>
      <c r="I57" s="181"/>
      <c r="J57" s="207"/>
      <c r="K57" s="293"/>
      <c r="L57" s="301"/>
      <c r="M57" s="301"/>
      <c r="O57" s="181"/>
      <c r="P57" s="207"/>
      <c r="Q57" s="293"/>
      <c r="R57" s="301"/>
      <c r="S57" s="301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35">
      <c r="A58" s="11"/>
      <c r="B58" s="181"/>
      <c r="C58" s="274"/>
      <c r="D58" s="207"/>
      <c r="E58" s="207"/>
      <c r="F58" s="301"/>
      <c r="G58" s="301"/>
      <c r="H58" s="11"/>
      <c r="I58" s="181"/>
      <c r="J58" s="207"/>
      <c r="K58" s="293"/>
      <c r="L58" s="301"/>
      <c r="M58" s="301"/>
      <c r="O58" s="181"/>
      <c r="P58" s="207"/>
      <c r="Q58" s="293"/>
      <c r="R58" s="301"/>
      <c r="S58" s="301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35">
      <c r="A59" s="11"/>
      <c r="B59" s="181"/>
      <c r="C59" s="274"/>
      <c r="D59" s="207"/>
      <c r="E59" s="207"/>
      <c r="F59" s="301"/>
      <c r="G59" s="301"/>
      <c r="H59" s="11"/>
      <c r="I59" s="181"/>
      <c r="J59" s="207"/>
      <c r="K59" s="293"/>
      <c r="L59" s="301"/>
      <c r="M59" s="301"/>
      <c r="O59" s="181"/>
      <c r="P59" s="207"/>
      <c r="Q59" s="293"/>
      <c r="R59" s="301"/>
      <c r="S59" s="301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 x14ac:dyDescent="0.4">
      <c r="A60" s="11"/>
      <c r="B60" s="287"/>
      <c r="C60" s="298"/>
      <c r="D60" s="162"/>
      <c r="E60" s="162"/>
      <c r="F60" s="302"/>
      <c r="G60" s="302"/>
      <c r="H60" s="11"/>
      <c r="I60" s="287"/>
      <c r="J60" s="162"/>
      <c r="K60" s="294"/>
      <c r="L60" s="302"/>
      <c r="M60" s="302"/>
      <c r="O60" s="287"/>
      <c r="P60" s="162"/>
      <c r="Q60" s="294"/>
      <c r="R60" s="302"/>
      <c r="S60" s="302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3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35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35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35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35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x14ac:dyDescent="0.35">
      <c r="B67" t="s">
        <v>313</v>
      </c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</sheetData>
  <mergeCells count="4">
    <mergeCell ref="B3:C3"/>
    <mergeCell ref="B9:F9"/>
    <mergeCell ref="B46:F46"/>
    <mergeCell ref="I46:L46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45F0EF3-B021-4170-8ADC-98224F42F710}">
          <x14:formula1>
            <xm:f>Systemblatt!$F$5:$F$17</xm:f>
          </x14:formula1>
          <xm:sqref>K11:K12 D29:D30 K29:K30 C48</xm:sqref>
        </x14:dataValidation>
        <x14:dataValidation type="list" allowBlank="1" showInputMessage="1" showErrorMessage="1" xr:uid="{28ED3534-5914-4DAD-BEAF-F76BA28652A3}">
          <x14:formula1>
            <xm:f>Pools!$D$7:$Q$7</xm:f>
          </x14:formula1>
          <xm:sqref>O48:O49</xm:sqref>
        </x14:dataValidation>
        <x14:dataValidation type="list" allowBlank="1" showInputMessage="1" showErrorMessage="1" xr:uid="{FA889F0F-1341-43AB-B0F4-6A43D7A24E32}">
          <x14:formula1>
            <xm:f>Systemblatt!$N$5:$N$9</xm:f>
          </x14:formula1>
          <xm:sqref>L11 L29:L30</xm:sqref>
        </x14:dataValidation>
        <x14:dataValidation type="list" allowBlank="1" showInputMessage="1" showErrorMessage="1" xr:uid="{9BC06F32-CB2A-4087-BE11-CBC60FDED132}">
          <x14:formula1>
            <xm:f>DataBank!$U$17:$U$19</xm:f>
          </x14:formula1>
          <xm:sqref>F11:F12 O11:O12 O29:O30 F48 R48:R49 L48</xm:sqref>
        </x14:dataValidation>
        <x14:dataValidation type="list" allowBlank="1" showInputMessage="1" showErrorMessage="1" xr:uid="{B201B459-4488-4EE7-BDBD-77BBFD6EB1B1}">
          <x14:formula1>
            <xm:f>Sources!$D$14:$D$21</xm:f>
          </x14:formula1>
          <xm:sqref>C11:C12</xm:sqref>
        </x14:dataValidation>
        <x14:dataValidation type="list" allowBlank="1" showInputMessage="1" showErrorMessage="1" xr:uid="{D94C3E92-DF24-470B-9C27-ECA79D33EEDC}">
          <x14:formula1>
            <xm:f>DataBank!$M$17:$M$19</xm:f>
          </x14:formula1>
          <xm:sqref>C4</xm:sqref>
        </x14:dataValidation>
        <x14:dataValidation type="list" allowBlank="1" showInputMessage="1" showErrorMessage="1" xr:uid="{37CD082C-2AA2-4E1A-895E-DDC46643805C}">
          <x14:formula1>
            <xm:f>DataBank!$O$17:$O$18</xm:f>
          </x14:formula1>
          <xm:sqref>C5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C0A6C-4743-4FFE-BD33-048604A28EA1}">
  <sheetPr codeName="Tabelle12"/>
  <dimension ref="A1:AO137"/>
  <sheetViews>
    <sheetView tabSelected="1" topLeftCell="U1" zoomScale="76" zoomScaleNormal="60" workbookViewId="0">
      <selection activeCell="AH9" sqref="AH9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7" width="15.26953125" style="3" customWidth="1"/>
    <col min="18" max="18" width="17.81640625" style="3" bestFit="1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4" width="19.453125" style="3" bestFit="1" customWidth="1"/>
    <col min="25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35">
      <c r="A6" s="5"/>
      <c r="B6" s="5"/>
      <c r="C6" s="85"/>
      <c r="D6" s="377"/>
      <c r="E6" s="377"/>
      <c r="F6" s="5"/>
      <c r="G6" s="5"/>
      <c r="H6" s="377"/>
      <c r="I6" s="377"/>
      <c r="J6" s="15"/>
      <c r="K6" s="15"/>
      <c r="L6" s="5"/>
      <c r="M6" s="377"/>
      <c r="N6" s="377"/>
      <c r="O6" s="377"/>
      <c r="P6" s="377"/>
      <c r="Q6" s="5"/>
      <c r="R6" s="5"/>
      <c r="S6" s="378"/>
      <c r="T6" s="378"/>
      <c r="U6" s="378"/>
      <c r="V6" s="378"/>
      <c r="W6" s="378"/>
      <c r="X6" s="378"/>
      <c r="Y6" s="378"/>
      <c r="Z6" s="378"/>
      <c r="AA6" s="378"/>
      <c r="AB6" s="378"/>
      <c r="AC6" s="378"/>
      <c r="AD6" s="378"/>
      <c r="AE6" s="378"/>
      <c r="AF6" s="378"/>
      <c r="AG6" s="11"/>
      <c r="AH6" s="11"/>
      <c r="AI6" s="11"/>
      <c r="AJ6" s="11"/>
      <c r="AK6" s="86"/>
      <c r="AL6" s="5"/>
      <c r="AM6" s="5"/>
      <c r="AN6" s="5"/>
      <c r="AO6" s="5"/>
    </row>
    <row r="7" spans="1:41" ht="15" thickBot="1" x14ac:dyDescent="0.4">
      <c r="A7" s="5"/>
      <c r="B7" s="5"/>
      <c r="C7" s="85"/>
      <c r="AK7" s="86"/>
      <c r="AL7" s="5"/>
      <c r="AM7" s="5"/>
      <c r="AN7" s="5"/>
      <c r="AO7" s="5"/>
    </row>
    <row r="8" spans="1:41" ht="24" thickBot="1" x14ac:dyDescent="0.6">
      <c r="A8" s="5"/>
      <c r="B8" s="5"/>
      <c r="C8" s="85"/>
      <c r="D8" s="358" t="s">
        <v>50</v>
      </c>
      <c r="E8" s="359"/>
      <c r="F8" s="360"/>
      <c r="G8" s="5"/>
      <c r="H8" s="361" t="s">
        <v>51</v>
      </c>
      <c r="I8" s="362"/>
      <c r="J8" s="363"/>
      <c r="K8" s="5"/>
      <c r="L8" s="5"/>
      <c r="M8" s="317" t="s">
        <v>70</v>
      </c>
      <c r="N8" s="318"/>
      <c r="O8" s="318"/>
      <c r="P8" s="318"/>
      <c r="Q8" s="319"/>
      <c r="R8" s="5"/>
      <c r="S8" s="311" t="s">
        <v>76</v>
      </c>
      <c r="T8" s="312"/>
      <c r="U8" s="313"/>
      <c r="V8" s="12"/>
      <c r="W8" s="314" t="s">
        <v>106</v>
      </c>
      <c r="X8" s="315"/>
      <c r="Y8" s="315"/>
      <c r="Z8" s="316"/>
      <c r="AA8" s="11"/>
      <c r="AB8" s="314" t="s">
        <v>83</v>
      </c>
      <c r="AC8" s="315"/>
      <c r="AD8" s="315"/>
      <c r="AE8" s="315"/>
      <c r="AF8" s="316"/>
      <c r="AG8" s="11"/>
      <c r="AH8" s="314" t="s">
        <v>7</v>
      </c>
      <c r="AI8" s="315"/>
      <c r="AJ8" s="316"/>
      <c r="AK8" s="86"/>
      <c r="AL8" s="5"/>
      <c r="AM8" s="5"/>
      <c r="AN8" s="5"/>
      <c r="AO8" s="5"/>
    </row>
    <row r="9" spans="1:41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6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5" x14ac:dyDescent="0.45">
      <c r="A10" s="5"/>
      <c r="B10" s="5"/>
      <c r="C10" s="85"/>
      <c r="D10" s="66" t="s">
        <v>1</v>
      </c>
      <c r="E10" s="67" t="s">
        <v>303</v>
      </c>
      <c r="F10" s="213" t="s">
        <v>178</v>
      </c>
      <c r="G10" s="5"/>
      <c r="H10" s="66" t="s">
        <v>2</v>
      </c>
      <c r="I10" s="67"/>
      <c r="J10" s="95" t="s">
        <v>178</v>
      </c>
      <c r="K10" s="17"/>
      <c r="L10" s="5"/>
      <c r="M10" s="66" t="s">
        <v>73</v>
      </c>
      <c r="N10" s="178">
        <v>2</v>
      </c>
      <c r="O10" s="178"/>
      <c r="P10" s="179"/>
      <c r="Q10" s="180"/>
      <c r="R10" s="5" t="s">
        <v>194</v>
      </c>
      <c r="S10" s="102">
        <v>4000</v>
      </c>
      <c r="T10" s="103" t="s">
        <v>284</v>
      </c>
      <c r="U10" s="104">
        <v>1</v>
      </c>
      <c r="V10" s="105"/>
      <c r="W10" s="137">
        <v>11</v>
      </c>
      <c r="X10" s="82">
        <v>4000</v>
      </c>
      <c r="Y10" s="138"/>
      <c r="Z10" s="136"/>
      <c r="AA10" s="74"/>
      <c r="AB10" s="102"/>
      <c r="AC10" s="103"/>
      <c r="AD10" s="103"/>
      <c r="AE10" s="103"/>
      <c r="AF10" s="69"/>
      <c r="AG10" s="119"/>
      <c r="AH10" s="139" t="s">
        <v>284</v>
      </c>
      <c r="AI10" s="82">
        <v>0.11</v>
      </c>
      <c r="AJ10" s="163" t="s">
        <v>14</v>
      </c>
      <c r="AK10" s="86"/>
      <c r="AL10" s="5"/>
      <c r="AM10" s="5"/>
      <c r="AN10" s="5"/>
      <c r="AO10" s="5"/>
    </row>
    <row r="11" spans="1:41" ht="19" thickBot="1" x14ac:dyDescent="0.5">
      <c r="A11" s="5"/>
      <c r="B11" s="5"/>
      <c r="C11" s="85"/>
      <c r="D11" s="68" t="s">
        <v>3</v>
      </c>
      <c r="E11" s="69">
        <v>555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78"/>
      <c r="L11" s="78"/>
      <c r="M11" s="75" t="s">
        <v>74</v>
      </c>
      <c r="N11" s="124" t="s">
        <v>12</v>
      </c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5" x14ac:dyDescent="0.45">
      <c r="A12" s="5"/>
      <c r="B12" s="5"/>
      <c r="C12" s="85"/>
      <c r="D12" s="68" t="s">
        <v>40</v>
      </c>
      <c r="E12" s="259" t="s">
        <v>226</v>
      </c>
      <c r="F12" s="213" t="s">
        <v>178</v>
      </c>
      <c r="G12" s="5"/>
      <c r="H12" s="68" t="s">
        <v>66</v>
      </c>
      <c r="I12" s="104">
        <v>1</v>
      </c>
      <c r="J12" s="86" t="str">
        <f>J15</f>
        <v>t/h</v>
      </c>
      <c r="K12" s="78"/>
      <c r="L12" s="78"/>
      <c r="M12" s="246" t="s">
        <v>75</v>
      </c>
      <c r="N12" s="254" t="s">
        <v>173</v>
      </c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0.2</v>
      </c>
      <c r="J13" s="86" t="s">
        <v>178</v>
      </c>
      <c r="K13" s="78"/>
      <c r="L13" s="78"/>
      <c r="M13" s="247"/>
      <c r="N13" s="125" t="s">
        <v>169</v>
      </c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78"/>
      <c r="L14" s="78"/>
      <c r="M14" s="248"/>
      <c r="N14" s="108" t="s">
        <v>172</v>
      </c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173</v>
      </c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75"/>
      <c r="I17" s="242" t="s">
        <v>169</v>
      </c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242" t="s">
        <v>172</v>
      </c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5" x14ac:dyDescent="0.45">
      <c r="A24" s="5"/>
      <c r="B24" s="5"/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5" x14ac:dyDescent="0.45">
      <c r="A25" s="5"/>
      <c r="B25" s="5"/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" thickBot="1" x14ac:dyDescent="0.5">
      <c r="A26" s="5"/>
      <c r="B26" s="5"/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" thickBot="1" x14ac:dyDescent="0.5">
      <c r="A27" s="5"/>
      <c r="B27" s="5"/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3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3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5" x14ac:dyDescent="0.3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5" x14ac:dyDescent="0.3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5" x14ac:dyDescent="0.3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5" x14ac:dyDescent="0.3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5" x14ac:dyDescent="0.3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5" x14ac:dyDescent="0.3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5" x14ac:dyDescent="0.3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5" x14ac:dyDescent="0.3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3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" thickBot="1" x14ac:dyDescent="0.4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6">
    <mergeCell ref="D6:E6"/>
    <mergeCell ref="H6:I6"/>
    <mergeCell ref="M6:P6"/>
    <mergeCell ref="S6:AF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AF91ADB5-D55F-465B-AB9A-1B8852CCF633}">
          <x14:formula1>
            <xm:f>DataBank!$A$3:$A$11</xm:f>
          </x14:formula1>
          <xm:sqref>N11</xm:sqref>
        </x14:dataValidation>
        <x14:dataValidation type="list" allowBlank="1" showInputMessage="1" showErrorMessage="1" xr:uid="{2B502081-4938-45BC-97BA-4B89C6F5D82A}">
          <x14:formula1>
            <xm:f>Sources!$E$6:$O$6</xm:f>
          </x14:formula1>
          <xm:sqref>O13:Q13</xm:sqref>
        </x14:dataValidation>
        <x14:dataValidation type="list" allowBlank="1" showInputMessage="1" showErrorMessage="1" xr:uid="{58C2537A-A72F-4BEF-9473-72268FC8E19E}">
          <x14:formula1>
            <xm:f>DataBank!$B$2:$B$3</xm:f>
          </x14:formula1>
          <xm:sqref>J15</xm:sqref>
        </x14:dataValidation>
        <x14:dataValidation type="list" allowBlank="1" showInputMessage="1" showErrorMessage="1" xr:uid="{08A55661-1EFB-47D8-852D-B1BCC5252CB2}">
          <x14:formula1>
            <xm:f>DataBank!$C$2:$C$7</xm:f>
          </x14:formula1>
          <xm:sqref>I15</xm:sqref>
        </x14:dataValidation>
        <x14:dataValidation type="list" allowBlank="1" showInputMessage="1" showErrorMessage="1" xr:uid="{D7E88136-5A5B-4950-BE64-AD4295F09CA7}">
          <x14:formula1>
            <xm:f>Sources!$E$7:$O$7</xm:f>
          </x14:formula1>
          <xm:sqref>W10:W27</xm:sqref>
        </x14:dataValidation>
        <x14:dataValidation type="list" allowBlank="1" showInputMessage="1" showErrorMessage="1" xr:uid="{2B2AED95-14B6-410B-8BC1-9282E260BE0C}">
          <x14:formula1>
            <xm:f>DataBank!$K$17:$K$18</xm:f>
          </x14:formula1>
          <xm:sqref>E26</xm:sqref>
        </x14:dataValidation>
        <x14:dataValidation type="list" allowBlank="1" showInputMessage="1" showErrorMessage="1" xr:uid="{D9C9FCEF-65C0-411A-B9B7-B33992EB2026}">
          <x14:formula1>
            <xm:f>DataBank!$A$3:$A$10</xm:f>
          </x14:formula1>
          <xm:sqref>O11:Q11</xm:sqref>
        </x14:dataValidation>
        <x14:dataValidation type="list" allowBlank="1" showInputMessage="1" showErrorMessage="1" xr:uid="{22224F39-D321-49BA-984B-58418B3D0A2C}">
          <x14:formula1>
            <xm:f>DataBank!$A$3:$A$4</xm:f>
          </x14:formula1>
          <xm:sqref>AB10 AD10</xm:sqref>
        </x14:dataValidation>
        <x14:dataValidation type="whole" allowBlank="1" showInputMessage="1" showErrorMessage="1" xr:uid="{2ECE309A-BF5C-4179-8F16-6FB49B94655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C786BFEF-22CD-4500-8AAF-69F4D8E53DC9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7F9B2EDA-0221-4236-AFD9-466DC6B29AF5}">
          <x14:formula1>
            <xm:f>Systemblatt!$F$5:$F$11</xm:f>
          </x14:formula1>
          <xm:sqref>AH28:AH30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topLeftCell="A6" zoomScale="91" zoomScaleNormal="91" workbookViewId="0">
      <selection activeCell="K36" sqref="K36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7"/>
      <c r="E6" s="357"/>
      <c r="F6" s="5"/>
      <c r="G6" s="5"/>
      <c r="H6" s="357"/>
      <c r="I6" s="357"/>
      <c r="J6" s="15"/>
      <c r="K6" s="15"/>
      <c r="L6" s="5"/>
      <c r="M6" s="357"/>
      <c r="N6" s="357"/>
      <c r="O6" s="357"/>
      <c r="P6" s="357"/>
      <c r="Q6" s="5"/>
      <c r="R6" s="5"/>
      <c r="S6" s="364"/>
      <c r="T6" s="364"/>
      <c r="U6" s="364"/>
      <c r="V6" s="364"/>
      <c r="W6" s="364"/>
      <c r="X6" s="364"/>
      <c r="Y6" s="364"/>
      <c r="Z6" s="364"/>
      <c r="AA6" s="364"/>
      <c r="AB6" s="364"/>
      <c r="AC6" s="364"/>
      <c r="AD6" s="364"/>
      <c r="AE6" s="364"/>
      <c r="AF6" s="364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8" t="s">
        <v>50</v>
      </c>
      <c r="E8" s="359"/>
      <c r="F8" s="360"/>
      <c r="G8" s="5"/>
      <c r="H8" s="361" t="s">
        <v>51</v>
      </c>
      <c r="I8" s="362"/>
      <c r="J8" s="363"/>
      <c r="K8" s="16"/>
      <c r="L8" s="5"/>
      <c r="M8" s="371" t="s">
        <v>70</v>
      </c>
      <c r="N8" s="372"/>
      <c r="O8" s="372"/>
      <c r="P8" s="372"/>
      <c r="Q8" s="373"/>
      <c r="R8" s="5"/>
      <c r="S8" s="365" t="s">
        <v>76</v>
      </c>
      <c r="T8" s="366"/>
      <c r="U8" s="367"/>
      <c r="V8" s="12"/>
      <c r="W8" s="368" t="s">
        <v>106</v>
      </c>
      <c r="X8" s="369"/>
      <c r="Y8" s="369"/>
      <c r="Z8" s="370"/>
      <c r="AA8" s="11"/>
      <c r="AB8" s="368" t="s">
        <v>83</v>
      </c>
      <c r="AC8" s="369"/>
      <c r="AD8" s="369"/>
      <c r="AE8" s="369"/>
      <c r="AF8" s="370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100" t="s">
        <v>77</v>
      </c>
      <c r="T9" s="100" t="s">
        <v>33</v>
      </c>
      <c r="U9" s="100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213</v>
      </c>
      <c r="F10" s="213" t="s">
        <v>178</v>
      </c>
      <c r="G10" s="5"/>
      <c r="H10" s="68" t="s">
        <v>2</v>
      </c>
      <c r="I10" s="69"/>
      <c r="J10" s="216" t="s">
        <v>178</v>
      </c>
      <c r="K10" s="5"/>
      <c r="L10" s="5"/>
      <c r="M10" s="66" t="s">
        <v>73</v>
      </c>
      <c r="N10" s="178">
        <v>0.5</v>
      </c>
      <c r="O10" s="178"/>
      <c r="P10" s="179"/>
      <c r="Q10" s="180"/>
      <c r="R10" s="5" t="s">
        <v>194</v>
      </c>
      <c r="S10" s="139">
        <v>888</v>
      </c>
      <c r="T10" s="140" t="s">
        <v>171</v>
      </c>
      <c r="U10" s="101">
        <v>1</v>
      </c>
      <c r="V10" s="83"/>
      <c r="W10" s="137">
        <v>11</v>
      </c>
      <c r="X10" s="82">
        <v>888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5" x14ac:dyDescent="0.45">
      <c r="A11" s="5"/>
      <c r="B11" s="5"/>
      <c r="C11" s="85"/>
      <c r="D11" s="68" t="s">
        <v>3</v>
      </c>
      <c r="E11" s="69">
        <v>100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 t="s">
        <v>12</v>
      </c>
      <c r="O11" s="124"/>
      <c r="P11" s="78"/>
      <c r="Q11" s="126"/>
      <c r="R11" s="5" t="s">
        <v>188</v>
      </c>
      <c r="S11" s="102">
        <v>888</v>
      </c>
      <c r="T11" s="103" t="s">
        <v>172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60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75" t="s">
        <v>75</v>
      </c>
      <c r="N12" s="245" t="s">
        <v>173</v>
      </c>
      <c r="O12" s="124"/>
      <c r="P12" s="78"/>
      <c r="Q12" s="126"/>
      <c r="R12" s="5"/>
      <c r="S12" s="102">
        <v>888</v>
      </c>
      <c r="T12" s="124" t="s">
        <v>173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E13" s="69"/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75"/>
      <c r="N13" s="245" t="s">
        <v>172</v>
      </c>
      <c r="O13" s="74"/>
      <c r="P13" s="74"/>
      <c r="Q13" s="69"/>
      <c r="R13" s="5"/>
      <c r="S13" s="102">
        <v>888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20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76"/>
      <c r="N14" s="78" t="s">
        <v>171</v>
      </c>
      <c r="O14" s="78"/>
      <c r="P14" s="78"/>
      <c r="Q14" s="81"/>
      <c r="R14" s="5"/>
      <c r="S14" s="102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5"/>
      <c r="L15" s="5"/>
      <c r="M15" s="76"/>
      <c r="N15" s="78" t="s">
        <v>169</v>
      </c>
      <c r="O15" s="78"/>
      <c r="P15" s="78"/>
      <c r="Q15" s="81"/>
      <c r="R15" s="5"/>
      <c r="S15" s="50"/>
      <c r="T15" s="103"/>
      <c r="U15" s="104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172</v>
      </c>
      <c r="J16" s="213" t="s">
        <v>178</v>
      </c>
      <c r="K16" s="5"/>
      <c r="L16" s="5"/>
      <c r="M16" s="76"/>
      <c r="N16" s="78"/>
      <c r="O16" s="78"/>
      <c r="P16" s="78"/>
      <c r="Q16" s="81"/>
      <c r="R16" s="5"/>
      <c r="S16" s="50"/>
      <c r="T16" s="103"/>
      <c r="U16" s="104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217"/>
      <c r="I17" s="242" t="s">
        <v>173</v>
      </c>
      <c r="J17" s="213" t="s">
        <v>178</v>
      </c>
      <c r="K17" s="5"/>
      <c r="L17" s="5"/>
      <c r="M17" s="76"/>
      <c r="N17" s="78"/>
      <c r="O17" s="78"/>
      <c r="P17" s="78"/>
      <c r="Q17" s="81"/>
      <c r="R17" s="5"/>
      <c r="S17" s="50"/>
      <c r="T17" s="124"/>
      <c r="U17" s="126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242" t="s">
        <v>171</v>
      </c>
      <c r="J18" s="213" t="s">
        <v>178</v>
      </c>
      <c r="K18" s="5"/>
      <c r="L18" s="5"/>
      <c r="M18" s="76"/>
      <c r="N18" s="78"/>
      <c r="O18" s="78"/>
      <c r="P18" s="78"/>
      <c r="Q18" s="81"/>
      <c r="R18" s="5"/>
      <c r="S18" s="50"/>
      <c r="T18" s="119"/>
      <c r="U18" s="120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 t="s">
        <v>169</v>
      </c>
      <c r="J19" s="213" t="s">
        <v>178</v>
      </c>
      <c r="K19" s="5"/>
      <c r="L19" s="5"/>
      <c r="M19" s="76"/>
      <c r="N19" s="78"/>
      <c r="O19" s="78"/>
      <c r="P19" s="78"/>
      <c r="Q19" s="81"/>
      <c r="R19" s="5"/>
      <c r="S19" s="50"/>
      <c r="T19" s="74"/>
      <c r="U19" s="30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5"/>
      <c r="L20" s="5"/>
      <c r="M20" s="109"/>
      <c r="N20" s="78"/>
      <c r="O20" s="78"/>
      <c r="P20" s="78"/>
      <c r="Q20" s="81"/>
      <c r="R20" s="5"/>
      <c r="S20" s="50"/>
      <c r="T20" s="103"/>
      <c r="U20" s="104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109"/>
      <c r="N21" s="78"/>
      <c r="O21" s="78"/>
      <c r="P21" s="78"/>
      <c r="Q21" s="81"/>
      <c r="R21" s="5"/>
      <c r="S21" s="50"/>
      <c r="T21" s="103"/>
      <c r="U21" s="104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109"/>
      <c r="N22" s="78"/>
      <c r="O22" s="78"/>
      <c r="P22" s="78"/>
      <c r="Q22" s="81"/>
      <c r="R22" s="5"/>
      <c r="S22" s="50"/>
      <c r="T22" s="124"/>
      <c r="U22" s="126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109"/>
      <c r="N23" s="78"/>
      <c r="O23" s="78"/>
      <c r="P23" s="78"/>
      <c r="Q23" s="81"/>
      <c r="R23" s="5"/>
      <c r="S23" s="50"/>
      <c r="T23" s="119"/>
      <c r="U23" s="120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109"/>
      <c r="N24" s="78"/>
      <c r="O24" s="78"/>
      <c r="P24" s="78"/>
      <c r="Q24" s="81"/>
      <c r="R24" s="5"/>
      <c r="S24" s="50"/>
      <c r="T24" s="74"/>
      <c r="U24" s="30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109"/>
      <c r="N26" s="78"/>
      <c r="O26" s="78"/>
      <c r="P26" s="78"/>
      <c r="Q26" s="81"/>
      <c r="R26" s="5"/>
      <c r="S26" s="218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244"/>
      <c r="J27" s="214" t="s">
        <v>178</v>
      </c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6"/>
      <c r="E47" s="356"/>
      <c r="F47" s="356"/>
      <c r="G47" s="356"/>
      <c r="H47" s="356"/>
      <c r="I47" s="356"/>
      <c r="J47" s="356"/>
      <c r="K47" s="356"/>
      <c r="L47" s="35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P4" zoomScale="75" zoomScaleNormal="47" workbookViewId="0">
      <selection activeCell="X36" sqref="X36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7"/>
      <c r="E6" s="357"/>
      <c r="F6" s="5"/>
      <c r="G6" s="5"/>
      <c r="H6" s="357"/>
      <c r="I6" s="357"/>
      <c r="J6" s="15"/>
      <c r="K6" s="15"/>
      <c r="L6" s="5"/>
      <c r="M6" s="357"/>
      <c r="N6" s="357"/>
      <c r="O6" s="357"/>
      <c r="P6" s="357"/>
      <c r="Q6" s="5"/>
      <c r="R6" s="5"/>
      <c r="S6" s="364"/>
      <c r="T6" s="364"/>
      <c r="U6" s="364"/>
      <c r="V6" s="364"/>
      <c r="W6" s="364"/>
      <c r="X6" s="364"/>
      <c r="Y6" s="364"/>
      <c r="Z6" s="364"/>
      <c r="AA6" s="364"/>
      <c r="AB6" s="364"/>
      <c r="AC6" s="364"/>
      <c r="AD6" s="364"/>
      <c r="AE6" s="364"/>
      <c r="AF6" s="364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8" t="s">
        <v>50</v>
      </c>
      <c r="E8" s="359"/>
      <c r="F8" s="360"/>
      <c r="G8" s="5"/>
      <c r="H8" s="361" t="s">
        <v>51</v>
      </c>
      <c r="I8" s="362"/>
      <c r="J8" s="363"/>
      <c r="K8" s="16"/>
      <c r="L8" s="5"/>
      <c r="M8" s="371" t="s">
        <v>70</v>
      </c>
      <c r="N8" s="372"/>
      <c r="O8" s="372"/>
      <c r="P8" s="372"/>
      <c r="Q8" s="373"/>
      <c r="R8" s="5"/>
      <c r="S8" s="365" t="s">
        <v>76</v>
      </c>
      <c r="T8" s="366"/>
      <c r="U8" s="367"/>
      <c r="V8" s="12"/>
      <c r="W8" s="368" t="s">
        <v>106</v>
      </c>
      <c r="X8" s="369"/>
      <c r="Y8" s="369"/>
      <c r="Z8" s="370"/>
      <c r="AA8" s="11"/>
      <c r="AB8" s="368" t="s">
        <v>83</v>
      </c>
      <c r="AC8" s="369"/>
      <c r="AD8" s="369"/>
      <c r="AE8" s="369"/>
      <c r="AF8" s="370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215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/>
      <c r="P10" s="179"/>
      <c r="Q10" s="180"/>
      <c r="R10" s="5"/>
      <c r="S10" s="50">
        <v>220</v>
      </c>
      <c r="T10" s="103" t="s">
        <v>171</v>
      </c>
      <c r="U10" s="104">
        <v>1</v>
      </c>
      <c r="V10" s="83"/>
      <c r="W10" s="137"/>
      <c r="X10" s="82">
        <v>220</v>
      </c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5" x14ac:dyDescent="0.45">
      <c r="A11" s="5"/>
      <c r="B11" s="5"/>
      <c r="C11" s="85"/>
      <c r="D11" s="68" t="s">
        <v>3</v>
      </c>
      <c r="E11" s="69">
        <v>999</v>
      </c>
      <c r="F11" s="213" t="s">
        <v>178</v>
      </c>
      <c r="G11" s="5"/>
      <c r="H11" s="68" t="s">
        <v>65</v>
      </c>
      <c r="I11" s="104">
        <v>1.0000000000000001E-9</v>
      </c>
      <c r="J11" s="213" t="s">
        <v>187</v>
      </c>
      <c r="K11" s="5"/>
      <c r="L11" s="5"/>
      <c r="M11" s="75" t="s">
        <v>74</v>
      </c>
      <c r="N11" s="124"/>
      <c r="O11" s="124"/>
      <c r="P11" s="78"/>
      <c r="Q11" s="126"/>
      <c r="R11" s="5"/>
      <c r="S11" s="50">
        <v>220</v>
      </c>
      <c r="T11" s="103" t="s">
        <v>172</v>
      </c>
      <c r="U11" s="104">
        <v>1</v>
      </c>
      <c r="V11" s="83"/>
      <c r="W11" s="108"/>
      <c r="X11" s="74">
        <v>230</v>
      </c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60"/>
      <c r="F12" s="213" t="s">
        <v>178</v>
      </c>
      <c r="G12" s="5"/>
      <c r="H12" s="68" t="s">
        <v>66</v>
      </c>
      <c r="I12" s="104">
        <v>1</v>
      </c>
      <c r="J12" s="213" t="str">
        <f>J15</f>
        <v>t/h</v>
      </c>
      <c r="K12" s="5"/>
      <c r="L12" s="5"/>
      <c r="M12" s="75" t="s">
        <v>75</v>
      </c>
      <c r="N12" s="124"/>
      <c r="O12" s="124"/>
      <c r="P12" s="78"/>
      <c r="Q12" s="126"/>
      <c r="R12" s="5"/>
      <c r="S12" s="108">
        <v>220</v>
      </c>
      <c r="T12" s="124" t="s">
        <v>173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E13" s="69" t="s">
        <v>214</v>
      </c>
      <c r="F13" s="213" t="s">
        <v>178</v>
      </c>
      <c r="G13" s="5"/>
      <c r="H13" s="68" t="s">
        <v>67</v>
      </c>
      <c r="I13" s="104">
        <v>1</v>
      </c>
      <c r="J13" s="213" t="s">
        <v>178</v>
      </c>
      <c r="K13" s="5"/>
      <c r="L13" s="5"/>
      <c r="M13" s="75" t="s">
        <v>191</v>
      </c>
      <c r="N13" s="74"/>
      <c r="O13" s="74"/>
      <c r="P13" s="74"/>
      <c r="Q13" s="69"/>
      <c r="R13" s="5"/>
      <c r="S13" s="108">
        <v>220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76"/>
      <c r="N14" s="78"/>
      <c r="O14" s="78"/>
      <c r="P14" s="78"/>
      <c r="Q14" s="81"/>
      <c r="R14" s="5"/>
      <c r="S14" s="50">
        <v>230</v>
      </c>
      <c r="T14" s="74" t="s">
        <v>171</v>
      </c>
      <c r="U14" s="30">
        <v>1</v>
      </c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8.5" x14ac:dyDescent="0.4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17" t="s">
        <v>69</v>
      </c>
      <c r="I15" s="69" t="s">
        <v>12</v>
      </c>
      <c r="J15" s="213" t="s">
        <v>188</v>
      </c>
      <c r="K15" s="5"/>
      <c r="L15" s="5"/>
      <c r="M15" s="76"/>
      <c r="N15" s="78"/>
      <c r="O15" s="78"/>
      <c r="P15" s="78"/>
      <c r="Q15" s="81"/>
      <c r="R15" s="5"/>
      <c r="S15" s="50">
        <v>230</v>
      </c>
      <c r="T15" s="74" t="s">
        <v>172</v>
      </c>
      <c r="U15" s="30">
        <v>1</v>
      </c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8.5" x14ac:dyDescent="0.4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75" t="s">
        <v>53</v>
      </c>
      <c r="I16" s="69" t="s">
        <v>173</v>
      </c>
      <c r="J16" s="213" t="s">
        <v>178</v>
      </c>
      <c r="K16" s="5"/>
      <c r="L16" s="5"/>
      <c r="M16" s="76"/>
      <c r="N16" s="78"/>
      <c r="O16" s="78"/>
      <c r="P16" s="78"/>
      <c r="Q16" s="81"/>
      <c r="R16" s="5"/>
      <c r="S16" s="108">
        <v>230</v>
      </c>
      <c r="T16" s="74" t="s">
        <v>173</v>
      </c>
      <c r="U16" s="69">
        <v>1</v>
      </c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217"/>
      <c r="I17" s="69" t="s">
        <v>171</v>
      </c>
      <c r="J17" s="213" t="s">
        <v>178</v>
      </c>
      <c r="K17" s="5"/>
      <c r="L17" s="5"/>
      <c r="M17" s="76"/>
      <c r="N17" s="78"/>
      <c r="O17" s="78"/>
      <c r="P17" s="78"/>
      <c r="Q17" s="81"/>
      <c r="R17" s="5"/>
      <c r="S17" s="108">
        <v>230</v>
      </c>
      <c r="T17" s="74" t="s">
        <v>169</v>
      </c>
      <c r="U17" s="69">
        <v>1</v>
      </c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193</v>
      </c>
      <c r="G18" s="5"/>
      <c r="H18" s="76"/>
      <c r="I18" s="69" t="s">
        <v>172</v>
      </c>
      <c r="J18" s="213"/>
      <c r="K18" s="5"/>
      <c r="L18" s="5"/>
      <c r="M18" s="76"/>
      <c r="N18" s="78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69" t="s">
        <v>169</v>
      </c>
      <c r="J19" s="213"/>
      <c r="K19" s="5"/>
      <c r="L19" s="5"/>
      <c r="M19" s="76"/>
      <c r="N19" s="78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69"/>
      <c r="J20" s="213"/>
      <c r="K20" s="5"/>
      <c r="L20" s="5"/>
      <c r="M20" s="109"/>
      <c r="N20" s="78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5"/>
      <c r="L21" s="5"/>
      <c r="M21" s="109"/>
      <c r="N21" s="78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5"/>
      <c r="L22" s="5"/>
      <c r="M22" s="109"/>
      <c r="N22" s="78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5"/>
      <c r="L23" s="5"/>
      <c r="M23" s="109"/>
      <c r="N23" s="78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81"/>
      <c r="J24" s="175"/>
      <c r="K24" s="11"/>
      <c r="L24" s="11"/>
      <c r="M24" s="109"/>
      <c r="N24" s="78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81"/>
      <c r="J25" s="175"/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81"/>
      <c r="J26" s="213"/>
      <c r="K26" s="5"/>
      <c r="L26" s="5"/>
      <c r="M26" s="109"/>
      <c r="N26" s="78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6"/>
      <c r="E47" s="356"/>
      <c r="F47" s="356"/>
      <c r="G47" s="356"/>
      <c r="H47" s="356"/>
      <c r="I47" s="356"/>
      <c r="J47" s="356"/>
      <c r="K47" s="356"/>
      <c r="L47" s="35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T10:T27 AC10:AC27 AE10:AE27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P1" zoomScale="75" zoomScaleNormal="47" workbookViewId="0">
      <selection activeCell="AF11" sqref="AF11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7.269531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7"/>
      <c r="E6" s="357"/>
      <c r="F6" s="5"/>
      <c r="G6" s="5"/>
      <c r="H6" s="357"/>
      <c r="I6" s="357"/>
      <c r="J6" s="15"/>
      <c r="K6" s="15"/>
      <c r="L6" s="5"/>
      <c r="M6" s="357"/>
      <c r="N6" s="357"/>
      <c r="O6" s="357"/>
      <c r="P6" s="357"/>
      <c r="Q6" s="5"/>
      <c r="R6" s="5"/>
      <c r="S6" s="364"/>
      <c r="T6" s="364"/>
      <c r="U6" s="364"/>
      <c r="V6" s="364"/>
      <c r="W6" s="364"/>
      <c r="X6" s="364"/>
      <c r="Y6" s="364"/>
      <c r="Z6" s="364"/>
      <c r="AA6" s="364"/>
      <c r="AB6" s="364"/>
      <c r="AC6" s="364"/>
      <c r="AD6" s="364"/>
      <c r="AE6" s="364"/>
      <c r="AF6" s="364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8" t="s">
        <v>50</v>
      </c>
      <c r="E8" s="359"/>
      <c r="F8" s="360"/>
      <c r="G8" s="5"/>
      <c r="H8" s="361" t="s">
        <v>51</v>
      </c>
      <c r="I8" s="362"/>
      <c r="J8" s="363"/>
      <c r="K8" s="16"/>
      <c r="L8" s="5"/>
      <c r="M8" s="371" t="s">
        <v>70</v>
      </c>
      <c r="N8" s="372"/>
      <c r="O8" s="372"/>
      <c r="P8" s="372"/>
      <c r="Q8" s="373"/>
      <c r="R8" s="5"/>
      <c r="S8" s="365" t="s">
        <v>76</v>
      </c>
      <c r="T8" s="366"/>
      <c r="U8" s="367"/>
      <c r="V8" s="12"/>
      <c r="W8" s="368" t="s">
        <v>106</v>
      </c>
      <c r="X8" s="369"/>
      <c r="Y8" s="369"/>
      <c r="Z8" s="370"/>
      <c r="AA8" s="11"/>
      <c r="AB8" s="368" t="s">
        <v>83</v>
      </c>
      <c r="AC8" s="369"/>
      <c r="AD8" s="369"/>
      <c r="AE8" s="369"/>
      <c r="AF8" s="370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249">
        <v>0.5</v>
      </c>
      <c r="O10" s="249"/>
      <c r="P10" s="179"/>
      <c r="Q10" s="180"/>
      <c r="R10" s="5"/>
      <c r="S10" s="102">
        <v>320</v>
      </c>
      <c r="T10" s="103" t="s">
        <v>169</v>
      </c>
      <c r="U10" s="104">
        <v>0.95</v>
      </c>
      <c r="V10" s="83"/>
      <c r="W10" s="137">
        <v>44</v>
      </c>
      <c r="X10" s="82">
        <v>320</v>
      </c>
      <c r="Y10" s="138"/>
      <c r="Z10" s="136"/>
      <c r="AA10" s="15"/>
      <c r="AB10" s="135" t="s">
        <v>12</v>
      </c>
      <c r="AC10" s="82" t="s">
        <v>172</v>
      </c>
      <c r="AD10" s="138" t="s">
        <v>12</v>
      </c>
      <c r="AE10" s="82" t="s">
        <v>230</v>
      </c>
      <c r="AF10" s="136">
        <v>0.1</v>
      </c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220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250" t="s">
        <v>12</v>
      </c>
      <c r="O11" s="250"/>
      <c r="P11" s="78"/>
      <c r="Q11" s="126"/>
      <c r="R11" s="5"/>
      <c r="S11" s="102">
        <v>320</v>
      </c>
      <c r="T11" s="103" t="s">
        <v>230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173</v>
      </c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6" t="s">
        <v>75</v>
      </c>
      <c r="N12" s="249" t="s">
        <v>171</v>
      </c>
      <c r="O12" s="249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251" t="s">
        <v>172</v>
      </c>
      <c r="O13" s="242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171</v>
      </c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251" t="s">
        <v>173</v>
      </c>
      <c r="O14" s="243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 t="s">
        <v>14</v>
      </c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17" t="s">
        <v>69</v>
      </c>
      <c r="I15" s="69" t="s">
        <v>12</v>
      </c>
      <c r="J15" s="213" t="s">
        <v>188</v>
      </c>
      <c r="K15" s="5"/>
      <c r="L15" s="5"/>
      <c r="M15" s="248"/>
      <c r="N15" s="242" t="s">
        <v>169</v>
      </c>
      <c r="O15" s="243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5"/>
      <c r="L16" s="5"/>
      <c r="M16" s="248"/>
      <c r="N16" s="243"/>
      <c r="O16" s="243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217"/>
      <c r="I17" s="69" t="s">
        <v>169</v>
      </c>
      <c r="J17" s="213" t="s">
        <v>178</v>
      </c>
      <c r="K17" s="5"/>
      <c r="L17" s="5"/>
      <c r="M17" s="248"/>
      <c r="N17" s="243"/>
      <c r="O17" s="243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69" t="s">
        <v>171</v>
      </c>
      <c r="J18" s="213"/>
      <c r="K18" s="5"/>
      <c r="L18" s="5"/>
      <c r="M18" s="248"/>
      <c r="N18" s="243"/>
      <c r="O18" s="243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5"/>
      <c r="L19" s="5"/>
      <c r="M19" s="248"/>
      <c r="N19" s="243"/>
      <c r="O19" s="243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5"/>
      <c r="L20" s="5"/>
      <c r="M20" s="243"/>
      <c r="N20" s="243"/>
      <c r="O20" s="243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5"/>
      <c r="L21" s="5"/>
      <c r="M21" s="243"/>
      <c r="N21" s="243"/>
      <c r="O21" s="243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5"/>
      <c r="L22" s="5"/>
      <c r="M22" s="243"/>
      <c r="N22" s="243"/>
      <c r="O22" s="243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5"/>
      <c r="L23" s="5"/>
      <c r="M23" s="243"/>
      <c r="N23" s="243"/>
      <c r="O23" s="243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81"/>
      <c r="J24" s="175"/>
      <c r="K24" s="11"/>
      <c r="L24" s="11"/>
      <c r="M24" s="243"/>
      <c r="N24" s="243"/>
      <c r="O24" s="243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81"/>
      <c r="J25" s="175"/>
      <c r="K25" s="11"/>
      <c r="L25" s="11"/>
      <c r="M25" s="243"/>
      <c r="N25" s="243"/>
      <c r="O25" s="243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81"/>
      <c r="J26" s="213"/>
      <c r="K26" s="5"/>
      <c r="L26" s="5"/>
      <c r="M26" s="243"/>
      <c r="N26" s="243"/>
      <c r="O26" s="243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5"/>
      <c r="L27" s="5"/>
      <c r="M27" s="244"/>
      <c r="N27" s="244"/>
      <c r="O27" s="244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6"/>
      <c r="E47" s="356"/>
      <c r="F47" s="356"/>
      <c r="G47" s="356"/>
      <c r="H47" s="356"/>
      <c r="I47" s="356"/>
      <c r="J47" s="356"/>
      <c r="K47" s="356"/>
      <c r="L47" s="35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AC10:AC27 AE10:AE27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G32" sqref="G32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7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7"/>
      <c r="E6" s="357"/>
      <c r="F6" s="5"/>
      <c r="G6" s="5"/>
      <c r="H6" s="357"/>
      <c r="I6" s="357"/>
      <c r="J6" s="15"/>
      <c r="K6" s="15"/>
      <c r="L6" s="5"/>
      <c r="M6" s="357"/>
      <c r="N6" s="357"/>
      <c r="O6" s="357"/>
      <c r="P6" s="357"/>
      <c r="Q6" s="5"/>
      <c r="R6" s="5"/>
      <c r="S6" s="364"/>
      <c r="T6" s="364"/>
      <c r="U6" s="364"/>
      <c r="V6" s="364"/>
      <c r="W6" s="364"/>
      <c r="X6" s="364"/>
      <c r="Y6" s="364"/>
      <c r="Z6" s="364"/>
      <c r="AA6" s="364"/>
      <c r="AB6" s="364"/>
      <c r="AC6" s="364"/>
      <c r="AD6" s="364"/>
      <c r="AE6" s="364"/>
      <c r="AF6" s="364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8" t="s">
        <v>50</v>
      </c>
      <c r="E8" s="359"/>
      <c r="F8" s="360"/>
      <c r="G8" s="5"/>
      <c r="H8" s="361" t="s">
        <v>51</v>
      </c>
      <c r="I8" s="362"/>
      <c r="J8" s="363"/>
      <c r="K8" s="16"/>
      <c r="L8" s="5"/>
      <c r="M8" s="371" t="s">
        <v>70</v>
      </c>
      <c r="N8" s="372"/>
      <c r="O8" s="372"/>
      <c r="P8" s="372"/>
      <c r="Q8" s="373"/>
      <c r="R8" s="5"/>
      <c r="S8" s="365" t="s">
        <v>76</v>
      </c>
      <c r="T8" s="366"/>
      <c r="U8" s="367"/>
      <c r="V8" s="12"/>
      <c r="W8" s="368" t="s">
        <v>106</v>
      </c>
      <c r="X8" s="369"/>
      <c r="Y8" s="369"/>
      <c r="Z8" s="370"/>
      <c r="AA8" s="11"/>
      <c r="AB8" s="368" t="s">
        <v>83</v>
      </c>
      <c r="AC8" s="369"/>
      <c r="AD8" s="369"/>
      <c r="AE8" s="369"/>
      <c r="AF8" s="370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302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194</v>
      </c>
      <c r="S10" s="102">
        <v>3000</v>
      </c>
      <c r="T10" s="103" t="s">
        <v>169</v>
      </c>
      <c r="U10" s="104">
        <v>0.95</v>
      </c>
      <c r="V10" s="83"/>
      <c r="W10" s="137"/>
      <c r="X10" s="82">
        <v>3000</v>
      </c>
      <c r="Y10" s="138">
        <v>220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320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188</v>
      </c>
      <c r="S11" s="102">
        <v>220</v>
      </c>
      <c r="T11" s="103" t="s">
        <v>230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263">
        <v>10</v>
      </c>
      <c r="J12" s="213" t="str">
        <f>J15</f>
        <v>t/h</v>
      </c>
      <c r="K12" s="5"/>
      <c r="L12" s="5"/>
      <c r="M12" s="246" t="s">
        <v>75</v>
      </c>
      <c r="N12" s="254"/>
      <c r="O12" s="178" t="s">
        <v>230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230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75"/>
      <c r="I17" s="242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60</v>
      </c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6"/>
      <c r="E47" s="356"/>
      <c r="F47" s="356"/>
      <c r="G47" s="356"/>
      <c r="H47" s="356"/>
      <c r="I47" s="356"/>
      <c r="J47" s="356"/>
      <c r="K47" s="356"/>
      <c r="L47" s="35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O13:Q13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zoomScale="75" zoomScaleNormal="47" workbookViewId="0">
      <selection activeCell="E43" sqref="E43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7"/>
      <c r="E6" s="357"/>
      <c r="F6" s="5"/>
      <c r="G6" s="5"/>
      <c r="H6" s="357"/>
      <c r="I6" s="357"/>
      <c r="J6" s="15"/>
      <c r="K6" s="15"/>
      <c r="L6" s="5"/>
      <c r="M6" s="357"/>
      <c r="N6" s="357"/>
      <c r="O6" s="357"/>
      <c r="P6" s="357"/>
      <c r="Q6" s="5"/>
      <c r="R6" s="5"/>
      <c r="S6" s="364"/>
      <c r="T6" s="364"/>
      <c r="U6" s="364"/>
      <c r="V6" s="364"/>
      <c r="W6" s="364"/>
      <c r="X6" s="364"/>
      <c r="Y6" s="364"/>
      <c r="Z6" s="364"/>
      <c r="AA6" s="364"/>
      <c r="AB6" s="364"/>
      <c r="AC6" s="364"/>
      <c r="AD6" s="364"/>
      <c r="AE6" s="364"/>
      <c r="AF6" s="364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8" t="s">
        <v>50</v>
      </c>
      <c r="E8" s="359"/>
      <c r="F8" s="360"/>
      <c r="G8" s="5"/>
      <c r="H8" s="361" t="s">
        <v>51</v>
      </c>
      <c r="I8" s="362"/>
      <c r="J8" s="363"/>
      <c r="K8" s="16"/>
      <c r="L8" s="5"/>
      <c r="M8" s="371" t="s">
        <v>70</v>
      </c>
      <c r="N8" s="372"/>
      <c r="O8" s="372"/>
      <c r="P8" s="372"/>
      <c r="Q8" s="373"/>
      <c r="R8" s="5"/>
      <c r="S8" s="365" t="s">
        <v>76</v>
      </c>
      <c r="T8" s="366"/>
      <c r="U8" s="367"/>
      <c r="V8" s="12"/>
      <c r="W8" s="368" t="s">
        <v>106</v>
      </c>
      <c r="X8" s="369"/>
      <c r="Y8" s="369"/>
      <c r="Z8" s="370"/>
      <c r="AA8" s="11"/>
      <c r="AB8" s="368" t="s">
        <v>83</v>
      </c>
      <c r="AC8" s="369"/>
      <c r="AD8" s="369"/>
      <c r="AE8" s="369"/>
      <c r="AF8" s="370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232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249">
        <v>0.2</v>
      </c>
      <c r="O10" s="178"/>
      <c r="P10" s="179"/>
      <c r="Q10" s="180"/>
      <c r="R10" s="5" t="s">
        <v>194</v>
      </c>
      <c r="S10" s="102">
        <v>330</v>
      </c>
      <c r="T10" s="103" t="s">
        <v>169</v>
      </c>
      <c r="U10" s="104">
        <v>0.75</v>
      </c>
      <c r="V10" s="83"/>
      <c r="W10" s="137">
        <v>44</v>
      </c>
      <c r="X10" s="82">
        <v>330</v>
      </c>
      <c r="Y10" s="138"/>
      <c r="Z10" s="136"/>
      <c r="AA10" s="15"/>
      <c r="AB10" s="135" t="s">
        <v>12</v>
      </c>
      <c r="AC10" s="82" t="s">
        <v>172</v>
      </c>
      <c r="AD10" s="138" t="s">
        <v>12</v>
      </c>
      <c r="AE10" s="82" t="s">
        <v>230</v>
      </c>
      <c r="AF10" s="136">
        <v>0.1</v>
      </c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230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250" t="s">
        <v>12</v>
      </c>
      <c r="O11" s="124"/>
      <c r="P11" s="78"/>
      <c r="Q11" s="126"/>
      <c r="R11" s="5" t="s">
        <v>188</v>
      </c>
      <c r="S11" s="102">
        <v>330</v>
      </c>
      <c r="T11" s="103" t="s">
        <v>230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173</v>
      </c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6" t="s">
        <v>75</v>
      </c>
      <c r="N12" s="249" t="s">
        <v>171</v>
      </c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251" t="s">
        <v>172</v>
      </c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171</v>
      </c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251" t="s">
        <v>173</v>
      </c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 t="s">
        <v>14</v>
      </c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242" t="s">
        <v>169</v>
      </c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246"/>
      <c r="I17" s="69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193</v>
      </c>
      <c r="G18" s="5"/>
      <c r="H18" s="248"/>
      <c r="I18" s="69" t="s">
        <v>171</v>
      </c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248"/>
      <c r="I19" s="69" t="s">
        <v>172</v>
      </c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248"/>
      <c r="I20" s="69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243"/>
      <c r="I21" s="69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243"/>
      <c r="I22" s="69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243"/>
      <c r="I23" s="81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243"/>
      <c r="I24" s="81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243"/>
      <c r="I25" s="81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243"/>
      <c r="I26" s="81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244"/>
      <c r="I27" s="80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6"/>
      <c r="E47" s="356"/>
      <c r="F47" s="356"/>
      <c r="G47" s="356"/>
      <c r="H47" s="356"/>
      <c r="I47" s="356"/>
      <c r="J47" s="356"/>
      <c r="K47" s="356"/>
      <c r="L47" s="35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topLeftCell="P1" zoomScale="75" zoomScaleNormal="47" workbookViewId="0">
      <selection activeCell="S11" sqref="S11:U11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4.81640625" style="3" customWidth="1"/>
    <col min="5" max="5" width="16.4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7"/>
      <c r="E6" s="357"/>
      <c r="F6" s="5"/>
      <c r="G6" s="5"/>
      <c r="H6" s="357"/>
      <c r="I6" s="357"/>
      <c r="J6" s="15"/>
      <c r="K6" s="15"/>
      <c r="L6" s="5"/>
      <c r="M6" s="357"/>
      <c r="N6" s="357"/>
      <c r="O6" s="357"/>
      <c r="P6" s="357"/>
      <c r="Q6" s="5"/>
      <c r="R6" s="5"/>
      <c r="S6" s="364"/>
      <c r="T6" s="364"/>
      <c r="U6" s="364"/>
      <c r="V6" s="364"/>
      <c r="W6" s="364"/>
      <c r="X6" s="364"/>
      <c r="Y6" s="364"/>
      <c r="Z6" s="364"/>
      <c r="AA6" s="364"/>
      <c r="AB6" s="364"/>
      <c r="AC6" s="364"/>
      <c r="AD6" s="364"/>
      <c r="AE6" s="364"/>
      <c r="AF6" s="364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8" t="s">
        <v>50</v>
      </c>
      <c r="E8" s="359"/>
      <c r="F8" s="360"/>
      <c r="G8" s="5"/>
      <c r="H8" s="361" t="s">
        <v>51</v>
      </c>
      <c r="I8" s="362"/>
      <c r="J8" s="363"/>
      <c r="K8" s="16"/>
      <c r="L8" s="5"/>
      <c r="M8" s="371" t="s">
        <v>70</v>
      </c>
      <c r="N8" s="372"/>
      <c r="O8" s="372"/>
      <c r="P8" s="372"/>
      <c r="Q8" s="373"/>
      <c r="R8" s="5"/>
      <c r="S8" s="365" t="s">
        <v>76</v>
      </c>
      <c r="T8" s="366"/>
      <c r="U8" s="367"/>
      <c r="V8" s="12"/>
      <c r="W8" s="368" t="s">
        <v>106</v>
      </c>
      <c r="X8" s="369"/>
      <c r="Y8" s="369"/>
      <c r="Z8" s="370"/>
      <c r="AA8" s="11"/>
      <c r="AB8" s="368" t="s">
        <v>83</v>
      </c>
      <c r="AC8" s="369"/>
      <c r="AD8" s="369"/>
      <c r="AE8" s="369"/>
      <c r="AF8" s="370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233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194</v>
      </c>
      <c r="S10" s="102">
        <v>3000</v>
      </c>
      <c r="T10" s="103" t="s">
        <v>169</v>
      </c>
      <c r="U10" s="104">
        <v>1</v>
      </c>
      <c r="V10" s="83"/>
      <c r="W10" s="137"/>
      <c r="X10" s="82">
        <v>3000</v>
      </c>
      <c r="Y10" s="138">
        <v>230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330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188</v>
      </c>
      <c r="S11" s="102">
        <v>230</v>
      </c>
      <c r="T11" s="103" t="s">
        <v>230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263">
        <v>10</v>
      </c>
      <c r="J12" s="213" t="str">
        <f>J15</f>
        <v>t/h</v>
      </c>
      <c r="K12" s="5"/>
      <c r="L12" s="5"/>
      <c r="M12" s="246" t="s">
        <v>75</v>
      </c>
      <c r="N12" s="254"/>
      <c r="O12" s="178" t="s">
        <v>230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230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75"/>
      <c r="I17" s="242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65</v>
      </c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6"/>
      <c r="E47" s="356"/>
      <c r="F47" s="356"/>
      <c r="G47" s="356"/>
      <c r="H47" s="356"/>
      <c r="I47" s="356"/>
      <c r="J47" s="356"/>
      <c r="K47" s="356"/>
      <c r="L47" s="35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O13:Q13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DEAF84E3-2D52-48B1-B0FD-B38BEF4BD672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 T10:T27 I16:I27 N14:Q27 N12:Q12 AC10:AC27 AE10:AE27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P5" sqref="P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6.4531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6" width="20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77"/>
      <c r="E6" s="377"/>
      <c r="F6" s="5"/>
      <c r="G6" s="5"/>
      <c r="H6" s="377"/>
      <c r="I6" s="377"/>
      <c r="J6" s="15"/>
      <c r="K6" s="15"/>
      <c r="L6" s="5"/>
      <c r="M6" s="377"/>
      <c r="N6" s="377"/>
      <c r="O6" s="377"/>
      <c r="P6" s="377"/>
      <c r="Q6" s="5"/>
      <c r="R6" s="5"/>
      <c r="S6" s="378"/>
      <c r="T6" s="378"/>
      <c r="U6" s="378"/>
      <c r="V6" s="378"/>
      <c r="W6" s="378"/>
      <c r="X6" s="378"/>
      <c r="Y6" s="378"/>
      <c r="Z6" s="378"/>
      <c r="AA6" s="378"/>
      <c r="AB6" s="378"/>
      <c r="AC6" s="378"/>
      <c r="AD6" s="378"/>
      <c r="AE6" s="378"/>
      <c r="AF6" s="37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8" t="s">
        <v>50</v>
      </c>
      <c r="E8" s="359"/>
      <c r="F8" s="360"/>
      <c r="G8" s="5"/>
      <c r="H8" s="361" t="s">
        <v>51</v>
      </c>
      <c r="I8" s="362"/>
      <c r="J8" s="363"/>
      <c r="K8" s="16"/>
      <c r="L8" s="5"/>
      <c r="M8" s="371" t="s">
        <v>70</v>
      </c>
      <c r="N8" s="372"/>
      <c r="O8" s="372"/>
      <c r="P8" s="372"/>
      <c r="Q8" s="373"/>
      <c r="R8" s="5"/>
      <c r="S8" s="365" t="s">
        <v>76</v>
      </c>
      <c r="T8" s="366"/>
      <c r="U8" s="367"/>
      <c r="V8" s="12"/>
      <c r="W8" s="368" t="s">
        <v>106</v>
      </c>
      <c r="X8" s="369"/>
      <c r="Y8" s="369"/>
      <c r="Z8" s="370"/>
      <c r="AA8" s="11"/>
      <c r="AB8" s="368" t="s">
        <v>83</v>
      </c>
      <c r="AC8" s="369"/>
      <c r="AD8" s="369"/>
      <c r="AE8" s="369"/>
      <c r="AF8" s="370"/>
      <c r="AG8" s="11"/>
      <c r="AH8" s="374" t="s">
        <v>5</v>
      </c>
      <c r="AI8" s="375"/>
      <c r="AJ8" s="376"/>
      <c r="AK8" s="97"/>
      <c r="AL8" s="374" t="s">
        <v>6</v>
      </c>
      <c r="AM8" s="375"/>
      <c r="AN8" s="37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202</v>
      </c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252" t="s">
        <v>73</v>
      </c>
      <c r="N10" s="249">
        <v>1E-4</v>
      </c>
      <c r="O10" s="178">
        <v>0.2</v>
      </c>
      <c r="P10" s="255"/>
      <c r="Q10" s="180"/>
      <c r="R10" s="113"/>
      <c r="S10" s="102">
        <v>2000</v>
      </c>
      <c r="T10" s="103" t="s">
        <v>196</v>
      </c>
      <c r="U10" s="104">
        <v>0.99</v>
      </c>
      <c r="V10" s="105"/>
      <c r="W10" s="137">
        <v>22</v>
      </c>
      <c r="X10" s="82">
        <v>2000</v>
      </c>
      <c r="Y10" s="138">
        <v>1000</v>
      </c>
      <c r="Z10" s="136"/>
      <c r="AA10" s="74"/>
      <c r="AB10" s="135" t="s">
        <v>12</v>
      </c>
      <c r="AC10" s="82" t="s">
        <v>14</v>
      </c>
      <c r="AD10" s="138" t="s">
        <v>12</v>
      </c>
      <c r="AE10" s="82" t="s">
        <v>173</v>
      </c>
      <c r="AF10" s="136">
        <v>10</v>
      </c>
      <c r="AG10" s="119"/>
      <c r="AH10" s="125" t="s">
        <v>173</v>
      </c>
      <c r="AI10" s="124">
        <v>1</v>
      </c>
      <c r="AJ10" s="126">
        <v>-1</v>
      </c>
      <c r="AK10" s="114"/>
      <c r="AL10" s="127">
        <v>1</v>
      </c>
      <c r="AM10" s="128" t="s">
        <v>173</v>
      </c>
      <c r="AN10" s="129">
        <v>0.95</v>
      </c>
      <c r="AO10" s="86"/>
    </row>
    <row r="11" spans="3:41" ht="19" thickBot="1" x14ac:dyDescent="0.5">
      <c r="C11" s="85"/>
      <c r="D11" s="68" t="s">
        <v>3</v>
      </c>
      <c r="E11" s="69">
        <v>210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78"/>
      <c r="L11" s="78"/>
      <c r="M11" s="253" t="s">
        <v>74</v>
      </c>
      <c r="N11" s="250" t="s">
        <v>12</v>
      </c>
      <c r="O11" s="124" t="s">
        <v>12</v>
      </c>
      <c r="P11" s="256"/>
      <c r="Q11" s="257"/>
      <c r="R11" s="113"/>
      <c r="S11" s="102">
        <v>2000</v>
      </c>
      <c r="T11" s="103" t="s">
        <v>14</v>
      </c>
      <c r="U11" s="104">
        <v>5.0000000000000001E-3</v>
      </c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1</v>
      </c>
      <c r="AJ11" s="126">
        <v>0.15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59" t="s">
        <v>225</v>
      </c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246" t="s">
        <v>75</v>
      </c>
      <c r="N12" s="249" t="s">
        <v>171</v>
      </c>
      <c r="O12" s="249" t="s">
        <v>171</v>
      </c>
      <c r="P12" s="179"/>
      <c r="Q12" s="180"/>
      <c r="R12" s="113"/>
      <c r="S12" s="102">
        <v>2000</v>
      </c>
      <c r="T12" s="103" t="s">
        <v>176</v>
      </c>
      <c r="U12" s="104">
        <v>0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196</v>
      </c>
      <c r="AI12" s="124">
        <v>1</v>
      </c>
      <c r="AJ12" s="126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78"/>
      <c r="L13" s="78"/>
      <c r="M13" s="247"/>
      <c r="N13" s="251" t="s">
        <v>172</v>
      </c>
      <c r="O13" s="251" t="s">
        <v>172</v>
      </c>
      <c r="P13" s="74"/>
      <c r="Q13" s="69"/>
      <c r="R13" s="113"/>
      <c r="S13" s="102">
        <v>1000</v>
      </c>
      <c r="T13" s="103" t="s">
        <v>176</v>
      </c>
      <c r="U13" s="104">
        <v>1</v>
      </c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176</v>
      </c>
      <c r="AI13" s="105">
        <v>1</v>
      </c>
      <c r="AJ13" s="107">
        <v>0.65</v>
      </c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78"/>
      <c r="L14" s="78"/>
      <c r="M14" s="248"/>
      <c r="N14" s="251" t="s">
        <v>173</v>
      </c>
      <c r="O14" s="251" t="s">
        <v>173</v>
      </c>
      <c r="P14" s="78"/>
      <c r="Q14" s="81"/>
      <c r="R14" s="113"/>
      <c r="S14" s="102">
        <v>1000</v>
      </c>
      <c r="T14" s="74" t="s">
        <v>196</v>
      </c>
      <c r="U14" s="104">
        <v>0</v>
      </c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78"/>
      <c r="L15" s="78"/>
      <c r="M15" s="248"/>
      <c r="N15" s="242" t="s">
        <v>169</v>
      </c>
      <c r="O15" s="242" t="s">
        <v>169</v>
      </c>
      <c r="P15" s="78"/>
      <c r="Q15" s="81"/>
      <c r="R15" s="113"/>
      <c r="S15" s="102"/>
      <c r="T15" s="74"/>
      <c r="U15" s="104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78"/>
      <c r="L16" s="78"/>
      <c r="M16" s="248"/>
      <c r="N16" s="243"/>
      <c r="O16" s="243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>
        <v>25</v>
      </c>
      <c r="F17" s="213" t="s">
        <v>182</v>
      </c>
      <c r="G17" s="5"/>
      <c r="H17" s="217"/>
      <c r="I17" s="69" t="s">
        <v>169</v>
      </c>
      <c r="J17" s="213" t="s">
        <v>178</v>
      </c>
      <c r="K17" s="78"/>
      <c r="L17" s="78"/>
      <c r="M17" s="248"/>
      <c r="N17" s="243"/>
      <c r="O17" s="243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>
        <v>30</v>
      </c>
      <c r="F18" s="213" t="s">
        <v>182</v>
      </c>
      <c r="G18" s="5"/>
      <c r="H18" s="76"/>
      <c r="I18" s="69" t="s">
        <v>171</v>
      </c>
      <c r="J18" s="213"/>
      <c r="K18" s="78"/>
      <c r="L18" s="78"/>
      <c r="M18" s="248"/>
      <c r="N18" s="243"/>
      <c r="O18" s="243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78"/>
      <c r="L19" s="78"/>
      <c r="M19" s="248"/>
      <c r="N19" s="243"/>
      <c r="O19" s="243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78"/>
      <c r="L20" s="78"/>
      <c r="M20" s="243"/>
      <c r="N20" s="243"/>
      <c r="O20" s="243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78"/>
      <c r="L21" s="78"/>
      <c r="M21" s="243"/>
      <c r="N21" s="243"/>
      <c r="O21" s="243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78"/>
      <c r="L22" s="78"/>
      <c r="M22" s="243"/>
      <c r="N22" s="243"/>
      <c r="O22" s="243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78"/>
      <c r="L23" s="78"/>
      <c r="M23" s="243"/>
      <c r="N23" s="243"/>
      <c r="O23" s="243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175"/>
      <c r="K24" s="78"/>
      <c r="L24" s="78"/>
      <c r="M24" s="243"/>
      <c r="N24" s="243"/>
      <c r="O24" s="243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175"/>
      <c r="K25" s="78"/>
      <c r="L25" s="78"/>
      <c r="M25" s="243"/>
      <c r="N25" s="243"/>
      <c r="O25" s="243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213"/>
      <c r="K26" s="78"/>
      <c r="L26" s="78"/>
      <c r="M26" s="243"/>
      <c r="N26" s="243"/>
      <c r="O26" s="243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78"/>
      <c r="L27" s="78"/>
      <c r="M27" s="244"/>
      <c r="N27" s="244"/>
      <c r="O27" s="244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9CCC9063-A9FA-47B6-B80C-1EF5E9B15AEC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O12:Q12 O13:O27 P14:Q27 N12:N27 T10:T27 I16:I27 AH10:AH27 AC10:AC27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topLeftCell="A3" zoomScale="70" zoomScaleNormal="70" workbookViewId="0">
      <selection activeCell="I12" sqref="I12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8.5429687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6" width="19.81640625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77"/>
      <c r="E6" s="377"/>
      <c r="F6" s="5"/>
      <c r="G6" s="5"/>
      <c r="H6" s="377"/>
      <c r="I6" s="377"/>
      <c r="J6" s="15"/>
      <c r="K6" s="15"/>
      <c r="L6" s="5"/>
      <c r="M6" s="377"/>
      <c r="N6" s="377"/>
      <c r="O6" s="377"/>
      <c r="P6" s="377"/>
      <c r="Q6" s="5"/>
      <c r="R6" s="5"/>
      <c r="S6" s="378"/>
      <c r="T6" s="378"/>
      <c r="U6" s="378"/>
      <c r="V6" s="378"/>
      <c r="W6" s="378"/>
      <c r="X6" s="378"/>
      <c r="Y6" s="378"/>
      <c r="Z6" s="378"/>
      <c r="AA6" s="378"/>
      <c r="AB6" s="378"/>
      <c r="AC6" s="378"/>
      <c r="AD6" s="378"/>
      <c r="AE6" s="378"/>
      <c r="AF6" s="37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8" t="s">
        <v>50</v>
      </c>
      <c r="E8" s="359"/>
      <c r="F8" s="360"/>
      <c r="G8" s="5"/>
      <c r="H8" s="361" t="s">
        <v>51</v>
      </c>
      <c r="I8" s="362"/>
      <c r="J8" s="363"/>
      <c r="K8" s="16"/>
      <c r="L8" s="5"/>
      <c r="M8" s="371" t="s">
        <v>70</v>
      </c>
      <c r="N8" s="372"/>
      <c r="O8" s="372"/>
      <c r="P8" s="372"/>
      <c r="Q8" s="373"/>
      <c r="R8" s="5"/>
      <c r="S8" s="365" t="s">
        <v>76</v>
      </c>
      <c r="T8" s="366"/>
      <c r="U8" s="367"/>
      <c r="V8" s="12"/>
      <c r="W8" s="368" t="s">
        <v>106</v>
      </c>
      <c r="X8" s="369"/>
      <c r="Y8" s="369"/>
      <c r="Z8" s="370"/>
      <c r="AA8" s="11"/>
      <c r="AB8" s="368" t="s">
        <v>83</v>
      </c>
      <c r="AC8" s="369"/>
      <c r="AD8" s="369"/>
      <c r="AE8" s="369"/>
      <c r="AF8" s="370"/>
      <c r="AG8" s="11"/>
      <c r="AH8" s="374" t="s">
        <v>5</v>
      </c>
      <c r="AI8" s="375"/>
      <c r="AJ8" s="376"/>
      <c r="AK8" s="97"/>
      <c r="AL8" s="374" t="s">
        <v>6</v>
      </c>
      <c r="AM8" s="375"/>
      <c r="AN8" s="37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261" t="s">
        <v>203</v>
      </c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66" t="s">
        <v>73</v>
      </c>
      <c r="N10" s="178">
        <v>0.1</v>
      </c>
      <c r="O10" s="178">
        <v>0.1</v>
      </c>
      <c r="P10" s="179"/>
      <c r="Q10" s="180"/>
      <c r="R10" s="113"/>
      <c r="S10" s="125">
        <v>777</v>
      </c>
      <c r="T10" s="124" t="s">
        <v>175</v>
      </c>
      <c r="U10" s="126">
        <v>0.8</v>
      </c>
      <c r="V10" s="105"/>
      <c r="W10" s="137"/>
      <c r="X10" s="82">
        <v>777</v>
      </c>
      <c r="Y10" s="138">
        <v>1000</v>
      </c>
      <c r="Z10" s="30">
        <v>1100</v>
      </c>
      <c r="AA10" s="74"/>
      <c r="AB10" s="135"/>
      <c r="AC10" s="82"/>
      <c r="AD10" s="138"/>
      <c r="AE10" s="82"/>
      <c r="AF10" s="136"/>
      <c r="AG10" s="119"/>
      <c r="AH10" s="125" t="s">
        <v>173</v>
      </c>
      <c r="AI10" s="124">
        <v>2</v>
      </c>
      <c r="AJ10" s="126">
        <v>-1</v>
      </c>
      <c r="AK10" s="114"/>
      <c r="AL10" s="127">
        <v>2</v>
      </c>
      <c r="AM10" s="128" t="s">
        <v>173</v>
      </c>
      <c r="AN10" s="129">
        <v>0.99</v>
      </c>
      <c r="AO10" s="86"/>
    </row>
    <row r="11" spans="3:41" ht="18.5" x14ac:dyDescent="0.45">
      <c r="C11" s="85"/>
      <c r="D11" s="68" t="s">
        <v>3</v>
      </c>
      <c r="E11" s="69">
        <v>200</v>
      </c>
      <c r="F11" s="213" t="s">
        <v>178</v>
      </c>
      <c r="G11" s="5"/>
      <c r="H11" s="68" t="s">
        <v>65</v>
      </c>
      <c r="I11" s="104">
        <v>0</v>
      </c>
      <c r="J11" s="213" t="s">
        <v>187</v>
      </c>
      <c r="K11" s="78"/>
      <c r="L11" s="78"/>
      <c r="M11" s="75" t="s">
        <v>74</v>
      </c>
      <c r="N11" s="124" t="s">
        <v>12</v>
      </c>
      <c r="O11" s="124" t="s">
        <v>12</v>
      </c>
      <c r="P11" s="124"/>
      <c r="Q11" s="124"/>
      <c r="R11" s="113"/>
      <c r="S11" s="50">
        <v>1100</v>
      </c>
      <c r="T11" s="74" t="s">
        <v>175</v>
      </c>
      <c r="U11" s="30">
        <v>0.2</v>
      </c>
      <c r="V11" s="105"/>
      <c r="W11" s="108"/>
      <c r="Y11" s="105"/>
      <c r="Z11" s="30"/>
      <c r="AA11" s="74"/>
      <c r="AB11" s="106"/>
      <c r="AC11" s="74"/>
      <c r="AD11" s="105"/>
      <c r="AE11" s="74"/>
      <c r="AF11" s="107"/>
      <c r="AG11" s="119"/>
      <c r="AH11" s="125" t="s">
        <v>175</v>
      </c>
      <c r="AI11" s="124">
        <v>2</v>
      </c>
      <c r="AJ11" s="126">
        <v>0.25</v>
      </c>
      <c r="AK11" s="114"/>
      <c r="AL11" s="115">
        <v>3</v>
      </c>
      <c r="AM11" s="6" t="s">
        <v>172</v>
      </c>
      <c r="AN11" s="130">
        <v>0.5</v>
      </c>
      <c r="AO11" s="86"/>
    </row>
    <row r="12" spans="3:41" ht="18.5" x14ac:dyDescent="0.45">
      <c r="C12" s="85"/>
      <c r="D12" s="68" t="s">
        <v>40</v>
      </c>
      <c r="E12" s="259" t="s">
        <v>225</v>
      </c>
      <c r="F12" s="213" t="s">
        <v>178</v>
      </c>
      <c r="G12" s="5"/>
      <c r="H12" s="68" t="s">
        <v>66</v>
      </c>
      <c r="I12" s="104">
        <v>100</v>
      </c>
      <c r="J12" s="213" t="str">
        <f>J15</f>
        <v>t/h</v>
      </c>
      <c r="K12" s="78"/>
      <c r="L12" s="78"/>
      <c r="M12" s="75" t="s">
        <v>75</v>
      </c>
      <c r="N12" s="124" t="s">
        <v>173</v>
      </c>
      <c r="O12" s="124" t="s">
        <v>173</v>
      </c>
      <c r="P12" s="78"/>
      <c r="Q12" s="126"/>
      <c r="R12" s="113"/>
      <c r="S12" s="50">
        <v>1000</v>
      </c>
      <c r="T12" s="74" t="s">
        <v>176</v>
      </c>
      <c r="U12" s="30">
        <v>1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176</v>
      </c>
      <c r="AI12" s="124">
        <v>2</v>
      </c>
      <c r="AJ12" s="126">
        <v>0.75</v>
      </c>
      <c r="AK12" s="114"/>
      <c r="AL12" s="115">
        <v>4</v>
      </c>
      <c r="AM12" s="6" t="s">
        <v>171</v>
      </c>
      <c r="AN12" s="130">
        <v>0.6</v>
      </c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78"/>
      <c r="L13" s="78"/>
      <c r="M13" s="75"/>
      <c r="N13" s="74" t="s">
        <v>171</v>
      </c>
      <c r="O13" s="74" t="s">
        <v>171</v>
      </c>
      <c r="P13" s="74"/>
      <c r="Q13" s="69"/>
      <c r="R13" s="113"/>
      <c r="S13" s="50"/>
      <c r="T13" s="74"/>
      <c r="U13" s="3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172</v>
      </c>
      <c r="AI13" s="105">
        <v>3</v>
      </c>
      <c r="AJ13" s="107">
        <v>-1</v>
      </c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78"/>
      <c r="L14" s="78"/>
      <c r="M14" s="76"/>
      <c r="N14" s="74" t="s">
        <v>172</v>
      </c>
      <c r="O14" s="74" t="s">
        <v>172</v>
      </c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 t="s">
        <v>175</v>
      </c>
      <c r="AI14" s="105">
        <v>3</v>
      </c>
      <c r="AJ14" s="107">
        <v>0.25</v>
      </c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78"/>
      <c r="L15" s="78"/>
      <c r="M15" s="76"/>
      <c r="N15" s="74" t="s">
        <v>169</v>
      </c>
      <c r="O15" s="74" t="s">
        <v>169</v>
      </c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 t="s">
        <v>176</v>
      </c>
      <c r="AI15" s="105">
        <v>3</v>
      </c>
      <c r="AJ15" s="107">
        <v>0.75</v>
      </c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78"/>
      <c r="L16" s="78"/>
      <c r="M16" s="76"/>
      <c r="N16" s="78"/>
      <c r="O16" s="20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 t="s">
        <v>171</v>
      </c>
      <c r="AI16" s="74">
        <v>4</v>
      </c>
      <c r="AJ16" s="107">
        <v>-1</v>
      </c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>
        <v>20</v>
      </c>
      <c r="F17" s="213" t="s">
        <v>182</v>
      </c>
      <c r="G17" s="5"/>
      <c r="H17" s="217"/>
      <c r="I17" s="69" t="s">
        <v>169</v>
      </c>
      <c r="J17" s="213" t="s">
        <v>178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 t="s">
        <v>175</v>
      </c>
      <c r="AI17" s="74">
        <v>4</v>
      </c>
      <c r="AJ17" s="107">
        <v>0.25</v>
      </c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>
        <v>35</v>
      </c>
      <c r="F18" s="213" t="s">
        <v>182</v>
      </c>
      <c r="G18" s="5"/>
      <c r="H18" s="76"/>
      <c r="I18" s="69" t="s">
        <v>171</v>
      </c>
      <c r="J18" s="213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 t="s">
        <v>176</v>
      </c>
      <c r="AI18" s="74">
        <v>4</v>
      </c>
      <c r="AJ18" s="107">
        <v>0.75</v>
      </c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175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175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213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80"/>
      <c r="J27" s="21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N11:Q11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N13:Q13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T10:T27 O12:Q12 AH10:AH27 N17:Q27 O13:O15 I16:I27 N12:N16 P14:Q16 AC10:AC27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zoomScale="58" zoomScaleNormal="58" workbookViewId="0">
      <selection activeCell="I12" sqref="I12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3.4531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77"/>
      <c r="E6" s="377"/>
      <c r="F6" s="5"/>
      <c r="G6" s="5"/>
      <c r="H6" s="377"/>
      <c r="I6" s="377"/>
      <c r="J6" s="15"/>
      <c r="K6" s="15"/>
      <c r="L6" s="5"/>
      <c r="M6" s="377"/>
      <c r="N6" s="377"/>
      <c r="O6" s="377"/>
      <c r="P6" s="377"/>
      <c r="Q6" s="5"/>
      <c r="R6" s="5"/>
      <c r="S6" s="378"/>
      <c r="T6" s="378"/>
      <c r="U6" s="378"/>
      <c r="V6" s="378"/>
      <c r="W6" s="378"/>
      <c r="X6" s="378"/>
      <c r="Y6" s="378"/>
      <c r="Z6" s="378"/>
      <c r="AA6" s="378"/>
      <c r="AB6" s="378"/>
      <c r="AC6" s="378"/>
      <c r="AD6" s="378"/>
      <c r="AE6" s="378"/>
      <c r="AF6" s="37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8" t="s">
        <v>50</v>
      </c>
      <c r="E8" s="359"/>
      <c r="F8" s="360"/>
      <c r="G8" s="5"/>
      <c r="H8" s="361" t="s">
        <v>51</v>
      </c>
      <c r="I8" s="362"/>
      <c r="J8" s="363"/>
      <c r="K8" s="16"/>
      <c r="L8" s="5"/>
      <c r="M8" s="371" t="s">
        <v>70</v>
      </c>
      <c r="N8" s="372"/>
      <c r="O8" s="372"/>
      <c r="P8" s="372"/>
      <c r="Q8" s="373"/>
      <c r="R8" s="5"/>
      <c r="S8" s="365" t="s">
        <v>76</v>
      </c>
      <c r="T8" s="366"/>
      <c r="U8" s="367"/>
      <c r="V8" s="12"/>
      <c r="W8" s="368" t="s">
        <v>106</v>
      </c>
      <c r="X8" s="369"/>
      <c r="Y8" s="369"/>
      <c r="Z8" s="370"/>
      <c r="AA8" s="11"/>
      <c r="AB8" s="368" t="s">
        <v>83</v>
      </c>
      <c r="AC8" s="369"/>
      <c r="AD8" s="369"/>
      <c r="AE8" s="369"/>
      <c r="AF8" s="370"/>
      <c r="AG8" s="11"/>
      <c r="AH8" s="374" t="s">
        <v>5</v>
      </c>
      <c r="AI8" s="375"/>
      <c r="AJ8" s="376"/>
      <c r="AK8" s="97"/>
      <c r="AL8" s="374" t="s">
        <v>6</v>
      </c>
      <c r="AM8" s="375"/>
      <c r="AN8" s="37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204</v>
      </c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113"/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5</v>
      </c>
      <c r="AJ10" s="126">
        <v>-1</v>
      </c>
      <c r="AK10" s="114"/>
      <c r="AL10" s="127">
        <v>5</v>
      </c>
      <c r="AM10" s="128" t="s">
        <v>175</v>
      </c>
      <c r="AN10" s="129">
        <v>1</v>
      </c>
      <c r="AO10" s="86"/>
    </row>
    <row r="11" spans="3:41" ht="18.5" x14ac:dyDescent="0.45">
      <c r="C11" s="85"/>
      <c r="D11" s="68" t="s">
        <v>3</v>
      </c>
      <c r="E11" s="69">
        <v>300</v>
      </c>
      <c r="F11" s="213" t="s">
        <v>178</v>
      </c>
      <c r="G11" s="5"/>
      <c r="H11" s="68" t="s">
        <v>65</v>
      </c>
      <c r="I11" s="104">
        <v>0</v>
      </c>
      <c r="J11" s="86" t="s">
        <v>187</v>
      </c>
      <c r="K11" s="78"/>
      <c r="L11" s="78"/>
      <c r="M11" s="75" t="s">
        <v>74</v>
      </c>
      <c r="N11" s="124"/>
      <c r="O11" s="124"/>
      <c r="P11" s="124"/>
      <c r="Q11" s="124"/>
      <c r="R11" s="113"/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161</v>
      </c>
      <c r="F12" s="213" t="s">
        <v>178</v>
      </c>
      <c r="G12" s="5"/>
      <c r="H12" s="68" t="s">
        <v>66</v>
      </c>
      <c r="I12" s="104">
        <v>100</v>
      </c>
      <c r="J12" s="86" t="str">
        <f>J15</f>
        <v>t/h</v>
      </c>
      <c r="K12" s="78"/>
      <c r="L12" s="78"/>
      <c r="M12" s="75" t="s">
        <v>75</v>
      </c>
      <c r="N12" s="124"/>
      <c r="O12" s="124"/>
      <c r="P12" s="78"/>
      <c r="Q12" s="126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E13" s="3" t="s">
        <v>205</v>
      </c>
      <c r="F13" s="213" t="s">
        <v>178</v>
      </c>
      <c r="G13" s="5"/>
      <c r="H13" s="68" t="s">
        <v>67</v>
      </c>
      <c r="I13" s="104">
        <v>0.1</v>
      </c>
      <c r="J13" s="86" t="s">
        <v>178</v>
      </c>
      <c r="K13" s="78"/>
      <c r="L13" s="78"/>
      <c r="M13" s="75" t="s">
        <v>191</v>
      </c>
      <c r="N13" s="74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78"/>
      <c r="L14" s="78"/>
      <c r="M14" s="76"/>
      <c r="N14" s="78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8.5" x14ac:dyDescent="0.4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78"/>
      <c r="L15" s="78"/>
      <c r="M15" s="76"/>
      <c r="N15" s="78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8.5" x14ac:dyDescent="0.45">
      <c r="C16" s="85"/>
      <c r="D16" s="68" t="s">
        <v>57</v>
      </c>
      <c r="E16" s="69">
        <v>1.44</v>
      </c>
      <c r="F16" s="213" t="s">
        <v>178</v>
      </c>
      <c r="G16" s="5"/>
      <c r="H16" s="75" t="s">
        <v>53</v>
      </c>
      <c r="I16" s="69" t="s">
        <v>175</v>
      </c>
      <c r="J16" s="86" t="s">
        <v>178</v>
      </c>
      <c r="K16" s="78"/>
      <c r="L16" s="78"/>
      <c r="M16" s="76"/>
      <c r="N16" s="78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 t="s">
        <v>191</v>
      </c>
      <c r="I17" s="69"/>
      <c r="J17" s="86" t="s">
        <v>178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69"/>
      <c r="J18" s="86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69"/>
      <c r="J19" s="86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69"/>
      <c r="J20" s="86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0.57999999999999996</v>
      </c>
      <c r="F21" s="213" t="s">
        <v>178</v>
      </c>
      <c r="G21" s="5"/>
      <c r="H21" s="109"/>
      <c r="I21" s="69"/>
      <c r="J21" s="86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86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86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91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91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86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80"/>
      <c r="J27" s="6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J35" sqref="J3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77"/>
      <c r="E6" s="377"/>
      <c r="F6" s="5"/>
      <c r="G6" s="5"/>
      <c r="H6" s="377"/>
      <c r="I6" s="377"/>
      <c r="J6" s="15"/>
      <c r="K6" s="15"/>
      <c r="L6" s="5"/>
      <c r="M6" s="377"/>
      <c r="N6" s="377"/>
      <c r="O6" s="377"/>
      <c r="P6" s="377"/>
      <c r="Q6" s="5"/>
      <c r="R6" s="5"/>
      <c r="S6" s="378"/>
      <c r="T6" s="378"/>
      <c r="U6" s="378"/>
      <c r="V6" s="378"/>
      <c r="W6" s="378"/>
      <c r="X6" s="378"/>
      <c r="Y6" s="378"/>
      <c r="Z6" s="378"/>
      <c r="AA6" s="378"/>
      <c r="AB6" s="378"/>
      <c r="AC6" s="378"/>
      <c r="AD6" s="378"/>
      <c r="AE6" s="378"/>
      <c r="AF6" s="37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8" t="s">
        <v>50</v>
      </c>
      <c r="E8" s="359"/>
      <c r="F8" s="360"/>
      <c r="G8" s="5"/>
      <c r="H8" s="361" t="s">
        <v>51</v>
      </c>
      <c r="I8" s="362"/>
      <c r="J8" s="363"/>
      <c r="K8" s="5"/>
      <c r="L8" s="5"/>
      <c r="M8" s="371" t="s">
        <v>70</v>
      </c>
      <c r="N8" s="372"/>
      <c r="O8" s="372"/>
      <c r="P8" s="372"/>
      <c r="Q8" s="373"/>
      <c r="R8" s="5"/>
      <c r="S8" s="365" t="s">
        <v>76</v>
      </c>
      <c r="T8" s="366"/>
      <c r="U8" s="367"/>
      <c r="V8" s="12"/>
      <c r="W8" s="368" t="s">
        <v>106</v>
      </c>
      <c r="X8" s="369"/>
      <c r="Y8" s="369"/>
      <c r="Z8" s="370"/>
      <c r="AA8" s="11"/>
      <c r="AB8" s="368" t="s">
        <v>83</v>
      </c>
      <c r="AC8" s="369"/>
      <c r="AD8" s="369"/>
      <c r="AE8" s="369"/>
      <c r="AF8" s="370"/>
      <c r="AG8" s="11"/>
      <c r="AH8" s="374" t="s">
        <v>5</v>
      </c>
      <c r="AI8" s="375"/>
      <c r="AJ8" s="376"/>
      <c r="AK8" s="97"/>
      <c r="AL8" s="374" t="s">
        <v>6</v>
      </c>
      <c r="AM8" s="375"/>
      <c r="AN8" s="37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227</v>
      </c>
      <c r="F10" s="213" t="s">
        <v>178</v>
      </c>
      <c r="G10" s="5"/>
      <c r="H10" s="66" t="s">
        <v>2</v>
      </c>
      <c r="I10" s="67"/>
      <c r="J10" s="95" t="s">
        <v>178</v>
      </c>
      <c r="K10" s="5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5</v>
      </c>
      <c r="AJ10" s="126">
        <v>-1</v>
      </c>
      <c r="AK10" s="114"/>
      <c r="AL10" s="127">
        <v>5</v>
      </c>
      <c r="AM10" s="128" t="s">
        <v>175</v>
      </c>
      <c r="AN10" s="129">
        <v>1</v>
      </c>
      <c r="AO10" s="86"/>
    </row>
    <row r="11" spans="3:41" ht="19" thickBot="1" x14ac:dyDescent="0.5">
      <c r="C11" s="85"/>
      <c r="D11" s="68" t="s">
        <v>3</v>
      </c>
      <c r="E11" s="69">
        <v>310</v>
      </c>
      <c r="F11" s="213" t="s">
        <v>178</v>
      </c>
      <c r="G11" s="5"/>
      <c r="H11" s="68" t="s">
        <v>65</v>
      </c>
      <c r="I11" s="104">
        <v>0</v>
      </c>
      <c r="J11" s="86" t="s">
        <v>187</v>
      </c>
      <c r="K11" s="5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23</v>
      </c>
      <c r="F12" s="213" t="s">
        <v>178</v>
      </c>
      <c r="G12" s="5"/>
      <c r="H12" s="68" t="s">
        <v>66</v>
      </c>
      <c r="I12" s="104">
        <v>100</v>
      </c>
      <c r="J12" s="86" t="str">
        <f>J15</f>
        <v>t/h</v>
      </c>
      <c r="K12" s="5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86" t="s">
        <v>178</v>
      </c>
      <c r="K13" s="5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5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5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241" t="s">
        <v>175</v>
      </c>
      <c r="J16" s="95" t="s">
        <v>178</v>
      </c>
      <c r="K16" s="5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2"/>
      <c r="J17" s="86" t="s">
        <v>178</v>
      </c>
      <c r="K17" s="5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2"/>
      <c r="J18" s="86" t="s">
        <v>178</v>
      </c>
      <c r="K18" s="5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2"/>
      <c r="J19" s="86" t="s">
        <v>178</v>
      </c>
      <c r="K19" s="5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2"/>
      <c r="J20" s="86" t="s">
        <v>178</v>
      </c>
      <c r="K20" s="5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0.83</v>
      </c>
      <c r="F21" s="213" t="s">
        <v>178</v>
      </c>
      <c r="G21" s="5"/>
      <c r="H21" s="109"/>
      <c r="I21" s="242"/>
      <c r="J21" s="86" t="s">
        <v>178</v>
      </c>
      <c r="K21" s="5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86" t="s">
        <v>178</v>
      </c>
      <c r="K22" s="5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86" t="s">
        <v>178</v>
      </c>
      <c r="K23" s="5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86" t="s">
        <v>178</v>
      </c>
      <c r="K24" s="5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86" t="s">
        <v>178</v>
      </c>
      <c r="K25" s="5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86" t="s">
        <v>178</v>
      </c>
      <c r="K26" s="5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64" t="s">
        <v>178</v>
      </c>
      <c r="K27" s="5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Systemblatt</vt:lpstr>
      <vt:lpstr>Template_PhysicalProcess</vt:lpstr>
      <vt:lpstr>Template_StoichReactor</vt:lpstr>
      <vt:lpstr>Template_YieldReactor</vt:lpstr>
      <vt:lpstr>Template_ElGenerator</vt:lpstr>
      <vt:lpstr>Template_SteamGenerator</vt:lpstr>
      <vt:lpstr>DataBank</vt:lpstr>
      <vt:lpstr>Pools</vt:lpstr>
      <vt:lpstr>Sources</vt:lpstr>
      <vt:lpstr>Uncertainty_test_idea</vt:lpstr>
      <vt:lpstr>Distributor</vt:lpstr>
      <vt:lpstr>Uncertainty</vt:lpstr>
      <vt:lpstr>testYield</vt:lpstr>
      <vt:lpstr>preprocessing</vt:lpstr>
      <vt:lpstr>help_unit</vt:lpstr>
      <vt:lpstr>Microwave assisted extraction</vt:lpstr>
      <vt:lpstr>Solvent recovery</vt:lpstr>
      <vt:lpstr>ultra sound assisted extraction</vt:lpstr>
      <vt:lpstr>Solvent Recovery 2</vt:lpstr>
      <vt:lpstr>Yeast Fermentation</vt:lpstr>
      <vt:lpstr>Anaerobic Digestor</vt:lpstr>
      <vt:lpstr>elek Generator</vt:lpstr>
      <vt:lpstr>steam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2024-02-06T15:00:57Z</dcterms:modified>
</cp:coreProperties>
</file>