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ECC1BCCC-1E02-45CD-9141-D33C348A881C}" xr6:coauthVersionLast="47" xr6:coauthVersionMax="47" xr10:uidLastSave="{00000000-0000-0000-0000-000000000000}"/>
  <bookViews>
    <workbookView xWindow="57480" yWindow="-1680" windowWidth="29040" windowHeight="15720" tabRatio="816" xr2:uid="{F0922C42-4112-4628-95FA-9F15DE1E480B}"/>
  </bookViews>
  <sheets>
    <sheet name="Systemblatt" sheetId="14" r:id="rId1"/>
    <sheet name="DataBank" sheetId="12" state="hidden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Lactic Acid fermentation " sheetId="142" r:id="rId16"/>
    <sheet name="Polymerisation" sheetId="143" r:id="rId17"/>
    <sheet name="help_unit" sheetId="129" r:id="rId18"/>
    <sheet name="Microwave assisted extraction" sheetId="125" r:id="rId19"/>
    <sheet name="ultra sound assisted extraction" sheetId="133" r:id="rId20"/>
    <sheet name="Solvent recovery" sheetId="132" r:id="rId21"/>
    <sheet name="Solvent Recovery 2" sheetId="134" r:id="rId22"/>
    <sheet name="Yeast Fermentation" sheetId="127" r:id="rId23"/>
    <sheet name="Anaerobic Digestor" sheetId="126" r:id="rId24"/>
    <sheet name="elek Generator" sheetId="128" r:id="rId25"/>
    <sheet name="steam generator" sheetId="131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14" l="1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<sst xmlns="http://schemas.openxmlformats.org/spreadsheetml/2006/main" count="2739" uniqueCount="463">
  <si>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</si>
  <si>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</si>
  <si>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</si>
  <si>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</si>
  <si>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</si>
  <si>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</si>
  <si>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</si>
  <si>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</si>
  <si>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</si>
  <si>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</si>
  <si>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</si>
  <si>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</si>
  <si>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</si>
  <si>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</si>
  <si>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</si>
  <si>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</si>
  <si>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</si>
  <si>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</si>
  <si>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</si>
  <si>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</si>
  <si>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</si>
  <si>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</si>
  <si>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</si>
  <si>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</si>
  <si>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</si>
  <si>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</si>
  <si>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</si>
  <si>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</si>
  <si>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</si>
  <si>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</si>
  <si>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</si>
  <si>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</si>
  <si>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</si>
  <si>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</si>
  <si>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</si>
  <si>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</si>
  <si>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</si>
  <si>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</si>
  <si>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</si>
  <si>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</si>
  <si>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</si>
  <si>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</si>
  <si>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</si>
  <si>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</si>
  <si>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</si>
  <si>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</si>
  <si>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</si>
  <si>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</si>
  <si>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</si>
  <si>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</si>
  <si>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</si>
  <si>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</si>
  <si>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</si>
  <si>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</si>
  <si>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</si>
  <si>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</si>
  <si>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</si>
  <si>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</si>
  <si>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</si>
  <si>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</si>
  <si>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</si>
  <si>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</si>
  <si>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</si>
  <si>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</si>
  <si>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</si>
  <si>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</si>
  <si>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</si>
  <si>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</si>
  <si>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</si>
  <si>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</si>
  <si>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</si>
  <si>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</si>
  <si>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</si>
  <si>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</si>
  <si>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</si>
  <si>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</si>
  <si>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</si>
  <si>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</si>
  <si>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</si>
  <si>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</si>
  <si>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</si>
  <si>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</si>
  <si>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</si>
  <si>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</si>
  <si>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</si>
  <si>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</si>
  <si>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</si>
  <si>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</si>
  <si>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</si>
  <si>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</si>
  <si>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</si>
  <si>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</si>
  <si>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</si>
  <si>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</si>
  <si>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</si>
  <si>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</si>
  <si>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</si>
  <si>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</si>
  <si>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</si>
  <si>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</si>
  <si>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</si>
  <si>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</si>
  <si>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</si>
  <si>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</si>
  <si>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</si>
  <si>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</si>
  <si>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</si>
  <si>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</si>
  <si>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</si>
  <si>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</si>
  <si>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</si>
  <si>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</si>
  <si>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</si>
  <si>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</si>
  <si>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</si>
  <si>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</si>
  <si>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</si>
  <si>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</si>
  <si>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</si>
  <si>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</si>
  <si>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</si>
  <si>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</si>
  <si>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</si>
  <si>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</si>
  <si>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</si>
  <si>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</si>
  <si>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</si>
  <si>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</si>
  <si>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</si>
  <si>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</si>
  <si>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</si>
  <si>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</si>
  <si>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</si>
  <si>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</si>
  <si>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</si>
  <si>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</si>
  <si>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</si>
  <si>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</si>
  <si>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</si>
  <si>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</si>
  <si>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</si>
  <si>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</si>
  <si>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</si>
  <si>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</si>
  <si>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</si>
  <si>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</si>
  <si>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</si>
  <si>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</si>
  <si>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</si>
  <si>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</si>
  <si>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</si>
  <si>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</si>
  <si>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</si>
  <si>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</si>
  <si>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</si>
  <si>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</si>
  <si>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</si>
  <si>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</si>
  <si>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</si>
  <si>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</si>
  <si>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</si>
  <si>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</si>
  <si>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</si>
  <si>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</si>
  <si>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</si>
  <si>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</si>
  <si>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</si>
  <si>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</si>
  <si>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</si>
  <si>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</si>
  <si>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</si>
  <si>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</si>
  <si>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</si>
  <si>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</si>
  <si>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</si>
  <si>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</si>
  <si>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</si>
  <si>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</si>
  <si>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</si>
  <si>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</si>
  <si>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</si>
  <si>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</si>
  <si>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</si>
  <si>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</si>
  <si>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</si>
  <si>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</si>
  <si>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</si>
  <si>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</si>
  <si>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</si>
  <si>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</si>
  <si>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</si>
  <si>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</si>
  <si>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</si>
  <si>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</si>
  <si>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</si>
  <si>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</si>
  <si>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</si>
  <si>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</si>
  <si>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</si>
  <si>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</si>
  <si>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</si>
  <si>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</si>
  <si>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</si>
  <si>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</si>
  <si>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</si>
  <si>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</si>
  <si>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</si>
  <si>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</si>
  <si>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</si>
  <si>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</si>
  <si>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</si>
  <si>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</si>
  <si>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</si>
  <si>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</si>
  <si>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</si>
  <si>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</si>
  <si>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</si>
  <si>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</si>
  <si>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</si>
  <si>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</si>
  <si>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</si>
  <si>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</si>
  <si>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</si>
  <si>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</si>
  <si>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</si>
  <si>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</si>
  <si>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</si>
  <si>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</si>
  <si>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</si>
  <si>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</si>
  <si>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</si>
  <si>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</si>
  <si>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</si>
  <si>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</si>
  <si>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</si>
  <si>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</si>
  <si>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</si>
  <si>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</si>
  <si>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</si>
  <si>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</si>
  <si>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</si>
  <si>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</si>
  <si>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</si>
  <si>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</si>
  <si>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</si>
  <si>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</si>
  <si>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</si>
  <si>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</si>
  <si>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</si>
  <si>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</si>
  <si>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</si>
  <si>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</si>
  <si>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</si>
  <si>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</si>
  <si>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</si>
  <si>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</si>
  <si>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</si>
  <si>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</si>
  <si>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</si>
  <si>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</si>
  <si>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</si>
  <si>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</si>
  <si>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</si>
  <si>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</si>
  <si>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</si>
  <si>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</si>
  <si>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</si>
  <si>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</si>
  <si>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</si>
  <si>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</si>
  <si>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</si>
  <si>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</si>
  <si>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</si>
  <si>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</si>
  <si>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</si>
  <si>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</si>
  <si>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</si>
  <si>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</si>
  <si>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</si>
  <si>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</si>
  <si>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</si>
  <si>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</si>
  <si>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</si>
  <si>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</si>
  <si>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</si>
  <si>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</si>
  <si>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</si>
  <si>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</si>
  <si>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</si>
  <si>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</si>
  <si>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</si>
  <si>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</si>
  <si>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</si>
  <si>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</si>
  <si>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</si>
  <si>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</si>
  <si>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</si>
  <si>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</si>
  <si>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</si>
  <si>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</si>
  <si>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</si>
  <si>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</si>
  <si>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</si>
  <si>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</si>
  <si>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</si>
  <si>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</si>
  <si>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</si>
  <si>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</si>
  <si>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</si>
  <si>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</si>
  <si>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odds</t>
  </si>
  <si>
    <t>[0.1, 0.8, 0.1}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</si>
  <si>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</si>
  <si>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</si>
  <si>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</si>
  <si>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</si>
  <si>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</si>
  <si>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</si>
  <si>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</si>
  <si>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</si>
  <si>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</si>
  <si>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</si>
  <si>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</si>
  <si>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</si>
  <si>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</si>
  <si>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</si>
  <si>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</si>
  <si>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</si>
  <si>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</si>
  <si>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</si>
  <si>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</si>
  <si>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</si>
  <si>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</si>
  <si>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</si>
  <si>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</si>
  <si>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</si>
  <si>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</si>
  <si>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</si>
  <si>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</si>
  <si>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</si>
  <si>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</si>
  <si>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</si>
  <si>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</si>
  <si>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</si>
  <si>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</si>
  <si>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</si>
  <si>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</si>
  <si>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</si>
  <si>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</si>
  <si>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</si>
  <si>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</si>
  <si>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</si>
  <si>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</si>
  <si>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</si>
  <si>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</si>
  <si>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</si>
  <si>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</si>
  <si>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</si>
  <si>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</si>
  <si>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</si>
  <si>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</si>
  <si>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</si>
  <si>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</si>
  <si>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</si>
  <si>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</si>
  <si>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</si>
  <si>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</si>
  <si>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</si>
  <si>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</si>
  <si>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</si>
  <si>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</si>
  <si>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</si>
  <si>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</si>
  <si>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</si>
  <si>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</si>
  <si>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</si>
  <si>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</si>
  <si>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</si>
  <si>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</si>
  <si>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</si>
  <si>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</si>
  <si>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</si>
  <si>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</si>
  <si>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</si>
  <si>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</si>
  <si>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</si>
  <si>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</si>
  <si>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</si>
  <si>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</si>
  <si>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</si>
  <si>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</si>
  <si>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</si>
  <si>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</si>
  <si>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</si>
  <si>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</si>
  <si>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</si>
  <si>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</si>
  <si>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</si>
  <si>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</si>
  <si>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</si>
  <si>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</si>
  <si>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</si>
  <si>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</si>
  <si>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</si>
  <si>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</si>
  <si>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</si>
  <si>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</si>
  <si>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</si>
  <si>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</si>
  <si>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</si>
  <si>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</si>
  <si>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</si>
  <si>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</si>
  <si>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</si>
  <si>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</si>
  <si>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</si>
  <si>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</si>
  <si>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</si>
  <si>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</si>
  <si>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</si>
  <si>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</si>
  <si>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</si>
  <si>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</si>
  <si>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</si>
  <si>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</si>
  <si>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</si>
  <si>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</si>
  <si>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</si>
  <si>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</si>
  <si>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</si>
  <si>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</si>
  <si>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</si>
  <si>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</si>
  <si>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</si>
  <si>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</si>
  <si>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</si>
  <si>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</si>
  <si>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</si>
  <si>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</si>
  <si>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</si>
  <si>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</si>
  <si>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</si>
  <si>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</si>
  <si>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</si>
  <si>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</si>
  <si>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</si>
  <si>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</si>
  <si>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</si>
  <si>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</si>
  <si>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</si>
  <si>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</si>
  <si>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</si>
  <si>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</si>
  <si>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Product prices</t>
  </si>
  <si>
    <t xml:space="preserve">Theta 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</si>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</sst>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</fonts>
  <fills count="19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32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23" fillId="17" borderId="5" xfId="0" applyFont="1" applyFill="1" applyBorder="1" applyAlignment="1">
      <alignment horizontal="center"/>
    </xf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165" fontId="0" fillId="5" borderId="3" xfId="0" applyNumberFormat="1" applyFill="1" applyBorder="1" applyAlignment="1">
      <alignment horizontal="center"/>
    </xf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5" borderId="1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0" xfId="0" applyFill="1" applyBorder="1"/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Fill="1" applyAlignment="1">
      <alignment horizontal="center"/>
    </xf>
    <xf numFmtId="0" fontId="0" fillId="5" borderId="0" xfId="0" applyFill="1" applyAlignment="1" applyProtection="1">
      <protection locked="0"/>
    </xf>
  </cellXfs>
  <cellStyles count="9">
    <cellStyle name="Hipervínculo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328084</xdr:colOff>
      <xdr:row>24</xdr:row>
      <xdr:rowOff>169333</xdr:rowOff>
    </xdr:from>
    <xdr:to>
      <xdr:col>19</xdr:col>
      <xdr:colOff>116416</xdr:colOff>
      <xdr:row>34</xdr:row>
      <xdr:rowOff>158750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165917" y="4614333"/>
          <a:ext cx="3164416" cy="18203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</a:t>
          </a:r>
          <a:r>
            <a:rPr lang="en-US" sz="1100" baseline="0"/>
            <a:t> to self,</a:t>
          </a:r>
        </a:p>
        <a:p>
          <a:endParaRPr lang="en-US" sz="1100" baseline="0"/>
        </a:p>
        <a:p>
          <a:r>
            <a:rPr lang="en-US" sz="1100" baseline="0"/>
            <a:t>I could speciefe individually what the ods are as a vecotr, of eavh value occuring! </a:t>
          </a:r>
        </a:p>
        <a:p>
          <a:endParaRPr lang="en-US" sz="1100" baseline="0"/>
        </a:p>
        <a:p>
          <a:r>
            <a:rPr lang="en-US" sz="1100" baseline="0"/>
            <a:t>the odds of a scenario then happening is the product of all the odds of each uncertain parameter of that scenario!! todo I want to put this in the code!!! </a:t>
          </a:r>
          <a:endParaRPr lang="en-US" sz="1100"/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411523</xdr:colOff>
      <xdr:row>44</xdr:row>
      <xdr:rowOff>45508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24</xdr:col>
      <xdr:colOff>105833</xdr:colOff>
      <xdr:row>9</xdr:row>
      <xdr:rowOff>179917</xdr:rowOff>
    </xdr:from>
    <xdr:to>
      <xdr:col>28</xdr:col>
      <xdr:colOff>451907</xdr:colOff>
      <xdr:row>19</xdr:row>
      <xdr:rowOff>172509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DAE28391-E5D0-435E-8B55-423C1552418B}"/>
            </a:ext>
          </a:extLst>
        </xdr:cNvPr>
        <xdr:cNvSpPr txBox="1"/>
      </xdr:nvSpPr>
      <xdr:spPr>
        <a:xfrm>
          <a:off x="23241000" y="1873250"/>
          <a:ext cx="3394074" cy="18235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abSelected="1" zoomScale="70" zoomScaleNormal="70" workbookViewId="0">
      <selection activeCell="C7" sqref="C7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089843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68" t="s">
        <v>29</v>
      </c>
      <c r="C3" s="369"/>
      <c r="D3" s="370"/>
      <c r="F3" s="320" t="s">
        <v>32</v>
      </c>
      <c r="G3" s="321"/>
      <c r="H3" s="321"/>
      <c r="I3" s="321"/>
      <c r="J3" s="321"/>
      <c r="K3" s="322"/>
      <c r="L3" s="14"/>
      <c r="M3" s="14"/>
      <c r="N3" s="374" t="s">
        <v>35</v>
      </c>
      <c r="O3" s="375"/>
      <c r="P3" s="376"/>
      <c r="Q3" s="14"/>
      <c r="R3" s="14"/>
      <c r="S3" s="377" t="s">
        <v>39</v>
      </c>
      <c r="T3" s="378"/>
      <c r="U3" s="378"/>
      <c r="V3" s="379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452</v>
      </c>
      <c r="D5" s="231" t="s">
        <v>176</v>
      </c>
      <c r="E5" s="14"/>
      <c r="F5" s="24" t="s">
        <v>319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319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343</v>
      </c>
      <c r="P10" s="30" t="s">
        <v>321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344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420</v>
      </c>
      <c r="P12" s="30" t="s">
        <v>321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318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5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66"/>
      <c r="X18" s="366"/>
      <c r="Y18" s="366"/>
      <c r="Z18" s="367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179</v>
      </c>
      <c r="E19" s="14"/>
      <c r="F19" s="24" t="s">
        <v>321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64"/>
      <c r="Z19" s="365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181</v>
      </c>
      <c r="E20" s="14"/>
      <c r="F20" s="24" t="s">
        <v>342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64"/>
      <c r="Z20" s="365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64"/>
      <c r="Z21" s="365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64"/>
      <c r="Z22" s="365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80"/>
      <c r="U23" s="380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71" t="s">
        <v>133</v>
      </c>
      <c r="O30" s="372"/>
      <c r="P30" s="373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371" t="s">
        <v>140</v>
      </c>
      <c r="T31" s="372"/>
      <c r="U31" s="372"/>
      <c r="V31" s="372"/>
      <c r="W31" s="373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topLeftCell="C1" workbookViewId="0">
      <selection activeCell="P2" sqref="P2"/>
    </sheetView>
  </sheetViews>
  <sheetFormatPr baseColWidth="10" defaultColWidth="10.90625" defaultRowHeight="14.5" x14ac:dyDescent="0.35"/>
  <cols>
    <col min="7" max="8" width="24.08984375" bestFit="1" customWidth="1"/>
  </cols>
  <sheetData>
    <row r="1" spans="1:21" ht="15.5" x14ac:dyDescent="0.35">
      <c r="A1" t="s">
        <v>26</v>
      </c>
      <c r="B1" t="s">
        <v>187</v>
      </c>
      <c r="F1" s="1" t="s">
        <v>16</v>
      </c>
      <c r="L1" t="s">
        <v>138</v>
      </c>
      <c r="P1" t="s">
        <v>327</v>
      </c>
    </row>
    <row r="2" spans="1:21" ht="15.5" x14ac:dyDescent="0.3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327</v>
      </c>
    </row>
    <row r="3" spans="1:21" ht="15.5" x14ac:dyDescent="0.3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1" ht="15.5" x14ac:dyDescent="0.3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1" ht="15.5" x14ac:dyDescent="0.35">
      <c r="A5" t="s">
        <v>20</v>
      </c>
      <c r="C5" t="s">
        <v>20</v>
      </c>
      <c r="F5" s="227" t="s">
        <v>215</v>
      </c>
      <c r="L5" t="s">
        <v>124</v>
      </c>
    </row>
    <row r="6" spans="1:21" x14ac:dyDescent="0.35">
      <c r="A6" t="s">
        <v>24</v>
      </c>
      <c r="C6" t="s">
        <v>24</v>
      </c>
      <c r="L6" t="s">
        <v>125</v>
      </c>
    </row>
    <row r="7" spans="1:21" x14ac:dyDescent="0.35">
      <c r="A7" t="s">
        <v>109</v>
      </c>
      <c r="L7" t="s">
        <v>123</v>
      </c>
    </row>
    <row r="8" spans="1:21" x14ac:dyDescent="0.35">
      <c r="A8" t="s">
        <v>110</v>
      </c>
      <c r="L8" t="s">
        <v>162</v>
      </c>
    </row>
    <row r="9" spans="1:21" x14ac:dyDescent="0.35">
      <c r="A9" t="s">
        <v>119</v>
      </c>
      <c r="L9" t="s">
        <v>163</v>
      </c>
    </row>
    <row r="10" spans="1:21" x14ac:dyDescent="0.35">
      <c r="A10" t="s">
        <v>120</v>
      </c>
      <c r="L10" t="s">
        <v>164</v>
      </c>
    </row>
    <row r="14" spans="1:21" x14ac:dyDescent="0.35">
      <c r="A14" t="s">
        <v>218</v>
      </c>
    </row>
    <row r="15" spans="1:21" x14ac:dyDescent="0.35">
      <c r="A15" t="s">
        <v>216</v>
      </c>
    </row>
    <row r="16" spans="1:21" x14ac:dyDescent="0.35">
      <c r="G16" s="323" t="s">
        <v>127</v>
      </c>
      <c r="H16" s="323" t="s">
        <v>149</v>
      </c>
      <c r="I16" t="s">
        <v>150</v>
      </c>
      <c r="J16" t="s">
        <v>152</v>
      </c>
      <c r="K16" t="s">
        <v>153</v>
      </c>
      <c r="M16" t="s">
        <v>244</v>
      </c>
      <c r="O16" t="s">
        <v>251</v>
      </c>
      <c r="R16" t="s">
        <v>253</v>
      </c>
      <c r="U16" t="s">
        <v>252</v>
      </c>
    </row>
    <row r="17" spans="7:21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</row>
    <row r="18" spans="7:21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</row>
    <row r="19" spans="7:21" x14ac:dyDescent="0.3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</row>
    <row r="20" spans="7:21" x14ac:dyDescent="0.35">
      <c r="G20" t="s">
        <v>129</v>
      </c>
      <c r="H20" t="s">
        <v>137</v>
      </c>
      <c r="R20" t="s">
        <v>247</v>
      </c>
    </row>
    <row r="21" spans="7:21" x14ac:dyDescent="0.35">
      <c r="G21" t="s">
        <v>225</v>
      </c>
      <c r="H21" t="s">
        <v>288</v>
      </c>
    </row>
    <row r="22" spans="7:21" x14ac:dyDescent="0.35">
      <c r="G22" t="s">
        <v>291</v>
      </c>
    </row>
    <row r="35" spans="2:2" x14ac:dyDescent="0.35">
      <c r="B35" t="s">
        <v>219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91"/>
      <c r="E47" s="391"/>
      <c r="F47" s="391"/>
      <c r="G47" s="391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02"/>
      <c r="E6" s="402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11"/>
      <c r="AH8" s="399" t="s">
        <v>5</v>
      </c>
      <c r="AI8" s="400"/>
      <c r="AJ8" s="401"/>
      <c r="AK8" s="94"/>
      <c r="AL8" s="399" t="s">
        <v>6</v>
      </c>
      <c r="AM8" s="400"/>
      <c r="AN8" s="401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02"/>
      <c r="E6" s="402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5" t="s">
        <v>76</v>
      </c>
      <c r="T8" s="386"/>
      <c r="U8" s="387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11"/>
      <c r="AH8" s="385" t="s">
        <v>7</v>
      </c>
      <c r="AI8" s="386"/>
      <c r="AJ8" s="387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02"/>
      <c r="E6" s="402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11"/>
      <c r="AH8" s="399" t="s">
        <v>5</v>
      </c>
      <c r="AI8" s="400"/>
      <c r="AJ8" s="401"/>
      <c r="AK8" s="94"/>
      <c r="AL8" s="399" t="s">
        <v>6</v>
      </c>
      <c r="AM8" s="400"/>
      <c r="AN8" s="401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02"/>
      <c r="E6" s="402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5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11"/>
      <c r="AH8" s="399" t="s">
        <v>5</v>
      </c>
      <c r="AI8" s="400"/>
      <c r="AJ8" s="401"/>
      <c r="AK8" s="94"/>
      <c r="AL8" s="399" t="s">
        <v>6</v>
      </c>
      <c r="AM8" s="400"/>
      <c r="AN8" s="401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O25" sqref="O25"/>
    </sheetView>
  </sheetViews>
  <sheetFormatPr baseColWidth="10" defaultColWidth="10.9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293</v>
      </c>
      <c r="C5" s="404" t="s">
        <v>99</v>
      </c>
      <c r="D5" s="405"/>
      <c r="E5" s="405"/>
      <c r="F5" s="405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6"/>
      <c r="R5" t="s">
        <v>22</v>
      </c>
    </row>
    <row r="6" spans="2:18" ht="18.5" x14ac:dyDescent="0.45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315</v>
      </c>
      <c r="I6" s="165" t="s">
        <v>321</v>
      </c>
      <c r="J6" s="165"/>
      <c r="K6" s="165"/>
      <c r="L6" s="165"/>
      <c r="M6" s="165"/>
      <c r="N6" s="165"/>
      <c r="O6" s="165"/>
      <c r="P6" s="165"/>
      <c r="Q6" s="328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203</v>
      </c>
      <c r="D10" s="116">
        <v>0</v>
      </c>
      <c r="E10" s="430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8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186</v>
      </c>
      <c r="C14" s="128" t="s">
        <v>294</v>
      </c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297</v>
      </c>
    </row>
    <row r="20" spans="2:11" x14ac:dyDescent="0.35">
      <c r="B20" s="326" t="s">
        <v>300</v>
      </c>
      <c r="F20">
        <v>3000</v>
      </c>
    </row>
    <row r="21" spans="2:11" x14ac:dyDescent="0.35">
      <c r="B21" t="s">
        <v>298</v>
      </c>
      <c r="C21">
        <v>76</v>
      </c>
      <c r="D21" t="s">
        <v>301</v>
      </c>
    </row>
    <row r="22" spans="2:11" x14ac:dyDescent="0.35">
      <c r="B22" t="s">
        <v>299</v>
      </c>
      <c r="C22">
        <v>182</v>
      </c>
      <c r="D22" t="s">
        <v>301</v>
      </c>
    </row>
    <row r="23" spans="2:11" x14ac:dyDescent="0.35">
      <c r="B23" t="s">
        <v>460</v>
      </c>
      <c r="C23">
        <f xml:space="preserve"> (C21+C22)/2 * 1000</f>
        <v>129000</v>
      </c>
    </row>
    <row r="24" spans="2:11" x14ac:dyDescent="0.35">
      <c r="B24" t="s">
        <v>308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302</v>
      </c>
      <c r="F29">
        <v>2000</v>
      </c>
    </row>
    <row r="30" spans="2:11" x14ac:dyDescent="0.35">
      <c r="B30" t="s">
        <v>303</v>
      </c>
      <c r="C30">
        <v>1.04</v>
      </c>
      <c r="D30" t="s">
        <v>305</v>
      </c>
    </row>
    <row r="31" spans="2:11" x14ac:dyDescent="0.35">
      <c r="B31" t="s">
        <v>304</v>
      </c>
      <c r="C31">
        <v>0.9</v>
      </c>
      <c r="D31" t="s">
        <v>305</v>
      </c>
    </row>
    <row r="33" spans="2:6" x14ac:dyDescent="0.35">
      <c r="B33" t="s">
        <v>306</v>
      </c>
      <c r="C33">
        <v>0.78900000000000003</v>
      </c>
      <c r="D33" t="s">
        <v>307</v>
      </c>
    </row>
    <row r="35" spans="2:6" x14ac:dyDescent="0.35">
      <c r="B35" t="s">
        <v>303</v>
      </c>
      <c r="C35">
        <f>C30*C33 *1000</f>
        <v>820.56000000000006</v>
      </c>
      <c r="D35" t="s">
        <v>309</v>
      </c>
    </row>
    <row r="36" spans="2:6" x14ac:dyDescent="0.35">
      <c r="B36" t="s">
        <v>304</v>
      </c>
      <c r="C36">
        <f>C31*C33*1000</f>
        <v>710.1</v>
      </c>
      <c r="D36" t="s">
        <v>309</v>
      </c>
    </row>
    <row r="37" spans="2:6" ht="18.5" x14ac:dyDescent="0.45">
      <c r="B37" t="s">
        <v>460</v>
      </c>
      <c r="C37" s="116">
        <f>(C35+C36)/2</f>
        <v>765.33</v>
      </c>
      <c r="D37" t="s">
        <v>309</v>
      </c>
      <c r="E37" s="429"/>
    </row>
    <row r="38" spans="2:6" x14ac:dyDescent="0.35">
      <c r="B38" t="s">
        <v>308</v>
      </c>
      <c r="C38" s="329">
        <f>_xlfn.STDEV.P(C35:C36)/AVERAGE(C35:C36)</f>
        <v>7.2164948453608269E-2</v>
      </c>
      <c r="E38" t="s">
        <v>461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312</v>
      </c>
      <c r="F43">
        <v>4000</v>
      </c>
    </row>
    <row r="44" spans="2:6" x14ac:dyDescent="0.35">
      <c r="B44" t="s">
        <v>303</v>
      </c>
      <c r="C44">
        <v>2.4</v>
      </c>
      <c r="D44" t="s">
        <v>313</v>
      </c>
    </row>
    <row r="45" spans="2:6" x14ac:dyDescent="0.35">
      <c r="B45" t="s">
        <v>304</v>
      </c>
      <c r="C45">
        <v>3.03</v>
      </c>
      <c r="D45" t="s">
        <v>313</v>
      </c>
    </row>
    <row r="47" spans="2:6" x14ac:dyDescent="0.35">
      <c r="B47" t="s">
        <v>314</v>
      </c>
      <c r="C47">
        <f>_xlfn.STDEV.P(C44:C45)/AVERAGE(C44:C45)</f>
        <v>0.11602209944751414</v>
      </c>
    </row>
    <row r="48" spans="2:6" x14ac:dyDescent="0.35">
      <c r="B48" t="s">
        <v>303</v>
      </c>
      <c r="C48">
        <f>H10 - C47*H10</f>
        <v>2399.9999999999991</v>
      </c>
      <c r="D48" t="s">
        <v>309</v>
      </c>
    </row>
    <row r="49" spans="2:6" x14ac:dyDescent="0.35">
      <c r="B49" t="s">
        <v>304</v>
      </c>
      <c r="C49">
        <f>H10 + C47*H10</f>
        <v>3030.0000000000009</v>
      </c>
      <c r="D49" t="s">
        <v>309</v>
      </c>
    </row>
    <row r="53" spans="2:6" x14ac:dyDescent="0.35">
      <c r="B53" s="326" t="s">
        <v>320</v>
      </c>
      <c r="F53">
        <v>5000</v>
      </c>
    </row>
    <row r="54" spans="2:6" x14ac:dyDescent="0.35">
      <c r="B54" t="s">
        <v>303</v>
      </c>
      <c r="C54">
        <v>1000</v>
      </c>
      <c r="D54" t="s">
        <v>309</v>
      </c>
    </row>
    <row r="55" spans="2:6" x14ac:dyDescent="0.35">
      <c r="B55" t="s">
        <v>304</v>
      </c>
      <c r="C55">
        <v>1300</v>
      </c>
      <c r="D55" t="s">
        <v>309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topLeftCell="A4" zoomScale="83" zoomScaleNormal="83" workbookViewId="0">
      <selection activeCell="E17" sqref="E17"/>
    </sheetView>
  </sheetViews>
  <sheetFormatPr baseColWidth="10" defaultColWidth="10.9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204</v>
      </c>
      <c r="D5" s="407" t="s">
        <v>102</v>
      </c>
      <c r="E5" s="408"/>
      <c r="F5" s="408"/>
      <c r="G5" s="408"/>
      <c r="H5" s="408"/>
      <c r="I5" s="408"/>
      <c r="J5" s="408"/>
      <c r="K5" s="408"/>
      <c r="L5" s="408"/>
      <c r="M5" s="408"/>
      <c r="N5" s="408"/>
      <c r="O5" s="409"/>
      <c r="P5" s="11"/>
      <c r="Q5" s="11"/>
    </row>
    <row r="6" spans="3:17" ht="18.5" x14ac:dyDescent="0.45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319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318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321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316</v>
      </c>
    </row>
    <row r="43" spans="2:17" x14ac:dyDescent="0.35">
      <c r="C43" t="s">
        <v>317</v>
      </c>
    </row>
    <row r="44" spans="2:17" x14ac:dyDescent="0.35">
      <c r="C44" s="333" t="s">
        <v>322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ColWidth="10.9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3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10" t="s">
        <v>240</v>
      </c>
      <c r="D22" s="411"/>
      <c r="E22" s="411"/>
      <c r="F22" s="412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baseColWidth="10" defaultColWidth="10.9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13" t="s">
        <v>111</v>
      </c>
      <c r="E5" s="414"/>
      <c r="F5" s="414"/>
      <c r="G5" s="414"/>
      <c r="H5" s="414"/>
      <c r="I5" s="414"/>
      <c r="J5" s="414"/>
      <c r="K5" s="414"/>
      <c r="L5" s="414"/>
      <c r="M5" s="414"/>
      <c r="N5" s="414"/>
      <c r="O5" s="415"/>
      <c r="P5" s="11"/>
      <c r="Q5" s="11"/>
    </row>
    <row r="6" spans="3:17" ht="18.5" x14ac:dyDescent="0.45">
      <c r="C6" s="11"/>
      <c r="D6" s="216" t="s">
        <v>1</v>
      </c>
      <c r="E6" s="207" t="s">
        <v>211</v>
      </c>
      <c r="F6" s="207" t="s">
        <v>450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73"/>
  <sheetViews>
    <sheetView zoomScale="90" zoomScaleNormal="90" workbookViewId="0">
      <selection activeCell="O43" sqref="O43"/>
    </sheetView>
  </sheetViews>
  <sheetFormatPr baseColWidth="10" defaultColWidth="10.90625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7" width="11.1796875" bestFit="1" customWidth="1"/>
    <col min="8" max="8" width="10.26953125" customWidth="1"/>
    <col min="9" max="9" width="17.90625" customWidth="1"/>
    <col min="10" max="11" width="16.54296875" bestFit="1" customWidth="1"/>
    <col min="12" max="12" width="12.26953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2" customWidth="1"/>
    <col min="19" max="19" width="12.7265625" bestFit="1" customWidth="1"/>
    <col min="20" max="20" width="12.26953125" bestFit="1" customWidth="1"/>
    <col min="21" max="21" width="16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10" t="s">
        <v>248</v>
      </c>
      <c r="C3" s="412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249</v>
      </c>
      <c r="C4" s="316">
        <v>2</v>
      </c>
      <c r="D4" s="11"/>
      <c r="E4" s="11" t="s">
        <v>455</v>
      </c>
      <c r="F4" s="11" t="s">
        <v>456</v>
      </c>
      <c r="G4" s="11"/>
      <c r="H4" s="11"/>
      <c r="I4" s="11"/>
      <c r="J4" s="11"/>
      <c r="K4" s="11"/>
      <c r="L4" s="11"/>
      <c r="M4" s="11"/>
      <c r="N4" s="11"/>
      <c r="O4" s="11"/>
      <c r="P4" s="11" t="s">
        <v>285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250</v>
      </c>
      <c r="C5" s="303" t="s">
        <v>286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64" t="s">
        <v>259</v>
      </c>
      <c r="Q5" s="265"/>
      <c r="R5" s="299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78">
        <v>2</v>
      </c>
      <c r="Q6" s="304" t="s">
        <v>283</v>
      </c>
      <c r="R6" s="88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78">
        <v>3</v>
      </c>
      <c r="Q7" s="304" t="s">
        <v>282</v>
      </c>
      <c r="R7" s="88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264</v>
      </c>
      <c r="C8" s="11"/>
      <c r="D8" s="11"/>
      <c r="E8" s="11"/>
      <c r="F8" s="11"/>
      <c r="G8" s="11"/>
      <c r="H8" s="11"/>
      <c r="I8" s="306" t="s">
        <v>266</v>
      </c>
      <c r="J8" s="11"/>
      <c r="K8" s="11"/>
      <c r="L8" s="11"/>
      <c r="M8" s="11"/>
      <c r="N8" s="11"/>
      <c r="O8" s="11"/>
      <c r="P8" s="178">
        <v>4</v>
      </c>
      <c r="Q8" s="304" t="s">
        <v>287</v>
      </c>
      <c r="R8" s="88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19" t="s">
        <v>273</v>
      </c>
      <c r="C9" s="420"/>
      <c r="D9" s="420"/>
      <c r="E9" s="420"/>
      <c r="F9" s="421"/>
      <c r="G9" s="204"/>
      <c r="H9" s="11"/>
      <c r="I9" s="416" t="s">
        <v>274</v>
      </c>
      <c r="J9" s="417"/>
      <c r="K9" s="417"/>
      <c r="L9" s="417"/>
      <c r="M9" s="418"/>
      <c r="N9" s="262"/>
      <c r="O9" s="204"/>
      <c r="P9" s="263"/>
      <c r="Q9" s="90" t="s">
        <v>261</v>
      </c>
      <c r="R9" s="142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257</v>
      </c>
      <c r="C10" s="300" t="s">
        <v>33</v>
      </c>
      <c r="D10" s="301" t="s">
        <v>260</v>
      </c>
      <c r="E10" s="267" t="s">
        <v>258</v>
      </c>
      <c r="F10" s="295" t="s">
        <v>262</v>
      </c>
      <c r="G10" s="327" t="s">
        <v>310</v>
      </c>
      <c r="H10" s="11"/>
      <c r="I10" s="298" t="s">
        <v>257</v>
      </c>
      <c r="J10" s="298" t="s">
        <v>33</v>
      </c>
      <c r="K10" s="302" t="s">
        <v>256</v>
      </c>
      <c r="L10" s="298" t="s">
        <v>260</v>
      </c>
      <c r="M10" s="298" t="s">
        <v>258</v>
      </c>
      <c r="N10" s="262" t="s">
        <v>262</v>
      </c>
      <c r="O10" s="204"/>
      <c r="P10" s="11"/>
      <c r="Q10" s="11"/>
      <c r="R10" s="305" t="s">
        <v>264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171</v>
      </c>
      <c r="D11" s="331">
        <f>_xlfn.STDEV.P(8.7,12.4) / AVERAGE(8.7,12.4)</f>
        <v>0.17535545023696644</v>
      </c>
      <c r="E11" s="293">
        <v>1</v>
      </c>
      <c r="F11" s="276" t="s">
        <v>268</v>
      </c>
      <c r="G11" s="295" t="s">
        <v>311</v>
      </c>
      <c r="H11" s="11"/>
      <c r="I11" s="178">
        <v>210</v>
      </c>
      <c r="J11" s="270" t="s">
        <v>171</v>
      </c>
      <c r="K11" s="204">
        <v>1</v>
      </c>
      <c r="L11" s="204">
        <v>0.28000000000000003</v>
      </c>
      <c r="M11" s="289">
        <v>3</v>
      </c>
      <c r="N11" s="297" t="s">
        <v>268</v>
      </c>
      <c r="O11" s="204"/>
      <c r="P11" s="317" t="s">
        <v>284</v>
      </c>
      <c r="Q11" s="11"/>
      <c r="R11" s="318" t="s">
        <v>462</v>
      </c>
      <c r="S11" s="426"/>
      <c r="T11" s="426"/>
      <c r="U11" s="426"/>
      <c r="V11" s="426"/>
      <c r="W11" s="426"/>
      <c r="X11" s="299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321</v>
      </c>
      <c r="D12" s="258">
        <v>0.18</v>
      </c>
      <c r="E12" s="204">
        <v>1</v>
      </c>
      <c r="F12" s="178" t="s">
        <v>267</v>
      </c>
      <c r="G12" s="297" t="s">
        <v>311</v>
      </c>
      <c r="H12" s="11"/>
      <c r="I12" s="178"/>
      <c r="J12" s="270" t="s">
        <v>321</v>
      </c>
      <c r="K12" s="204">
        <v>1</v>
      </c>
      <c r="L12" s="204">
        <v>0.28000000000000003</v>
      </c>
      <c r="M12" s="289">
        <v>3</v>
      </c>
      <c r="N12" s="297" t="s">
        <v>267</v>
      </c>
      <c r="O12" s="204"/>
      <c r="P12" s="222" t="s">
        <v>280</v>
      </c>
      <c r="Q12" s="11"/>
      <c r="R12" s="172" t="s">
        <v>257</v>
      </c>
      <c r="S12" s="422" t="s">
        <v>459</v>
      </c>
      <c r="T12" s="423"/>
      <c r="U12" s="423"/>
      <c r="V12" s="423"/>
      <c r="W12" s="423"/>
      <c r="X12" s="424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168</v>
      </c>
      <c r="D13" s="332">
        <f>_xlfn.STDEV.P(1.02, 2.92) / AVERAGE(1.02, 2.92)</f>
        <v>0.48223350253807096</v>
      </c>
      <c r="E13" s="204">
        <v>2</v>
      </c>
      <c r="F13" s="178" t="s">
        <v>268</v>
      </c>
      <c r="G13" s="297"/>
      <c r="H13" s="11"/>
      <c r="I13" s="178"/>
      <c r="J13" s="270"/>
      <c r="K13" s="204"/>
      <c r="L13" s="204"/>
      <c r="M13" s="289"/>
      <c r="N13" s="297"/>
      <c r="O13" s="204"/>
      <c r="P13" s="222">
        <v>1</v>
      </c>
      <c r="Q13" s="204"/>
      <c r="R13" s="271"/>
      <c r="S13" s="292" t="s">
        <v>14</v>
      </c>
      <c r="T13" s="293" t="s">
        <v>170</v>
      </c>
      <c r="U13" s="293"/>
      <c r="V13" s="293"/>
      <c r="W13" s="293"/>
      <c r="X13" s="42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1"/>
      <c r="I14" s="178"/>
      <c r="J14" s="270"/>
      <c r="K14" s="204"/>
      <c r="L14" s="204"/>
      <c r="M14" s="289"/>
      <c r="N14" s="297"/>
      <c r="O14" s="204"/>
      <c r="P14" s="172">
        <v>0.5</v>
      </c>
      <c r="Q14" s="11"/>
      <c r="R14" s="89"/>
      <c r="S14" s="89"/>
      <c r="T14" s="425"/>
      <c r="U14" s="425"/>
      <c r="V14" s="425"/>
      <c r="W14" s="425"/>
      <c r="X14" s="88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1"/>
      <c r="I15" s="178"/>
      <c r="J15" s="270"/>
      <c r="K15" s="204"/>
      <c r="L15" s="204"/>
      <c r="M15" s="289"/>
      <c r="N15" s="297"/>
      <c r="O15" s="204"/>
      <c r="P15" s="172">
        <v>0</v>
      </c>
      <c r="Q15" s="11"/>
      <c r="R15" s="89"/>
      <c r="S15" s="89"/>
      <c r="T15" s="425"/>
      <c r="U15" s="425"/>
      <c r="V15" s="425"/>
      <c r="W15" s="425"/>
      <c r="X15" s="88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1"/>
      <c r="I16" s="178"/>
      <c r="J16" s="270"/>
      <c r="K16" s="204"/>
      <c r="L16" s="204"/>
      <c r="M16" s="289"/>
      <c r="N16" s="297"/>
      <c r="O16" s="204"/>
      <c r="P16" s="172">
        <v>-0.5</v>
      </c>
      <c r="Q16" s="11"/>
      <c r="R16" s="89"/>
      <c r="S16" s="89"/>
      <c r="T16" s="425"/>
      <c r="U16" s="425"/>
      <c r="V16" s="425"/>
      <c r="W16" s="425"/>
      <c r="X16" s="8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1"/>
      <c r="I17" s="178"/>
      <c r="J17" s="270"/>
      <c r="K17" s="204"/>
      <c r="L17" s="204"/>
      <c r="M17" s="289"/>
      <c r="N17" s="297"/>
      <c r="O17" s="204"/>
      <c r="P17" s="172">
        <v>-1</v>
      </c>
      <c r="Q17" s="11"/>
      <c r="R17" s="89"/>
      <c r="S17" s="89"/>
      <c r="T17" s="425"/>
      <c r="U17" s="425"/>
      <c r="V17" s="425"/>
      <c r="W17" s="425"/>
      <c r="X17" s="88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1"/>
      <c r="I18" s="178"/>
      <c r="J18" s="270"/>
      <c r="K18" s="204"/>
      <c r="L18" s="204"/>
      <c r="M18" s="289"/>
      <c r="N18" s="297"/>
      <c r="O18" s="204"/>
      <c r="P18" s="172"/>
      <c r="Q18" s="11"/>
      <c r="R18" s="89"/>
      <c r="S18" s="89"/>
      <c r="T18" s="425"/>
      <c r="U18" s="425"/>
      <c r="V18" s="425"/>
      <c r="W18" s="425"/>
      <c r="X18" s="8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1"/>
      <c r="I19" s="178"/>
      <c r="J19" s="270"/>
      <c r="K19" s="204"/>
      <c r="L19" s="204"/>
      <c r="M19" s="289"/>
      <c r="N19" s="297"/>
      <c r="O19" s="204"/>
      <c r="P19" s="172"/>
      <c r="Q19" s="11"/>
      <c r="R19" s="89"/>
      <c r="S19" s="89"/>
      <c r="T19" s="425"/>
      <c r="U19" s="425"/>
      <c r="V19" s="425"/>
      <c r="W19" s="425"/>
      <c r="X19" s="88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1"/>
      <c r="I20" s="178"/>
      <c r="J20" s="270"/>
      <c r="K20" s="204"/>
      <c r="L20" s="204"/>
      <c r="M20" s="289"/>
      <c r="N20" s="297"/>
      <c r="O20" s="204"/>
      <c r="P20" s="223"/>
      <c r="Q20" s="11"/>
      <c r="R20" s="427"/>
      <c r="S20" s="263"/>
      <c r="T20" s="90"/>
      <c r="U20" s="90"/>
      <c r="V20" s="90"/>
      <c r="W20" s="90"/>
      <c r="X20" s="142"/>
      <c r="Y20" s="11"/>
      <c r="Z20" s="11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1"/>
      <c r="I21" s="178"/>
      <c r="J21" s="270"/>
      <c r="K21" s="204"/>
      <c r="L21" s="204"/>
      <c r="M21" s="289"/>
      <c r="N21" s="297"/>
      <c r="O21" s="204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1"/>
      <c r="I22" s="178"/>
      <c r="J22" s="270"/>
      <c r="K22" s="204"/>
      <c r="L22" s="204"/>
      <c r="M22" s="289"/>
      <c r="N22" s="297"/>
      <c r="O22" s="204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1"/>
      <c r="I23" s="283"/>
      <c r="J23" s="159"/>
      <c r="K23" s="159"/>
      <c r="L23" s="159"/>
      <c r="M23" s="290"/>
      <c r="N23" s="298"/>
      <c r="O23" s="204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204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270</v>
      </c>
      <c r="C26" s="204"/>
      <c r="D26" s="204"/>
      <c r="E26" s="204"/>
      <c r="F26" s="204"/>
      <c r="G26" s="204"/>
      <c r="H26" s="204"/>
      <c r="I26" s="306" t="s">
        <v>266</v>
      </c>
      <c r="J26" s="204"/>
      <c r="K26" s="204"/>
      <c r="L26" s="204"/>
      <c r="M26" s="204"/>
      <c r="N26" s="204"/>
      <c r="O26" s="204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271</v>
      </c>
      <c r="C27" s="265"/>
      <c r="D27" s="265"/>
      <c r="E27" s="265"/>
      <c r="F27" s="266"/>
      <c r="G27" s="266"/>
      <c r="H27" s="204"/>
      <c r="I27" s="416" t="s">
        <v>272</v>
      </c>
      <c r="J27" s="417"/>
      <c r="K27" s="417"/>
      <c r="L27" s="417"/>
      <c r="M27" s="417"/>
      <c r="N27" s="418"/>
      <c r="O27" s="20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62" t="s">
        <v>257</v>
      </c>
      <c r="C28" s="267" t="s">
        <v>296</v>
      </c>
      <c r="D28" s="262" t="s">
        <v>33</v>
      </c>
      <c r="E28" s="267" t="s">
        <v>260</v>
      </c>
      <c r="F28" s="262" t="s">
        <v>258</v>
      </c>
      <c r="G28" s="295" t="s">
        <v>262</v>
      </c>
      <c r="H28" s="204"/>
      <c r="I28" s="295" t="s">
        <v>257</v>
      </c>
      <c r="J28" s="262" t="s">
        <v>33</v>
      </c>
      <c r="K28" s="267" t="s">
        <v>256</v>
      </c>
      <c r="L28" s="288" t="s">
        <v>260</v>
      </c>
      <c r="M28" s="295" t="s">
        <v>258</v>
      </c>
      <c r="N28" s="295" t="s">
        <v>262</v>
      </c>
      <c r="O28" s="204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B29" s="276">
        <v>220</v>
      </c>
      <c r="C29" s="287">
        <v>320</v>
      </c>
      <c r="D29" s="293" t="s">
        <v>168</v>
      </c>
      <c r="E29" s="287">
        <v>0.6</v>
      </c>
      <c r="F29" s="288">
        <v>4</v>
      </c>
      <c r="G29" s="288" t="s">
        <v>268</v>
      </c>
      <c r="H29" s="204"/>
      <c r="I29" s="276"/>
      <c r="J29" s="270"/>
      <c r="K29" s="204"/>
      <c r="L29" s="287"/>
      <c r="M29" s="287"/>
      <c r="N29" s="295"/>
      <c r="O29" s="204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B30" s="178">
        <v>230</v>
      </c>
      <c r="C30" s="204">
        <v>330</v>
      </c>
      <c r="D30" s="270" t="s">
        <v>168</v>
      </c>
      <c r="E30" s="204">
        <v>0.19</v>
      </c>
      <c r="F30" s="289">
        <v>4</v>
      </c>
      <c r="G30" s="289" t="s">
        <v>267</v>
      </c>
      <c r="H30" s="204"/>
      <c r="I30" s="178"/>
      <c r="J30" s="270"/>
      <c r="K30" s="204"/>
      <c r="L30" s="204"/>
      <c r="M30" s="204"/>
      <c r="N30" s="297"/>
      <c r="O30" s="204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04"/>
      <c r="I31" s="178"/>
      <c r="J31" s="270"/>
      <c r="K31" s="204"/>
      <c r="L31" s="204"/>
      <c r="M31" s="204"/>
      <c r="N31" s="297"/>
      <c r="O31" s="204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04"/>
      <c r="I32" s="178"/>
      <c r="J32" s="270"/>
      <c r="K32" s="204"/>
      <c r="L32" s="204"/>
      <c r="M32" s="204"/>
      <c r="N32" s="297"/>
      <c r="O32" s="204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04"/>
      <c r="I33" s="178"/>
      <c r="J33" s="270"/>
      <c r="K33" s="204"/>
      <c r="L33" s="204"/>
      <c r="M33" s="204"/>
      <c r="N33" s="297"/>
      <c r="O33" s="204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04"/>
      <c r="I34" s="178"/>
      <c r="J34" s="270"/>
      <c r="K34" s="204"/>
      <c r="L34" s="204"/>
      <c r="M34" s="204"/>
      <c r="N34" s="297"/>
      <c r="O34" s="204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04"/>
      <c r="I35" s="178"/>
      <c r="J35" s="270"/>
      <c r="K35" s="204"/>
      <c r="L35" s="204"/>
      <c r="M35" s="204"/>
      <c r="N35" s="297"/>
      <c r="O35" s="204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04"/>
      <c r="I36" s="178"/>
      <c r="J36" s="270"/>
      <c r="K36" s="204"/>
      <c r="L36" s="204"/>
      <c r="M36" s="204"/>
      <c r="N36" s="297"/>
      <c r="O36" s="204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04"/>
      <c r="I37" s="178"/>
      <c r="J37" s="270"/>
      <c r="K37" s="204"/>
      <c r="L37" s="204"/>
      <c r="M37" s="204"/>
      <c r="N37" s="297"/>
      <c r="O37" s="204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04"/>
      <c r="I38" s="178"/>
      <c r="J38" s="270"/>
      <c r="K38" s="204"/>
      <c r="L38" s="204"/>
      <c r="M38" s="204"/>
      <c r="N38" s="297"/>
      <c r="O38" s="20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04"/>
      <c r="I39" s="178"/>
      <c r="J39" s="270"/>
      <c r="K39" s="204"/>
      <c r="L39" s="204"/>
      <c r="M39" s="204"/>
      <c r="N39" s="297"/>
      <c r="O39" s="204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04"/>
      <c r="I40" s="178"/>
      <c r="J40" s="270"/>
      <c r="K40" s="204"/>
      <c r="L40" s="204"/>
      <c r="M40" s="204"/>
      <c r="N40" s="297"/>
      <c r="O40" s="204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04"/>
      <c r="I41" s="283"/>
      <c r="J41" s="159"/>
      <c r="K41" s="159"/>
      <c r="L41" s="159"/>
      <c r="M41" s="159"/>
      <c r="N41" s="298"/>
      <c r="O41" s="204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N45" s="306" t="s">
        <v>277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16" t="s">
        <v>263</v>
      </c>
      <c r="C46" s="417"/>
      <c r="D46" s="417"/>
      <c r="E46" s="417"/>
      <c r="F46" s="418"/>
      <c r="H46" s="11"/>
      <c r="I46" s="416" t="s">
        <v>278</v>
      </c>
      <c r="J46" s="417"/>
      <c r="K46" s="417"/>
      <c r="L46" s="418"/>
      <c r="M46" s="11"/>
      <c r="N46" s="416" t="s">
        <v>279</v>
      </c>
      <c r="O46" s="417"/>
      <c r="P46" s="417"/>
      <c r="Q46" s="418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5" t="s">
        <v>257</v>
      </c>
      <c r="C47" s="295" t="s">
        <v>33</v>
      </c>
      <c r="D47" s="288" t="s">
        <v>260</v>
      </c>
      <c r="E47" s="295" t="s">
        <v>258</v>
      </c>
      <c r="F47" s="295" t="s">
        <v>262</v>
      </c>
      <c r="G47" s="11"/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11"/>
      <c r="N47" s="262" t="s">
        <v>257</v>
      </c>
      <c r="O47" s="266" t="s">
        <v>260</v>
      </c>
      <c r="P47" s="262" t="s">
        <v>258</v>
      </c>
      <c r="Q47" s="295" t="s">
        <v>262</v>
      </c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11"/>
      <c r="H48" s="11"/>
      <c r="I48" s="276"/>
      <c r="J48" s="287"/>
      <c r="K48" s="288"/>
      <c r="L48" s="295"/>
      <c r="M48" s="11"/>
      <c r="N48" s="276">
        <v>2000</v>
      </c>
      <c r="O48" s="331">
        <v>7.1999999999999995E-2</v>
      </c>
      <c r="P48" s="288">
        <v>5</v>
      </c>
      <c r="Q48" s="295" t="s">
        <v>268</v>
      </c>
      <c r="R48" s="11"/>
      <c r="S48" s="276">
        <v>2000</v>
      </c>
      <c r="T48" s="330">
        <v>7.2160000000000002E-2</v>
      </c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11"/>
      <c r="H49" s="11"/>
      <c r="I49" s="178"/>
      <c r="J49" s="204"/>
      <c r="K49" s="289"/>
      <c r="L49" s="297"/>
      <c r="M49" s="11"/>
      <c r="N49" s="178">
        <v>3000</v>
      </c>
      <c r="O49" s="204">
        <v>0.41</v>
      </c>
      <c r="P49" s="289">
        <v>5</v>
      </c>
      <c r="Q49" s="297" t="s">
        <v>269</v>
      </c>
      <c r="R49" s="11"/>
      <c r="S49" s="178">
        <v>3000</v>
      </c>
      <c r="T49" s="204">
        <v>0.41</v>
      </c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11"/>
      <c r="H50" s="11"/>
      <c r="I50" s="178"/>
      <c r="J50" s="204"/>
      <c r="K50" s="289"/>
      <c r="L50" s="297"/>
      <c r="M50" s="11"/>
      <c r="N50" s="178">
        <v>4000</v>
      </c>
      <c r="O50" s="204">
        <v>0.11</v>
      </c>
      <c r="P50" s="289">
        <v>5</v>
      </c>
      <c r="Q50" s="297" t="s">
        <v>267</v>
      </c>
      <c r="S50" s="178">
        <v>4000</v>
      </c>
      <c r="T50" s="204">
        <v>0.11</v>
      </c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11"/>
      <c r="H51" s="11"/>
      <c r="I51" s="178"/>
      <c r="J51" s="204"/>
      <c r="K51" s="289"/>
      <c r="L51" s="297"/>
      <c r="M51" s="11"/>
      <c r="N51" s="178">
        <v>5000</v>
      </c>
      <c r="O51" s="204">
        <v>0.13</v>
      </c>
      <c r="P51" s="289">
        <v>5</v>
      </c>
      <c r="Q51" s="297" t="s">
        <v>267</v>
      </c>
      <c r="S51" s="178">
        <v>5000</v>
      </c>
      <c r="T51" s="204">
        <v>0.13</v>
      </c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11"/>
      <c r="H52" s="11"/>
      <c r="I52" s="178"/>
      <c r="J52" s="204"/>
      <c r="K52" s="289"/>
      <c r="L52" s="297"/>
      <c r="M52" s="11"/>
      <c r="N52" s="178"/>
      <c r="O52" s="204"/>
      <c r="P52" s="289"/>
      <c r="Q52" s="297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11"/>
      <c r="H53" s="11"/>
      <c r="I53" s="178"/>
      <c r="J53" s="204"/>
      <c r="K53" s="289"/>
      <c r="L53" s="297"/>
      <c r="M53" s="11"/>
      <c r="N53" s="178"/>
      <c r="O53" s="204"/>
      <c r="P53" s="289"/>
      <c r="Q53" s="297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11"/>
      <c r="H54" s="11"/>
      <c r="I54" s="178"/>
      <c r="J54" s="204"/>
      <c r="K54" s="289"/>
      <c r="L54" s="297"/>
      <c r="M54" s="11"/>
      <c r="N54" s="178"/>
      <c r="O54" s="204"/>
      <c r="P54" s="289"/>
      <c r="Q54" s="297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11"/>
      <c r="H55" s="11"/>
      <c r="I55" s="178"/>
      <c r="J55" s="204"/>
      <c r="K55" s="289"/>
      <c r="L55" s="297"/>
      <c r="M55" s="11"/>
      <c r="N55" s="178"/>
      <c r="O55" s="204"/>
      <c r="P55" s="289"/>
      <c r="Q55" s="297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11"/>
      <c r="H56" s="11"/>
      <c r="I56" s="178"/>
      <c r="J56" s="204"/>
      <c r="K56" s="289"/>
      <c r="L56" s="297"/>
      <c r="M56" s="11"/>
      <c r="N56" s="178"/>
      <c r="O56" s="204"/>
      <c r="P56" s="289"/>
      <c r="Q56" s="297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11"/>
      <c r="H57" s="11"/>
      <c r="I57" s="178"/>
      <c r="J57" s="204"/>
      <c r="K57" s="289"/>
      <c r="L57" s="297"/>
      <c r="M57" s="11"/>
      <c r="N57" s="178"/>
      <c r="O57" s="204"/>
      <c r="P57" s="289"/>
      <c r="Q57" s="297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11"/>
      <c r="H58" s="11"/>
      <c r="I58" s="178"/>
      <c r="J58" s="204"/>
      <c r="K58" s="289"/>
      <c r="L58" s="297"/>
      <c r="M58" s="11"/>
      <c r="N58" s="178"/>
      <c r="O58" s="204"/>
      <c r="P58" s="289"/>
      <c r="Q58" s="297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11"/>
      <c r="H59" s="11"/>
      <c r="I59" s="178"/>
      <c r="J59" s="204"/>
      <c r="K59" s="289"/>
      <c r="L59" s="297"/>
      <c r="M59" s="11"/>
      <c r="N59" s="178"/>
      <c r="O59" s="204"/>
      <c r="P59" s="289"/>
      <c r="Q59" s="297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11"/>
      <c r="H60" s="11"/>
      <c r="I60" s="283"/>
      <c r="J60" s="159"/>
      <c r="K60" s="290"/>
      <c r="L60" s="298"/>
      <c r="M60" s="11"/>
      <c r="N60" s="283"/>
      <c r="O60" s="159"/>
      <c r="P60" s="290"/>
      <c r="Q60" s="298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35">
      <c r="B67" t="s">
        <v>453</v>
      </c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73" spans="2:30" x14ac:dyDescent="0.35">
      <c r="B73" t="s">
        <v>454</v>
      </c>
    </row>
  </sheetData>
  <mergeCells count="8">
    <mergeCell ref="S12:X12"/>
    <mergeCell ref="B3:C3"/>
    <mergeCell ref="B46:F46"/>
    <mergeCell ref="I46:L46"/>
    <mergeCell ref="N46:Q46"/>
    <mergeCell ref="I9:M9"/>
    <mergeCell ref="I27:N27"/>
    <mergeCell ref="B9:F9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9FADE1F-C18D-4177-9188-2E8A55B0CCD1}">
          <x14:formula1>
            <xm:f>Sources!$D$14:$D$21</xm:f>
          </x14:formula1>
          <xm:sqref>C23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F48:F60 N11:N23 L48:L60 Q48:Q60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K11:K16 K29:K40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J29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J30:J40 J12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S48:S51 N48:N60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J13:J22 J11 S13:X13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topLeftCell="A4" zoomScale="91" zoomScaleNormal="91" workbookViewId="0">
      <selection activeCell="L29" sqref="L2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8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319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319</v>
      </c>
      <c r="O14" s="71"/>
      <c r="P14" s="71"/>
      <c r="Q14" s="66"/>
      <c r="R14" s="5"/>
      <c r="S14" s="99">
        <v>110</v>
      </c>
      <c r="T14" s="71" t="s">
        <v>321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321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321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319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321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318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7" t="s">
        <v>358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6" t="s">
        <v>359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329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330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331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332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6" t="s">
        <v>445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4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446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6" t="s">
        <v>447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topLeftCell="H1" zoomScale="75" zoomScaleNormal="47" workbookViewId="0">
      <selection activeCell="Q37" sqref="Q3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089843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319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321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321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319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7" t="s">
        <v>358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6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333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6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324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4" t="s">
        <v>325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91"/>
      <c r="E47" s="391"/>
      <c r="F47" s="391"/>
      <c r="G47" s="391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zoomScale="75" zoomScaleNormal="47" workbookViewId="0">
      <selection activeCell="J40" sqref="J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20.9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321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321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321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7" t="s">
        <v>358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335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334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326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324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4" t="s">
        <v>325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91"/>
      <c r="E47" s="391"/>
      <c r="F47" s="391"/>
      <c r="G47" s="391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zoomScale="58" zoomScaleNormal="58" workbookViewId="0">
      <selection activeCell="E10" sqref="E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9.542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9" style="3" bestFit="1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02"/>
      <c r="E6" s="402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11"/>
      <c r="AH8" s="399" t="s">
        <v>5</v>
      </c>
      <c r="AI8" s="400"/>
      <c r="AJ8" s="401"/>
      <c r="AK8" s="94"/>
      <c r="AL8" s="399" t="s">
        <v>6</v>
      </c>
      <c r="AM8" s="400"/>
      <c r="AN8" s="401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343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342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321</v>
      </c>
      <c r="AI10" s="121">
        <v>6</v>
      </c>
      <c r="AJ10" s="123">
        <v>-1</v>
      </c>
      <c r="AK10" s="111"/>
      <c r="AL10" s="124">
        <v>6</v>
      </c>
      <c r="AM10" s="125" t="s">
        <v>321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321</v>
      </c>
      <c r="AD11" s="102"/>
      <c r="AE11" s="71"/>
      <c r="AF11" s="104"/>
      <c r="AG11" s="116"/>
      <c r="AH11" s="122" t="s">
        <v>342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318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319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342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321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319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7" t="s">
        <v>358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6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340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341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8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345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351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346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347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348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349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350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zoomScale="98" zoomScaleNormal="98" workbookViewId="0">
      <selection activeCell="E6" sqref="E6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32.179687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7" width="10.81640625" style="3"/>
    <col min="28" max="28" width="31.9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431"/>
      <c r="E6" s="431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451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7" t="s">
        <v>358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9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355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352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353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354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356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357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352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391"/>
      <c r="E47" s="391"/>
      <c r="F47" s="391"/>
      <c r="G47" s="391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S1" zoomScale="75" zoomScaleNormal="47" workbookViewId="0">
      <selection activeCell="X17" sqref="X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319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1.0000000000000001E-9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321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319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321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91"/>
      <c r="E47" s="391"/>
      <c r="F47" s="391"/>
      <c r="G47" s="391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J3" zoomScale="75" zoomScaleNormal="47" workbookViewId="0">
      <selection activeCell="D57" sqref="D5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1.9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386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5">
        <v>6.9637883008356549E-5</v>
      </c>
      <c r="O10" s="245"/>
      <c r="P10" s="176"/>
      <c r="Q10" s="177"/>
      <c r="R10" s="5" t="s">
        <v>350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51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319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319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321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321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319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7" t="s">
        <v>358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40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6" t="s">
        <v>393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50">
        <f xml:space="preserve"> 183628/1000000</f>
        <v>0.18362800000000001</v>
      </c>
      <c r="E35" s="5" t="s">
        <v>394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395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3" t="s">
        <v>396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367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2" t="s">
        <v>397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398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399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392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40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400</v>
      </c>
      <c r="F48" s="93">
        <f>530*3/60</f>
        <v>26.5</v>
      </c>
      <c r="G48" s="93" t="s">
        <v>401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4">
        <f>D48/D40</f>
        <v>6.9637883008356549E-5</v>
      </c>
      <c r="E49" s="3" t="s">
        <v>402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40" t="s">
        <v>388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390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389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389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376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50">
        <f>_xlfn.STDEV.P(D54:D55)/AVERAGE(D54:D55)*100</f>
        <v>64.102564102564102</v>
      </c>
      <c r="E57" s="5" t="s">
        <v>374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377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391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379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380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381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L1" zoomScale="75" zoomScaleNormal="47" workbookViewId="0">
      <selection activeCell="V39" sqref="V3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387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3">
        <f>D51</f>
        <v>0.11966666666666666</v>
      </c>
      <c r="O10" s="175"/>
      <c r="P10" s="176"/>
      <c r="Q10" s="177"/>
      <c r="R10" s="5" t="s">
        <v>350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4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2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4">
        <f>(D39/1000)/(100/60)</f>
        <v>0.43079999999999996</v>
      </c>
      <c r="J12" s="210" t="str">
        <f>J15</f>
        <v>t/h</v>
      </c>
      <c r="K12" s="5"/>
      <c r="L12" s="5"/>
      <c r="M12" s="341" t="s">
        <v>75</v>
      </c>
      <c r="N12" s="122" t="s">
        <v>319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319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321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321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319</v>
      </c>
      <c r="J18" s="210" t="s">
        <v>176</v>
      </c>
      <c r="K18" s="5"/>
      <c r="L18" s="5"/>
      <c r="M18" s="73"/>
      <c r="N18" s="105" t="s">
        <v>318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321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7" t="s">
        <v>358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40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6" t="s">
        <v>365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366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403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367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368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369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363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40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6" t="s">
        <v>360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362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6" t="s">
        <v>361</v>
      </c>
      <c r="E47" s="5"/>
      <c r="F47" s="6"/>
      <c r="G47" s="6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363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404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350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8" t="s">
        <v>371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370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372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373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375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375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376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50">
        <f>_xlfn.STDEV.P(D57:D58)/AVERAGE(D57:D58)*100</f>
        <v>19.230769230769198</v>
      </c>
      <c r="E60" s="5" t="s">
        <v>374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377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378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391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380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381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382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40" t="s">
        <v>83</v>
      </c>
      <c r="E71" s="340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40"/>
      <c r="E72" s="340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40"/>
      <c r="E73" s="340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topLeftCell="A3" zoomScale="75" zoomScaleNormal="47" workbookViewId="0">
      <selection activeCell="E10" sqref="E1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457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7" t="s">
        <v>358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406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364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6" t="s">
        <v>405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407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408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411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6">
        <v>4.1859999999999999</v>
      </c>
      <c r="E40" s="5" t="s">
        <v>409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410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412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7">
        <v>2257</v>
      </c>
      <c r="E43" s="5" t="s">
        <v>410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413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410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415</v>
      </c>
      <c r="E47" s="6"/>
      <c r="F47" s="6"/>
      <c r="G47" s="6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416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7" t="s">
        <v>417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350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topLeftCell="P1" zoomScale="75" zoomScaleNormal="47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2"/>
      <c r="E6" s="392"/>
      <c r="F6" s="5"/>
      <c r="G6" s="5"/>
      <c r="H6" s="392"/>
      <c r="I6" s="392"/>
      <c r="J6" s="15"/>
      <c r="K6" s="15"/>
      <c r="L6" s="5"/>
      <c r="M6" s="392"/>
      <c r="N6" s="392"/>
      <c r="O6" s="392"/>
      <c r="P6" s="392"/>
      <c r="Q6" s="5"/>
      <c r="R6" s="5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458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7" t="s">
        <v>358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91"/>
      <c r="E47" s="391"/>
      <c r="F47" s="391"/>
      <c r="G47" s="391"/>
      <c r="H47" s="391"/>
      <c r="I47" s="391"/>
      <c r="J47" s="391"/>
      <c r="K47" s="391"/>
      <c r="L47" s="39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topLeftCell="U6" zoomScale="70" zoomScaleNormal="70" workbookViewId="0">
      <selection activeCell="AL28" sqref="AL2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02"/>
      <c r="E6" s="402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11"/>
      <c r="AH8" s="399" t="s">
        <v>5</v>
      </c>
      <c r="AI8" s="400"/>
      <c r="AJ8" s="401"/>
      <c r="AK8" s="94"/>
      <c r="AL8" s="399" t="s">
        <v>6</v>
      </c>
      <c r="AM8" s="400"/>
      <c r="AN8" s="401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321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4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321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321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319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7" t="s">
        <v>358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6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6" t="s">
        <v>419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8" t="s">
        <v>337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8" t="s">
        <v>338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8" t="s">
        <v>339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9" t="s">
        <v>340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9" t="s">
        <v>341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8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40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60" t="s">
        <v>421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422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423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50">
        <f>_xlfn.STDEV.P(0.46, 0.26)/D47</f>
        <v>0.2777777777777779</v>
      </c>
      <c r="E48" s="5" t="s">
        <v>426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40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345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351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346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347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348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349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350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0.17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02"/>
      <c r="E6" s="402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11"/>
      <c r="AH8" s="399" t="s">
        <v>5</v>
      </c>
      <c r="AI8" s="400"/>
      <c r="AJ8" s="401"/>
      <c r="AK8" s="94"/>
      <c r="AL8" s="399" t="s">
        <v>6</v>
      </c>
      <c r="AM8" s="400"/>
      <c r="AN8" s="401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449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61">
        <f>E55</f>
        <v>1.0153846153846154E-2</v>
      </c>
      <c r="O10" s="361">
        <f>E56</f>
        <v>0.12692307692307692</v>
      </c>
      <c r="P10" s="176"/>
      <c r="Q10" s="177"/>
      <c r="R10" s="5" t="s">
        <v>350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5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319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319</v>
      </c>
      <c r="O13" s="121" t="s">
        <v>319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321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321</v>
      </c>
      <c r="O16" s="71" t="s">
        <v>321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319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319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321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428</v>
      </c>
      <c r="E45" s="362">
        <v>100</v>
      </c>
      <c r="F45" s="5" t="s">
        <v>329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427</v>
      </c>
      <c r="E46" s="362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429</v>
      </c>
      <c r="E47" s="362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430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434</v>
      </c>
      <c r="E50" s="5">
        <v>260</v>
      </c>
      <c r="F50" s="5" t="s">
        <v>435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431</v>
      </c>
      <c r="E52" s="5">
        <f>E49*(E45*E46)</f>
        <v>2640</v>
      </c>
      <c r="F52" s="5" t="s">
        <v>400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432</v>
      </c>
      <c r="E53" s="5">
        <f>E49*(E45*E47)</f>
        <v>33000</v>
      </c>
      <c r="F53" s="5" t="s">
        <v>400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433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431</v>
      </c>
      <c r="E55" s="349">
        <f>E52/260/1000</f>
        <v>1.0153846153846154E-2</v>
      </c>
      <c r="F55" s="5" t="s">
        <v>436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432</v>
      </c>
      <c r="E56" s="363">
        <f>E53/E50/1000</f>
        <v>0.12692307692307692</v>
      </c>
      <c r="F56" s="5" t="s">
        <v>436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8" t="s">
        <v>437</v>
      </c>
    </row>
    <row r="77" spans="3:41" x14ac:dyDescent="0.35">
      <c r="D77" s="3" t="s">
        <v>444</v>
      </c>
    </row>
    <row r="95" spans="4:6" x14ac:dyDescent="0.35">
      <c r="D95" s="3" t="s">
        <v>414</v>
      </c>
    </row>
    <row r="96" spans="4:6" x14ac:dyDescent="0.35">
      <c r="D96" s="3" t="s">
        <v>438</v>
      </c>
      <c r="E96" s="3">
        <v>7.1699999999999997E-4</v>
      </c>
      <c r="F96" s="3" t="s">
        <v>439</v>
      </c>
    </row>
    <row r="97" spans="4:6" x14ac:dyDescent="0.35">
      <c r="D97" s="3" t="s">
        <v>440</v>
      </c>
      <c r="E97" s="3">
        <v>190</v>
      </c>
      <c r="F97" s="3" t="s">
        <v>441</v>
      </c>
    </row>
    <row r="98" spans="4:6" x14ac:dyDescent="0.35">
      <c r="D98" s="3" t="s">
        <v>442</v>
      </c>
      <c r="E98" s="3">
        <f>E97*E96</f>
        <v>0.13622999999999999</v>
      </c>
      <c r="F98" s="3" t="s">
        <v>443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O47" sqref="O4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02"/>
      <c r="E6" s="402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16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11"/>
      <c r="AH8" s="399" t="s">
        <v>5</v>
      </c>
      <c r="AI8" s="400"/>
      <c r="AJ8" s="401"/>
      <c r="AK8" s="94"/>
      <c r="AL8" s="399" t="s">
        <v>6</v>
      </c>
      <c r="AM8" s="400"/>
      <c r="AN8" s="401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02"/>
      <c r="E6" s="402"/>
      <c r="F6" s="5"/>
      <c r="G6" s="5"/>
      <c r="H6" s="402"/>
      <c r="I6" s="402"/>
      <c r="J6" s="15"/>
      <c r="K6" s="15"/>
      <c r="L6" s="5"/>
      <c r="M6" s="402"/>
      <c r="N6" s="402"/>
      <c r="O6" s="402"/>
      <c r="P6" s="402"/>
      <c r="Q6" s="5"/>
      <c r="R6" s="5"/>
      <c r="S6" s="403"/>
      <c r="T6" s="403"/>
      <c r="U6" s="403"/>
      <c r="V6" s="403"/>
      <c r="W6" s="403"/>
      <c r="X6" s="403"/>
      <c r="Y6" s="403"/>
      <c r="Z6" s="403"/>
      <c r="AA6" s="403"/>
      <c r="AB6" s="403"/>
      <c r="AC6" s="403"/>
      <c r="AD6" s="403"/>
      <c r="AE6" s="403"/>
      <c r="AF6" s="403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3" t="s">
        <v>50</v>
      </c>
      <c r="E8" s="394"/>
      <c r="F8" s="395"/>
      <c r="G8" s="5"/>
      <c r="H8" s="396" t="s">
        <v>51</v>
      </c>
      <c r="I8" s="397"/>
      <c r="J8" s="398"/>
      <c r="K8" s="5"/>
      <c r="L8" s="5"/>
      <c r="M8" s="388" t="s">
        <v>70</v>
      </c>
      <c r="N8" s="389"/>
      <c r="O8" s="389"/>
      <c r="P8" s="389"/>
      <c r="Q8" s="390"/>
      <c r="R8" s="5"/>
      <c r="S8" s="382" t="s">
        <v>76</v>
      </c>
      <c r="T8" s="383"/>
      <c r="U8" s="384"/>
      <c r="V8" s="12"/>
      <c r="W8" s="385" t="s">
        <v>106</v>
      </c>
      <c r="X8" s="386"/>
      <c r="Y8" s="386"/>
      <c r="Z8" s="387"/>
      <c r="AA8" s="11"/>
      <c r="AB8" s="385" t="s">
        <v>83</v>
      </c>
      <c r="AC8" s="386"/>
      <c r="AD8" s="386"/>
      <c r="AE8" s="386"/>
      <c r="AF8" s="387"/>
      <c r="AG8" s="11"/>
      <c r="AH8" s="399" t="s">
        <v>5</v>
      </c>
      <c r="AI8" s="400"/>
      <c r="AJ8" s="401"/>
      <c r="AK8" s="94"/>
      <c r="AL8" s="399" t="s">
        <v>6</v>
      </c>
      <c r="AM8" s="400"/>
      <c r="AN8" s="401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448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2023-11-26T19:48:51Z</dcterms:modified>
</cp:coreProperties>
</file>