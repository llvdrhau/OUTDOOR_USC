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428C05D6-4C5B-4048-844B-815B27B21565}" xr6:coauthVersionLast="47" xr6:coauthVersionMax="47" xr10:uidLastSave="{00000000-0000-0000-0000-000000000000}"/>
  <bookViews>
    <workbookView xWindow="28680" yWindow="-885" windowWidth="29040" windowHeight="17520" tabRatio="816" activeTab="11" xr2:uid="{F0922C42-4112-4628-95FA-9F15DE1E480B}"/>
  </bookViews>
  <sheets>
    <sheet name="Systemblatt" sheetId="14" r:id="rId1"/>
    <sheet name="DataBank" sheetId="12" state="hidden" r:id="rId2"/>
    <sheet name="Template_PhysicalProcess" sheetId="83" state="hidden" r:id="rId3"/>
    <sheet name="Template_StoichReactor" sheetId="90" state="hidden" r:id="rId4"/>
    <sheet name="Template_YieldReactor" sheetId="103" state="hidden" r:id="rId5"/>
    <sheet name="Template_ElGenerator" sheetId="120" state="hidden" r:id="rId6"/>
    <sheet name="Template_SteamGenerator" sheetId="121" state="hidden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38" r:id="rId12"/>
    <sheet name="Grind_and_starch_decantation" sheetId="124" r:id="rId13"/>
    <sheet name="Drying" sheetId="140" r:id="rId14"/>
    <sheet name="Starch_processing" sheetId="141" r:id="rId15"/>
    <sheet name="Lactic Acid fermentation " sheetId="142" r:id="rId16"/>
    <sheet name="Polymerisation" sheetId="143" r:id="rId17"/>
    <sheet name="help_unit" sheetId="129" r:id="rId18"/>
    <sheet name="Microwave assisted extraction" sheetId="125" r:id="rId19"/>
    <sheet name="ultra sound assisted extraction" sheetId="133" r:id="rId20"/>
    <sheet name="Solvent recovery" sheetId="132" r:id="rId21"/>
    <sheet name="Solvent Recovery 2" sheetId="134" r:id="rId22"/>
    <sheet name="Yeast Fermentation" sheetId="127" r:id="rId23"/>
    <sheet name="Anaerobic Digestor" sheetId="126" r:id="rId24"/>
    <sheet name="elek Generator" sheetId="128" r:id="rId25"/>
    <sheet name="steam generator" sheetId="131" r:id="rId2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5" i="114" l="1"/>
  <c r="C23" i="114"/>
  <c r="E10" i="114"/>
  <c r="C37" i="114"/>
  <c r="C46" i="115"/>
  <c r="C45" i="115"/>
  <c r="AH4" i="127"/>
  <c r="E98" i="126"/>
  <c r="I12" i="126"/>
  <c r="E56" i="126"/>
  <c r="O10" i="126"/>
  <c r="N10" i="126"/>
  <c r="E55" i="126"/>
  <c r="E53" i="126"/>
  <c r="E52" i="126"/>
  <c r="E49" i="126"/>
  <c r="D59" i="127"/>
  <c r="D60" i="127" s="1"/>
  <c r="D48" i="127"/>
  <c r="D47" i="127"/>
  <c r="I12" i="127"/>
  <c r="I11" i="134"/>
  <c r="D51" i="132"/>
  <c r="D50" i="132"/>
  <c r="I11" i="132"/>
  <c r="D46" i="132"/>
  <c r="D41" i="132"/>
  <c r="N10" i="133"/>
  <c r="D51" i="133"/>
  <c r="D50" i="133"/>
  <c r="D49" i="125"/>
  <c r="F48" i="125"/>
  <c r="D47" i="125"/>
  <c r="D43" i="125"/>
  <c r="D40" i="125"/>
  <c r="D35" i="125"/>
  <c r="I11" i="125"/>
  <c r="D60" i="125"/>
  <c r="D62" i="125"/>
  <c r="D57" i="125"/>
  <c r="D56" i="125"/>
  <c r="D64" i="125" s="1"/>
  <c r="D60" i="133"/>
  <c r="D65" i="133"/>
  <c r="D63" i="133"/>
  <c r="D59" i="133"/>
  <c r="D67" i="133" s="1"/>
  <c r="D68" i="133" s="1"/>
  <c r="I12" i="133"/>
  <c r="D42" i="133"/>
  <c r="I11" i="133"/>
  <c r="E27" i="143"/>
  <c r="J12" i="143"/>
  <c r="I12" i="143"/>
  <c r="I11" i="143"/>
  <c r="N10" i="143"/>
  <c r="D50" i="142"/>
  <c r="D49" i="142"/>
  <c r="D65" i="125" l="1"/>
  <c r="I12" i="142" l="1"/>
  <c r="E27" i="142"/>
  <c r="J12" i="142"/>
  <c r="I11" i="141"/>
  <c r="I12" i="140"/>
  <c r="I11" i="140"/>
  <c r="I11" i="124"/>
  <c r="N10" i="124"/>
  <c r="E27" i="141"/>
  <c r="J12" i="141"/>
  <c r="E27" i="140"/>
  <c r="J12" i="140"/>
  <c r="D13" i="138"/>
  <c r="D11" i="138"/>
  <c r="C57" i="114"/>
  <c r="C24" i="114"/>
  <c r="C25" i="114"/>
  <c r="C38" i="114"/>
  <c r="C36" i="114"/>
  <c r="C35" i="114"/>
  <c r="C47" i="114"/>
  <c r="E14" i="115"/>
  <c r="E15" i="115"/>
  <c r="E17" i="115"/>
  <c r="E18" i="115"/>
  <c r="H10" i="114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C39" i="114" l="1"/>
  <c r="C40" i="114"/>
  <c r="C49" i="114"/>
  <c r="C48" i="114"/>
  <c r="C26" i="114"/>
  <c r="E13" i="115"/>
</calcChain>
</file>

<file path=xl/sharedStrings.xml><?xml version="1.0" encoding="utf-8"?>
<sst xmlns="http://schemas.openxmlformats.org/spreadsheetml/2006/main" count="2760" uniqueCount="465">
  <si>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</si>
  <si>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</si>
  <si>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</si>
  <si>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</si>
  <si>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</si>
  <si>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</si>
  <si>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</si>
  <si>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</si>
  <si>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</si>
  <si>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</si>
  <si>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</si>
  <si>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</si>
  <si>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</si>
  <si>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</si>
  <si>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</si>
  <si>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</si>
  <si>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</si>
  <si>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</si>
  <si>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</si>
  <si>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</si>
  <si>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</si>
  <si>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</si>
  <si>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</si>
  <si>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</si>
  <si>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</si>
  <si>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</si>
  <si>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</si>
  <si>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</si>
  <si>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</si>
  <si>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</si>
  <si>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</si>
  <si>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</si>
  <si>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</si>
  <si>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</si>
  <si>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</si>
  <si>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</si>
  <si>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</si>
  <si>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</si>
  <si>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</si>
  <si>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</si>
  <si>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</si>
  <si>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</si>
  <si>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</si>
  <si>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</si>
  <si>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</si>
  <si>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</si>
  <si>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</si>
  <si>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</si>
  <si>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</si>
  <si>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</si>
  <si>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</si>
  <si>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</si>
  <si>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</si>
  <si>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</si>
  <si>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</si>
  <si>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</si>
  <si>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</si>
  <si>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</si>
  <si>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</si>
  <si>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</si>
  <si>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</si>
  <si>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</si>
  <si>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</si>
  <si>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</si>
  <si>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</si>
  <si>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</si>
  <si>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</si>
  <si>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</si>
  <si>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</si>
  <si>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</si>
  <si>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</si>
  <si>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</si>
  <si>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</si>
  <si>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</si>
  <si>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</si>
  <si>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</si>
  <si>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</si>
  <si>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</si>
  <si>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</si>
  <si>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</si>
  <si>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</si>
  <si>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</si>
  <si>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</si>
  <si>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</si>
  <si>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</si>
  <si>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</si>
  <si>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</si>
  <si>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</si>
  <si>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</si>
  <si>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</si>
  <si>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</si>
  <si>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</si>
  <si>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</si>
  <si>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</si>
  <si>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</si>
  <si>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</si>
  <si>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</si>
  <si>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</si>
  <si>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</si>
  <si>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</si>
  <si>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</si>
  <si>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</si>
  <si>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</si>
  <si>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</si>
  <si>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</si>
  <si>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</si>
  <si>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</si>
  <si>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</si>
  <si>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</si>
  <si>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</si>
  <si>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</si>
  <si>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</si>
  <si>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</si>
  <si>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</si>
  <si>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</si>
  <si>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</si>
  <si>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</si>
  <si>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</si>
  <si>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</si>
  <si>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</si>
  <si>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</si>
  <si>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</si>
  <si>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</si>
  <si>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</si>
  <si>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</si>
  <si>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</si>
  <si>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</si>
  <si>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</si>
  <si>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</si>
  <si>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</si>
  <si>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</si>
  <si>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</si>
  <si>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</si>
  <si>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</si>
  <si>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</si>
  <si>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</si>
  <si>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</si>
  <si>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</si>
  <si>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</si>
  <si>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</si>
  <si>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</si>
  <si>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</si>
  <si>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</si>
  <si>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</si>
  <si>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</si>
  <si>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</si>
  <si>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</si>
  <si>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</si>
  <si>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</si>
  <si>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</si>
  <si>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</si>
  <si>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</si>
  <si>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</si>
  <si>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</si>
  <si>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</si>
  <si>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</si>
  <si>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</si>
  <si>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</si>
  <si>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</si>
  <si>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</si>
  <si>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</si>
  <si>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</si>
  <si>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</si>
  <si>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</si>
  <si>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</si>
  <si>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</si>
  <si>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</si>
  <si>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</si>
  <si>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</si>
  <si>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</si>
  <si>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</si>
  <si>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</si>
  <si>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</si>
  <si>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</si>
  <si>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</si>
  <si>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</si>
  <si>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</si>
  <si>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</si>
  <si>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</si>
  <si>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</si>
  <si>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</si>
  <si>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</si>
  <si>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</si>
  <si>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</si>
  <si>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</si>
  <si>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</si>
  <si>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</si>
  <si>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</si>
  <si>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</si>
  <si>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</si>
  <si>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</si>
  <si>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</si>
  <si>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</si>
  <si>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</si>
  <si>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</si>
  <si>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</si>
  <si>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</si>
  <si>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</si>
  <si>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</si>
  <si>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</si>
  <si>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</si>
  <si>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</si>
  <si>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</si>
  <si>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</si>
  <si>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</si>
  <si>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</si>
  <si>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</si>
  <si>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</si>
  <si>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</si>
  <si>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</si>
  <si>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</si>
  <si>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</si>
  <si>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</si>
  <si>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</si>
  <si>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</si>
  <si>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</si>
  <si>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</si>
  <si>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</si>
  <si>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</si>
  <si>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</si>
  <si>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</si>
  <si>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</si>
  <si>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Methane</t>
  </si>
  <si>
    <t>Solvent</t>
  </si>
  <si>
    <t>DES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</si>
  <si>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</si>
  <si>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</si>
  <si>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</si>
  <si>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</si>
  <si>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</si>
  <si>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</si>
  <si>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</si>
  <si>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</si>
  <si>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</si>
  <si>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</si>
  <si>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</si>
  <si>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</si>
  <si>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</si>
  <si>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</si>
  <si>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</si>
  <si>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</si>
  <si>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</si>
  <si>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</si>
  <si>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</si>
  <si>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</si>
  <si>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</si>
  <si>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</si>
  <si>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</si>
  <si>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</si>
  <si>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</si>
  <si>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</si>
  <si>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</si>
  <si>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</si>
  <si>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</si>
  <si>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</si>
  <si>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</si>
  <si>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</si>
  <si>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</si>
  <si>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</si>
  <si>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</si>
  <si>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</si>
  <si>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</si>
  <si>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</si>
  <si>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</si>
  <si>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</si>
  <si>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</si>
  <si>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</si>
  <si>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</si>
  <si>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</si>
  <si>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</si>
  <si>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</si>
  <si>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</si>
  <si>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</si>
  <si>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</si>
  <si>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</si>
  <si>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</si>
  <si>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</si>
  <si>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</si>
  <si>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</si>
  <si>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</si>
  <si>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</si>
  <si>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</si>
  <si>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</si>
  <si>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</si>
  <si>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</si>
  <si>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</si>
  <si>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</si>
  <si>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</si>
  <si>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</si>
  <si>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</si>
  <si>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</si>
  <si>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</si>
  <si>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</si>
  <si>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</si>
  <si>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</si>
  <si>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</si>
  <si>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</si>
  <si>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</si>
  <si>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</si>
  <si>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</si>
  <si>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</si>
  <si>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</si>
  <si>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</si>
  <si>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</si>
  <si>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</si>
  <si>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</si>
  <si>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</si>
  <si>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</si>
  <si>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</si>
  <si>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</si>
  <si>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odds</t>
  </si>
  <si>
    <t>Polylactic acid (PLA) price index - businessanalytiq</t>
  </si>
  <si>
    <t>Eur/kg</t>
  </si>
  <si>
    <t>%dv</t>
  </si>
  <si>
    <t>PLA-Plastic</t>
  </si>
  <si>
    <t>POTATO PEELS</t>
  </si>
  <si>
    <t xml:space="preserve">doi:10.3390/foods9111598 </t>
  </si>
  <si>
    <t>ash</t>
  </si>
  <si>
    <t>Proteins</t>
  </si>
  <si>
    <t>Potato Starch Prices, Price, Pricing, Monitor | ChemAnalyst</t>
  </si>
  <si>
    <t>Starch</t>
  </si>
  <si>
    <t>LETS ASSUME we can process 1 metric ton per hour</t>
  </si>
  <si>
    <t>Lets assume 50% of the water remains in the pulp that then needs to dry</t>
  </si>
  <si>
    <t>Sliced crop data on solar drying potential | Download Table (researchgate.net)</t>
  </si>
  <si>
    <t>roughly need 1.5 kwh/kg of water to evaporate</t>
  </si>
  <si>
    <t>lets say drying is also needed</t>
  </si>
  <si>
    <t>Mwh/ton</t>
  </si>
  <si>
    <t>High Speed 250kw Rasper Equipment Cassava Starch Production Line Cassava Crushing Machine - China Cassava Crushing Machine and Cassava Rasper Machine (made-in-china.com)</t>
  </si>
  <si>
    <t>kW</t>
  </si>
  <si>
    <t>capacity 10 t/h</t>
  </si>
  <si>
    <t>assume economy of scale 0.6</t>
  </si>
  <si>
    <t>https://doi.org/10.1016/0167-188X(86)90053-4</t>
  </si>
  <si>
    <t>Long Service Life Hg Series Single/Double Flaker Rotary Drum Scraper Drier for Mashed Potatoes - China Dryer Machine and Fruit Drying Machine (made-in-china.com)</t>
  </si>
  <si>
    <t>Large Scale High Capacity Spray Drying Machine Spray Dryer/Drum Dryer/Flash Drier - China Dryer and Spray Drier (made-in-china.com)</t>
  </si>
  <si>
    <t>Spray drier to get flacky starch</t>
  </si>
  <si>
    <t>00L 200L 300L 500L 700L 1000L 1bbl 2bbl 3bbl 5bbl Industrial Commerical Restaurant Pub Home Micro Craft Brewery Brewing System Turnkey Beer Equipment - China Brewery Equipment and Beer Brewery Equipment (made-in-china.com)</t>
  </si>
  <si>
    <t xml:space="preserve">take the largest vat </t>
  </si>
  <si>
    <t>2000L possible</t>
  </si>
  <si>
    <t xml:space="preserve">takes more or less 10 days to ferment Hlac </t>
  </si>
  <si>
    <t>ref:  https://doi.org/10.1016/j.wasman.2014.07.009</t>
  </si>
  <si>
    <t>so 2000 kg / (10d*24h)</t>
  </si>
  <si>
    <t>Lactic Acid</t>
  </si>
  <si>
    <t>Lactic acid fermentation</t>
  </si>
  <si>
    <t>Lactic acid fermentstion Sugars</t>
  </si>
  <si>
    <t xml:space="preserve">Let's assume that water  get seperated after fermenttion </t>
  </si>
  <si>
    <t>using reverse osmosis at a presure of 5Mpa</t>
  </si>
  <si>
    <t>Mpa = MJ/m3</t>
  </si>
  <si>
    <t>h of operation</t>
  </si>
  <si>
    <t>MW/t</t>
  </si>
  <si>
    <t>MWh/t</t>
  </si>
  <si>
    <t>Lactic acid separation from fermentation broths by reverse osmosis and nanofiltration - ScienceDirect</t>
  </si>
  <si>
    <t>Polymerization/Photochemical/Phenol Continuous Stirred Tank Electric Heating Batch Chemical Stainless Steel Reactor Price - China Stainless Steel Reactor and Chemical Reactor (made-in-china.com)</t>
  </si>
  <si>
    <t>assume 2.5 hours of operation for a batch reactor by Ring-Opening Polymerisation</t>
  </si>
  <si>
    <t>https://doi.org/10.3390/polym13152458</t>
  </si>
  <si>
    <t>assume we're using a stired tank reactor 10 000 L  or 10 tons</t>
  </si>
  <si>
    <t xml:space="preserve">assume power is from stirring </t>
  </si>
  <si>
    <t>probably need heat aswell but lets skip for now</t>
  </si>
  <si>
    <t xml:space="preserve">Assumptions made and references </t>
  </si>
  <si>
    <t>ECONOMIC PARAMETERS</t>
  </si>
  <si>
    <t>https://doi.org/10.1016/j.ifset.2007.04.014</t>
  </si>
  <si>
    <t>https://doi.org/10.3390/agronomy7030047</t>
  </si>
  <si>
    <t>W/cm3</t>
  </si>
  <si>
    <t xml:space="preserve">min of operation </t>
  </si>
  <si>
    <t>read:</t>
  </si>
  <si>
    <t>https://doi.org/10.1016/j.fbp.2020.04.007</t>
  </si>
  <si>
    <t>dollars/1000L</t>
  </si>
  <si>
    <t>kg/m3</t>
  </si>
  <si>
    <t xml:space="preserve">MAX CAPACITY </t>
  </si>
  <si>
    <t>kg/batch</t>
  </si>
  <si>
    <t>DOI 10.1007/s13399-015-0181-7</t>
  </si>
  <si>
    <t>SplitFactors</t>
  </si>
  <si>
    <t>https://doi.org/10.3390/pr8121665</t>
  </si>
  <si>
    <t>seems to be in the range of 6 -9 mg/g</t>
  </si>
  <si>
    <t>% deviation</t>
  </si>
  <si>
    <t>mg/g</t>
  </si>
  <si>
    <t xml:space="preserve">mg/g average </t>
  </si>
  <si>
    <t xml:space="preserve">the efficientcy of extraction is </t>
  </si>
  <si>
    <t>gPhenols/gPotato (wet)</t>
  </si>
  <si>
    <t>gPhenols/gPotato (dry)</t>
  </si>
  <si>
    <t xml:space="preserve">percent extration </t>
  </si>
  <si>
    <t>%</t>
  </si>
  <si>
    <t>that is nothing</t>
  </si>
  <si>
    <t>Grinding + sedimentation</t>
  </si>
  <si>
    <t>Drying pulp</t>
  </si>
  <si>
    <t>Spray drying milk</t>
  </si>
  <si>
    <t>Mirowave Assisted Extr.</t>
  </si>
  <si>
    <t>Ultra-Sound assisted Extr.</t>
  </si>
  <si>
    <t>Split Factors</t>
  </si>
  <si>
    <t>mg/gDW</t>
  </si>
  <si>
    <t>Optimization of microwave-assisted extraction of phenolics from potato and its downstream waste using orthogonal array design - ScienceDirect</t>
  </si>
  <si>
    <t xml:space="preserve">assuming that 80 is water the total original amount of phenols in the potatoes is: </t>
  </si>
  <si>
    <t>min for extraction to compleet!!</t>
  </si>
  <si>
    <t>https://doi.org/10.1007/s12247-022-09676-4</t>
  </si>
  <si>
    <t>M€</t>
  </si>
  <si>
    <t xml:space="preserve">L </t>
  </si>
  <si>
    <t xml:space="preserve">assume desity of potato to be </t>
  </si>
  <si>
    <t>max capacity</t>
  </si>
  <si>
    <t>kg</t>
  </si>
  <si>
    <t xml:space="preserve">refenernce flow </t>
  </si>
  <si>
    <t>kWh</t>
  </si>
  <si>
    <t>Wh</t>
  </si>
  <si>
    <t>kWh/kg = mWh/t</t>
  </si>
  <si>
    <t>assume density of potato to be</t>
  </si>
  <si>
    <t>MWh/m3</t>
  </si>
  <si>
    <t xml:space="preserve">https://doi.org/10.1007/s13399-021-01860-9 </t>
  </si>
  <si>
    <t>Assume anti-solvent recovery is used (being water or ethanol)</t>
  </si>
  <si>
    <t xml:space="preserve">say we use water as anti solvent </t>
  </si>
  <si>
    <t>dTemp</t>
  </si>
  <si>
    <t>kJ/kg°C.</t>
  </si>
  <si>
    <t>kJ/kg</t>
  </si>
  <si>
    <t>BOILING</t>
  </si>
  <si>
    <t>EVAPORATINg</t>
  </si>
  <si>
    <t>tot</t>
  </si>
  <si>
    <t xml:space="preserve">assume </t>
  </si>
  <si>
    <t xml:space="preserve">assume 8 hours of operation </t>
  </si>
  <si>
    <t xml:space="preserve">seems resonable </t>
  </si>
  <si>
    <t>kW/kg</t>
  </si>
  <si>
    <t>see solvent recovery1</t>
  </si>
  <si>
    <t>link</t>
  </si>
  <si>
    <t>starch 2 ethanol (yeast)</t>
  </si>
  <si>
    <t xml:space="preserve">http://dx.doi.org/10.1016/j.wasman.2010.04.017 </t>
  </si>
  <si>
    <t xml:space="preserve">43% of sugar tranformation to ethanol </t>
  </si>
  <si>
    <t>https://doi.org/10.1002/btpr.2427</t>
  </si>
  <si>
    <t xml:space="preserve">40 % to 26 % </t>
  </si>
  <si>
    <t>% average</t>
  </si>
  <si>
    <t xml:space="preserve">for uncertainty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</si>
  <si>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</si>
  <si>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</si>
  <si>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</si>
  <si>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</si>
  <si>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</si>
  <si>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</si>
  <si>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</si>
  <si>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</si>
  <si>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</si>
  <si>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</si>
  <si>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</si>
  <si>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</si>
  <si>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</si>
  <si>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</si>
  <si>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</si>
  <si>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</si>
  <si>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</si>
  <si>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</si>
  <si>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Split Parameters</t>
  </si>
  <si>
    <t>assume 90 % of starch in the milk</t>
  </si>
  <si>
    <t xml:space="preserve">https://doi.org/10.1002/(SICI)1521-379X(199907)51:7%3C235::AID-STAR235%3E3.0.CO;2-7 </t>
  </si>
  <si>
    <t>Steam gen.</t>
  </si>
  <si>
    <t>Anaerobic Digest.</t>
  </si>
  <si>
    <t>Gas splitter</t>
  </si>
  <si>
    <t>Polymerization</t>
  </si>
  <si>
    <t>ESCAPE34</t>
  </si>
  <si>
    <t>Product prices</t>
  </si>
  <si>
    <t xml:space="preserve">Theta </t>
  </si>
  <si>
    <t>Nr of scenarios</t>
  </si>
  <si>
    <t>level ^ (#Groups)</t>
  </si>
  <si>
    <t>Anti-solvent recov 1</t>
  </si>
  <si>
    <t>Anit-solvent recov2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</si>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</sst>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E+00"/>
    <numFmt numFmtId="167" formatCode="0.0"/>
  </numFmts>
  <fonts count="3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3.3"/>
      <color rgb="FF0F0F0F"/>
      <name val="Times New Roman"/>
      <family val="1"/>
    </font>
    <font>
      <sz val="10"/>
      <color rgb="FF0F0F0F"/>
      <name val="Times New Roman"/>
      <family val="1"/>
    </font>
    <font>
      <sz val="11"/>
      <color theme="1"/>
      <name val="Calibri Light"/>
      <family val="2"/>
      <scheme val="major"/>
    </font>
  </fonts>
  <fills count="19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6" fillId="0" borderId="0" applyNumberFormat="0" applyFill="0" applyBorder="0" applyAlignment="0" applyProtection="0"/>
  </cellStyleXfs>
  <cellXfs count="431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8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6" fillId="0" borderId="0" xfId="8"/>
    <xf numFmtId="0" fontId="23" fillId="17" borderId="5" xfId="0" applyFont="1" applyFill="1" applyBorder="1" applyAlignment="1">
      <alignment horizontal="center"/>
    </xf>
    <xf numFmtId="0" fontId="15" fillId="5" borderId="11" xfId="0" applyFont="1" applyFill="1" applyBorder="1" applyAlignment="1">
      <alignment horizontal="center"/>
    </xf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7" fillId="0" borderId="0" xfId="0" applyFont="1"/>
    <xf numFmtId="0" fontId="27" fillId="5" borderId="0" xfId="0" applyFont="1" applyFill="1" applyProtection="1">
      <protection locked="0"/>
    </xf>
    <xf numFmtId="0" fontId="15" fillId="5" borderId="14" xfId="1" applyFont="1" applyFill="1" applyBorder="1" applyAlignment="1" applyProtection="1">
      <alignment horizontal="center"/>
      <protection locked="0"/>
    </xf>
    <xf numFmtId="0" fontId="18" fillId="5" borderId="0" xfId="0" applyFont="1" applyFill="1" applyProtection="1">
      <protection locked="0"/>
    </xf>
    <xf numFmtId="0" fontId="18" fillId="5" borderId="21" xfId="0" applyFont="1" applyFill="1" applyBorder="1" applyProtection="1">
      <protection locked="0"/>
    </xf>
    <xf numFmtId="0" fontId="18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1" fillId="5" borderId="0" xfId="0" applyFont="1" applyFill="1" applyProtection="1">
      <protection locked="0"/>
    </xf>
    <xf numFmtId="0" fontId="11" fillId="5" borderId="10" xfId="1" applyFont="1" applyFill="1" applyBorder="1" applyAlignment="1">
      <alignment horizontal="left"/>
    </xf>
    <xf numFmtId="0" fontId="15" fillId="5" borderId="4" xfId="0" applyFont="1" applyFill="1" applyBorder="1" applyAlignment="1">
      <alignment horizontal="center" vertical="center"/>
    </xf>
    <xf numFmtId="165" fontId="15" fillId="5" borderId="10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26" fillId="5" borderId="0" xfId="8" applyFill="1" applyProtection="1">
      <protection locked="0"/>
    </xf>
    <xf numFmtId="0" fontId="1" fillId="5" borderId="0" xfId="1" applyFont="1" applyFill="1" applyAlignment="1" applyProtection="1">
      <alignment horizontal="left" vertical="center"/>
      <protection locked="0"/>
    </xf>
    <xf numFmtId="0" fontId="11" fillId="5" borderId="0" xfId="1" applyFont="1" applyFill="1" applyAlignment="1" applyProtection="1">
      <alignment horizontal="left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165" fontId="15" fillId="0" borderId="0" xfId="0" applyNumberFormat="1" applyFont="1" applyAlignment="1">
      <alignment horizontal="center"/>
    </xf>
    <xf numFmtId="0" fontId="0" fillId="0" borderId="0" xfId="0" applyAlignment="1" applyProtection="1">
      <alignment horizontal="right"/>
      <protection locked="0"/>
    </xf>
    <xf numFmtId="0" fontId="0" fillId="5" borderId="0" xfId="0" applyFill="1" applyAlignment="1" applyProtection="1">
      <alignment horizontal="right"/>
      <protection locked="0"/>
    </xf>
    <xf numFmtId="11" fontId="0" fillId="0" borderId="0" xfId="0" applyNumberFormat="1" applyProtection="1">
      <protection locked="0"/>
    </xf>
    <xf numFmtId="166" fontId="15" fillId="5" borderId="18" xfId="0" applyNumberFormat="1" applyFont="1" applyFill="1" applyBorder="1" applyAlignment="1">
      <alignment horizontal="center" vertical="center"/>
    </xf>
    <xf numFmtId="0" fontId="28" fillId="0" borderId="0" xfId="0" applyFont="1"/>
    <xf numFmtId="0" fontId="29" fillId="0" borderId="0" xfId="0" applyFont="1"/>
    <xf numFmtId="0" fontId="30" fillId="5" borderId="0" xfId="0" applyFont="1" applyFill="1" applyProtection="1">
      <protection locked="0"/>
    </xf>
    <xf numFmtId="0" fontId="30" fillId="0" borderId="0" xfId="0" applyFont="1" applyProtection="1">
      <protection locked="0"/>
    </xf>
    <xf numFmtId="0" fontId="26" fillId="0" borderId="0" xfId="8" applyProtection="1"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0" fillId="5" borderId="0" xfId="0" applyFill="1" applyAlignment="1" applyProtection="1">
      <alignment horizontal="left"/>
      <protection locked="0"/>
    </xf>
    <xf numFmtId="167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7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0" borderId="6" xfId="0" applyBorder="1" applyAlignment="1"/>
    <xf numFmtId="0" fontId="0" fillId="0" borderId="16" xfId="0" applyBorder="1" applyAlignment="1"/>
    <xf numFmtId="0" fontId="0" fillId="0" borderId="7" xfId="0" applyBorder="1" applyAlignment="1"/>
    <xf numFmtId="0" fontId="0" fillId="0" borderId="19" xfId="0" applyBorder="1" applyAlignment="1">
      <alignment horizontal="center"/>
    </xf>
    <xf numFmtId="0" fontId="23" fillId="17" borderId="19" xfId="0" applyFont="1" applyFill="1" applyBorder="1" applyAlignment="1">
      <alignment horizontal="center"/>
    </xf>
  </cellXfs>
  <cellStyles count="9">
    <cellStyle name="Hipervínculo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809626</xdr:colOff>
      <xdr:row>30</xdr:row>
      <xdr:rowOff>142876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180975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104775</xdr:rowOff>
        </xdr:from>
        <xdr:to>
          <xdr:col>2</xdr:col>
          <xdr:colOff>866775</xdr:colOff>
          <xdr:row>37</xdr:row>
          <xdr:rowOff>142875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1362075</xdr:colOff>
          <xdr:row>39</xdr:row>
          <xdr:rowOff>104775</xdr:rowOff>
        </xdr:from>
        <xdr:to>
          <xdr:col>2</xdr:col>
          <xdr:colOff>847725</xdr:colOff>
          <xdr:row>42</xdr:row>
          <xdr:rowOff>161925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847725</xdr:colOff>
          <xdr:row>47</xdr:row>
          <xdr:rowOff>47625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9525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752475</xdr:colOff>
          <xdr:row>51</xdr:row>
          <xdr:rowOff>104775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180439</xdr:colOff>
      <xdr:row>38</xdr:row>
      <xdr:rowOff>146010</xdr:rowOff>
    </xdr:from>
    <xdr:to>
      <xdr:col>16</xdr:col>
      <xdr:colOff>160916</xdr:colOff>
      <xdr:row>59</xdr:row>
      <xdr:rowOff>112807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39656" y="8420137"/>
          <a:ext cx="8318333" cy="3822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148167</xdr:colOff>
      <xdr:row>12</xdr:row>
      <xdr:rowOff>158749</xdr:rowOff>
    </xdr:from>
    <xdr:to>
      <xdr:col>12</xdr:col>
      <xdr:colOff>476249</xdr:colOff>
      <xdr:row>22</xdr:row>
      <xdr:rowOff>158749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7662334" y="2539999"/>
          <a:ext cx="3725332" cy="192616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</a:t>
          </a:r>
          <a:r>
            <a:rPr lang="en-US" sz="1100" baseline="0"/>
            <a:t> to self,</a:t>
          </a:r>
        </a:p>
        <a:p>
          <a:endParaRPr lang="en-US" sz="1100" baseline="0"/>
        </a:p>
        <a:p>
          <a:r>
            <a:rPr lang="en-US" sz="1100" baseline="0"/>
            <a:t>I could speciefe individually what the ods are as a vecotr, of eavh value occuring! </a:t>
          </a:r>
        </a:p>
        <a:p>
          <a:endParaRPr lang="en-US" sz="1100" baseline="0"/>
        </a:p>
        <a:p>
          <a:r>
            <a:rPr lang="en-US" sz="1100" baseline="0"/>
            <a:t>the odds of a scenario then happening is the product of all the odds of each uncertain parameter of that scenario!! todo I want to put this in the code!!! </a:t>
          </a:r>
          <a:endParaRPr lang="en-US" sz="1100"/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517525</xdr:colOff>
      <xdr:row>29</xdr:row>
      <xdr:rowOff>149225</xdr:rowOff>
    </xdr:from>
    <xdr:to>
      <xdr:col>10</xdr:col>
      <xdr:colOff>197128</xdr:colOff>
      <xdr:row>59</xdr:row>
      <xdr:rowOff>54258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5" y="6562725"/>
          <a:ext cx="5416828" cy="551843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180975</xdr:colOff>
      <xdr:row>29</xdr:row>
      <xdr:rowOff>105681</xdr:rowOff>
    </xdr:from>
    <xdr:to>
      <xdr:col>7</xdr:col>
      <xdr:colOff>34294</xdr:colOff>
      <xdr:row>43</xdr:row>
      <xdr:rowOff>164323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6082" y="6773181"/>
          <a:ext cx="5385076" cy="2562356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479279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1017501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s://doi.org/10.1002/(SICI)1521-379X(199907)51:7%3C235::AID-STAR235%3E3.0.CO;2-7" TargetMode="External"/><Relationship Id="rId1" Type="http://schemas.openxmlformats.org/officeDocument/2006/relationships/hyperlink" Target="https://jh-starchmachine.en.made-in-china.com/product/TZsfrGgXbBRW/China-High-Speed-250kw-Rasper-Equipment-Cassava-Starch-Production-Line-Cassava-Crushing-Machine.html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zxdrying888.en.made-in-china.com/product/IQHYXkKJhVco/China-Long-Service-Life-Hg-Series-Single-Double-Flaker-Rotary-Drum-Scraper-Drier-for-Mashed-Potatoes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zxdrying888.en.made-in-china.com/product/cdgAMybHrupS/China-Large-Scale-High-Capacity-Spray-Drying-Machine-Spray-Dryer-Drum-Dryer-Flash-Drier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www.sciencedirect.com/science/article/pii/0376738894000611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Relationship Id="rId1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https://doi.org/10.1007/s12247-022-09676-4" TargetMode="External"/><Relationship Id="rId1" Type="http://schemas.openxmlformats.org/officeDocument/2006/relationships/hyperlink" Target="https://www.sciencedirect.com/science/article/pii/S0308814611010983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16/j.fbp.2020.04.007" TargetMode="External"/><Relationship Id="rId2" Type="http://schemas.openxmlformats.org/officeDocument/2006/relationships/hyperlink" Target="https://doi.org/10.3390/agronomy7030047" TargetMode="External"/><Relationship Id="rId1" Type="http://schemas.openxmlformats.org/officeDocument/2006/relationships/hyperlink" Target="https://doi.org/10.1016/j.ifset.2007.04.014" TargetMode="External"/><Relationship Id="rId4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doi.org/10.1007/s13399-021-01860-9" TargetMode="Externa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02/btpr.2427" TargetMode="External"/><Relationship Id="rId2" Type="http://schemas.openxmlformats.org/officeDocument/2006/relationships/hyperlink" Target="http://dx.doi.org/10.1016/j.wasman.2010.04.017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Relationship Id="rId5" Type="http://schemas.openxmlformats.org/officeDocument/2006/relationships/printerSettings" Target="../printerSettings/printerSettings17.bin"/><Relationship Id="rId4" Type="http://schemas.openxmlformats.org/officeDocument/2006/relationships/hyperlink" Target="https://www.sciencedirect.com/science/article/pii/0376738894000611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70" zoomScaleNormal="70" workbookViewId="0">
      <selection activeCell="C12" sqref="C12"/>
    </sheetView>
  </sheetViews>
  <sheetFormatPr baseColWidth="10" defaultColWidth="10.85546875" defaultRowHeight="15.75" x14ac:dyDescent="0.25"/>
  <cols>
    <col min="1" max="1" width="19.42578125" style="2" customWidth="1"/>
    <col min="2" max="2" width="41.28515625" style="2" customWidth="1"/>
    <col min="3" max="3" width="26" style="2" bestFit="1" customWidth="1"/>
    <col min="4" max="4" width="13.85546875" style="2" customWidth="1"/>
    <col min="5" max="6" width="21.28515625" style="2" customWidth="1"/>
    <col min="7" max="7" width="17.7109375" style="2" customWidth="1"/>
    <col min="8" max="8" width="22.7109375" style="2" bestFit="1" customWidth="1"/>
    <col min="9" max="9" width="21.85546875" style="2" bestFit="1" customWidth="1"/>
    <col min="10" max="10" width="21" style="2" bestFit="1" customWidth="1"/>
    <col min="11" max="11" width="19.28515625" style="2" customWidth="1"/>
    <col min="12" max="13" width="20.140625" style="2" customWidth="1"/>
    <col min="14" max="14" width="28.85546875" style="2" bestFit="1" customWidth="1"/>
    <col min="15" max="15" width="32.5703125" style="2" bestFit="1" customWidth="1"/>
    <col min="16" max="16" width="21.140625" style="2" bestFit="1" customWidth="1"/>
    <col min="17" max="17" width="16" style="2" bestFit="1" customWidth="1"/>
    <col min="18" max="18" width="22.85546875" style="2" bestFit="1" customWidth="1"/>
    <col min="19" max="19" width="23.85546875" style="2" bestFit="1" customWidth="1"/>
    <col min="20" max="20" width="19.85546875" style="2" bestFit="1" customWidth="1"/>
    <col min="21" max="21" width="19.28515625" style="2" customWidth="1"/>
    <col min="22" max="22" width="23.28515625" style="2" bestFit="1" customWidth="1"/>
    <col min="23" max="23" width="20.140625" style="2" bestFit="1" customWidth="1"/>
    <col min="24" max="24" width="10.85546875" style="2"/>
    <col min="25" max="25" width="10.85546875" style="2" customWidth="1"/>
    <col min="26" max="16384" width="10.85546875" style="2"/>
  </cols>
  <sheetData>
    <row r="1" spans="1:29" ht="21.75" thickBot="1" x14ac:dyDescent="0.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.5" thickBot="1" x14ac:dyDescent="0.3">
      <c r="A2" s="55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3">
      <c r="A3" s="37"/>
      <c r="B3" s="369" t="s">
        <v>29</v>
      </c>
      <c r="C3" s="370"/>
      <c r="D3" s="371"/>
      <c r="F3" s="320" t="s">
        <v>32</v>
      </c>
      <c r="G3" s="321"/>
      <c r="H3" s="321"/>
      <c r="I3" s="321"/>
      <c r="J3" s="321"/>
      <c r="K3" s="322"/>
      <c r="L3" s="14"/>
      <c r="M3" s="14"/>
      <c r="N3" s="375" t="s">
        <v>35</v>
      </c>
      <c r="O3" s="376"/>
      <c r="P3" s="377"/>
      <c r="Q3" s="14"/>
      <c r="R3" s="14"/>
      <c r="S3" s="378" t="s">
        <v>39</v>
      </c>
      <c r="T3" s="379"/>
      <c r="U3" s="379"/>
      <c r="V3" s="380"/>
      <c r="W3" s="14"/>
      <c r="X3" s="14"/>
      <c r="Y3" s="14"/>
      <c r="Z3" s="36"/>
      <c r="AA3" s="14"/>
      <c r="AB3" s="14"/>
      <c r="AC3" s="14"/>
    </row>
    <row r="4" spans="1:29" ht="107.1" customHeight="1" thickBot="1" x14ac:dyDescent="0.3">
      <c r="A4" s="37"/>
      <c r="B4" s="185" t="s">
        <v>30</v>
      </c>
      <c r="C4" s="186" t="s">
        <v>0</v>
      </c>
      <c r="D4" s="230" t="s">
        <v>175</v>
      </c>
      <c r="E4" s="14"/>
      <c r="F4" s="181" t="s">
        <v>33</v>
      </c>
      <c r="G4" s="182" t="s">
        <v>184</v>
      </c>
      <c r="H4" s="182" t="s">
        <v>182</v>
      </c>
      <c r="I4" s="182" t="s">
        <v>183</v>
      </c>
      <c r="J4" s="183" t="s">
        <v>34</v>
      </c>
      <c r="K4" s="184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2" t="s">
        <v>48</v>
      </c>
      <c r="T4" s="162" t="s">
        <v>47</v>
      </c>
      <c r="U4" s="163" t="s">
        <v>49</v>
      </c>
      <c r="V4" s="163" t="s">
        <v>115</v>
      </c>
      <c r="W4" s="14"/>
      <c r="X4" s="14"/>
      <c r="Z4" s="36"/>
      <c r="AA4" s="14"/>
      <c r="AB4" s="14"/>
      <c r="AC4" s="14"/>
    </row>
    <row r="5" spans="1:29" ht="18.75" x14ac:dyDescent="0.3">
      <c r="A5" s="59"/>
      <c r="B5" s="26" t="s">
        <v>27</v>
      </c>
      <c r="C5" s="28" t="s">
        <v>451</v>
      </c>
      <c r="D5" s="231" t="s">
        <v>176</v>
      </c>
      <c r="E5" s="14"/>
      <c r="F5" s="24" t="s">
        <v>318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2" t="s">
        <v>193</v>
      </c>
      <c r="P5" s="28" t="s">
        <v>171</v>
      </c>
      <c r="Q5" s="14"/>
      <c r="R5" s="14"/>
      <c r="S5" s="20" t="s">
        <v>18</v>
      </c>
      <c r="T5" s="42">
        <v>87</v>
      </c>
      <c r="U5" s="42">
        <v>1.4E-2</v>
      </c>
      <c r="V5" s="164"/>
      <c r="W5" s="14"/>
      <c r="X5" s="14"/>
      <c r="Y5" s="14"/>
      <c r="Z5" s="36"/>
      <c r="AA5" s="14"/>
      <c r="AB5" s="14"/>
      <c r="AC5" s="14"/>
    </row>
    <row r="6" spans="1:29" ht="18.75" x14ac:dyDescent="0.3">
      <c r="A6" s="37"/>
      <c r="B6" s="24" t="s">
        <v>28</v>
      </c>
      <c r="C6" s="30" t="s">
        <v>167</v>
      </c>
      <c r="D6" s="232" t="s">
        <v>176</v>
      </c>
      <c r="E6" s="14"/>
      <c r="F6" s="24" t="s">
        <v>170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49">
        <v>2</v>
      </c>
      <c r="O6" s="43" t="s">
        <v>196</v>
      </c>
      <c r="P6" s="30" t="s">
        <v>171</v>
      </c>
      <c r="Q6" s="14"/>
      <c r="R6" s="14"/>
      <c r="S6" s="24" t="s">
        <v>19</v>
      </c>
      <c r="T6" s="43"/>
      <c r="U6" s="43">
        <v>0.248</v>
      </c>
      <c r="V6" s="50"/>
      <c r="W6" s="14"/>
      <c r="X6" s="14"/>
      <c r="Y6" s="14"/>
      <c r="Z6" s="36"/>
      <c r="AA6" s="14"/>
      <c r="AB6" s="14"/>
      <c r="AC6" s="14"/>
    </row>
    <row r="7" spans="1:29" ht="19.5" thickBot="1" x14ac:dyDescent="0.35">
      <c r="A7" s="37"/>
      <c r="B7" s="187" t="s">
        <v>130</v>
      </c>
      <c r="C7" s="188" t="s">
        <v>225</v>
      </c>
      <c r="D7" s="232" t="s">
        <v>176</v>
      </c>
      <c r="E7" s="14"/>
      <c r="F7" s="24" t="s">
        <v>171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49">
        <v>3</v>
      </c>
      <c r="O7" s="43" t="s">
        <v>197</v>
      </c>
      <c r="P7" s="30" t="s">
        <v>170</v>
      </c>
      <c r="Q7" s="14"/>
      <c r="R7" s="14"/>
      <c r="S7" s="25" t="s">
        <v>114</v>
      </c>
      <c r="T7" s="45">
        <v>35</v>
      </c>
      <c r="U7" s="45">
        <v>0.1</v>
      </c>
      <c r="V7" s="52"/>
      <c r="W7" s="14"/>
      <c r="X7" s="14"/>
      <c r="Y7" s="14"/>
      <c r="Z7" s="36"/>
      <c r="AA7" s="14"/>
      <c r="AB7" s="14"/>
      <c r="AC7" s="14"/>
    </row>
    <row r="8" spans="1:29" ht="18.75" x14ac:dyDescent="0.3">
      <c r="A8" s="37"/>
      <c r="B8" s="228" t="s">
        <v>217</v>
      </c>
      <c r="C8" s="229" t="s">
        <v>216</v>
      </c>
      <c r="D8" s="232" t="s">
        <v>176</v>
      </c>
      <c r="E8" s="14"/>
      <c r="F8" s="24" t="s">
        <v>168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49">
        <v>4</v>
      </c>
      <c r="O8" s="43" t="s">
        <v>198</v>
      </c>
      <c r="P8" s="30" t="s">
        <v>318</v>
      </c>
      <c r="Q8" s="14"/>
      <c r="R8" s="14"/>
      <c r="S8" s="55"/>
      <c r="T8" s="34"/>
      <c r="U8" s="34"/>
      <c r="V8" s="164"/>
      <c r="W8" s="14"/>
      <c r="X8" s="14"/>
      <c r="Y8" s="14"/>
      <c r="Z8" s="36"/>
      <c r="AA8" s="14"/>
      <c r="AB8" s="14"/>
      <c r="AC8" s="14"/>
    </row>
    <row r="9" spans="1:29" ht="18.75" x14ac:dyDescent="0.3">
      <c r="A9" s="37"/>
      <c r="B9" s="21" t="s">
        <v>289</v>
      </c>
      <c r="C9" s="30"/>
      <c r="D9" s="232" t="s">
        <v>176</v>
      </c>
      <c r="E9" s="14"/>
      <c r="F9" s="24" t="s">
        <v>173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49">
        <v>5</v>
      </c>
      <c r="O9" s="43" t="s">
        <v>199</v>
      </c>
      <c r="P9" s="30" t="s">
        <v>173</v>
      </c>
      <c r="Q9" s="14"/>
      <c r="R9" s="14"/>
      <c r="S9" s="24"/>
      <c r="T9" s="19"/>
      <c r="U9" s="19"/>
      <c r="V9" s="50"/>
      <c r="W9" s="14"/>
      <c r="X9" s="14"/>
      <c r="Y9" s="14"/>
      <c r="Z9" s="36"/>
      <c r="AA9" s="14"/>
      <c r="AB9" s="14"/>
      <c r="AC9" s="14"/>
    </row>
    <row r="10" spans="1:29" ht="19.5" thickBot="1" x14ac:dyDescent="0.35">
      <c r="A10" s="37"/>
      <c r="B10" s="27" t="s">
        <v>290</v>
      </c>
      <c r="C10" s="29"/>
      <c r="D10" s="232" t="s">
        <v>177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49">
        <v>6</v>
      </c>
      <c r="O10" s="43" t="s">
        <v>342</v>
      </c>
      <c r="P10" s="30" t="s">
        <v>320</v>
      </c>
      <c r="Q10" s="14"/>
      <c r="R10" s="14"/>
      <c r="S10" s="24"/>
      <c r="T10" s="19"/>
      <c r="U10" s="19"/>
      <c r="V10" s="50"/>
      <c r="W10" s="14"/>
      <c r="X10" s="14"/>
      <c r="Y10" s="14"/>
      <c r="Z10" s="36"/>
      <c r="AA10" s="14"/>
      <c r="AB10" s="14"/>
      <c r="AC10" s="14"/>
    </row>
    <row r="11" spans="1:29" ht="18.75" x14ac:dyDescent="0.3">
      <c r="A11" s="37"/>
      <c r="B11" s="20" t="s">
        <v>166</v>
      </c>
      <c r="C11" s="28">
        <v>8000</v>
      </c>
      <c r="D11" s="232" t="s">
        <v>292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49">
        <v>7</v>
      </c>
      <c r="O11" s="43" t="s">
        <v>343</v>
      </c>
      <c r="P11" s="30" t="s">
        <v>171</v>
      </c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.5" thickBot="1" x14ac:dyDescent="0.35">
      <c r="A12" s="37"/>
      <c r="B12" s="21" t="s">
        <v>31</v>
      </c>
      <c r="C12" s="30">
        <v>2018</v>
      </c>
      <c r="D12" s="233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49">
        <v>8</v>
      </c>
      <c r="O12" s="43" t="s">
        <v>419</v>
      </c>
      <c r="P12" s="30" t="s">
        <v>320</v>
      </c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00000000000001" customHeight="1" thickBot="1" x14ac:dyDescent="0.35">
      <c r="A13" s="37"/>
      <c r="B13" s="21" t="s">
        <v>131</v>
      </c>
      <c r="C13" s="30">
        <v>0.05</v>
      </c>
      <c r="D13" s="233"/>
      <c r="E13" s="14"/>
      <c r="F13" s="24" t="s">
        <v>174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49"/>
      <c r="O13" s="43"/>
      <c r="P13" s="30"/>
      <c r="Q13" s="14"/>
      <c r="R13" s="14"/>
      <c r="S13" s="56" t="s">
        <v>40</v>
      </c>
      <c r="T13" s="57" t="s">
        <v>46</v>
      </c>
      <c r="U13" s="58" t="s">
        <v>47</v>
      </c>
      <c r="V13" s="56"/>
      <c r="W13" s="14"/>
      <c r="X13" s="14"/>
      <c r="Y13" s="14"/>
      <c r="Z13" s="36"/>
      <c r="AA13" s="14"/>
      <c r="AB13" s="14"/>
      <c r="AC13" s="14"/>
    </row>
    <row r="14" spans="1:29" ht="18.75" x14ac:dyDescent="0.3">
      <c r="A14" s="37"/>
      <c r="B14" s="23" t="s">
        <v>132</v>
      </c>
      <c r="C14" s="30" t="s">
        <v>214</v>
      </c>
      <c r="D14" s="233"/>
      <c r="E14" s="14"/>
      <c r="F14" s="24" t="s">
        <v>194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49"/>
      <c r="O14" s="43"/>
      <c r="P14" s="30"/>
      <c r="Q14" s="14"/>
      <c r="R14" s="14"/>
      <c r="S14" s="26" t="s">
        <v>41</v>
      </c>
      <c r="T14" s="42">
        <v>600</v>
      </c>
      <c r="U14" s="28">
        <v>34</v>
      </c>
      <c r="V14" s="164"/>
      <c r="W14" s="14"/>
      <c r="X14" s="14"/>
      <c r="Y14" s="14"/>
      <c r="Z14" s="36"/>
      <c r="AA14" s="14"/>
      <c r="AB14" s="14"/>
      <c r="AC14" s="14"/>
    </row>
    <row r="15" spans="1:29" ht="19.5" thickBot="1" x14ac:dyDescent="0.35">
      <c r="A15" s="37"/>
      <c r="B15" s="27" t="s">
        <v>165</v>
      </c>
      <c r="C15" s="29">
        <v>0.04</v>
      </c>
      <c r="D15" s="233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49"/>
      <c r="O15" s="43"/>
      <c r="P15" s="30"/>
      <c r="Q15" s="14"/>
      <c r="R15" s="14"/>
      <c r="S15" s="24" t="s">
        <v>42</v>
      </c>
      <c r="T15" s="43">
        <v>330</v>
      </c>
      <c r="U15" s="30">
        <v>32</v>
      </c>
      <c r="V15" s="50"/>
      <c r="W15" s="14"/>
      <c r="X15" s="14"/>
      <c r="Y15" s="14"/>
      <c r="Z15" s="36"/>
      <c r="AA15" s="14"/>
      <c r="AB15" s="14"/>
      <c r="AC15" s="14"/>
    </row>
    <row r="16" spans="1:29" ht="18.75" x14ac:dyDescent="0.3">
      <c r="A16" s="37"/>
      <c r="B16" s="26" t="s">
        <v>93</v>
      </c>
      <c r="C16" s="28" t="s">
        <v>94</v>
      </c>
      <c r="D16" s="233"/>
      <c r="E16" s="14"/>
      <c r="F16" s="24" t="s">
        <v>224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49"/>
      <c r="O16" s="43"/>
      <c r="P16" s="30"/>
      <c r="Q16" s="14"/>
      <c r="R16" s="14"/>
      <c r="S16" s="24" t="s">
        <v>43</v>
      </c>
      <c r="T16" s="43">
        <v>220</v>
      </c>
      <c r="U16" s="30">
        <v>30</v>
      </c>
      <c r="V16" s="50"/>
      <c r="W16" s="14"/>
      <c r="X16" s="14"/>
      <c r="Y16" s="14"/>
      <c r="Z16" s="36"/>
      <c r="AA16" s="14"/>
      <c r="AB16" s="14"/>
      <c r="AC16" s="14"/>
    </row>
    <row r="17" spans="1:29" ht="18.75" x14ac:dyDescent="0.3">
      <c r="A17" s="60"/>
      <c r="B17" s="140" t="s">
        <v>95</v>
      </c>
      <c r="C17" s="141">
        <v>2.5</v>
      </c>
      <c r="D17" s="233"/>
      <c r="E17" s="14"/>
      <c r="F17" s="24" t="s">
        <v>275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49"/>
      <c r="O17" s="43"/>
      <c r="P17" s="30"/>
      <c r="Q17" s="14"/>
      <c r="R17" s="14"/>
      <c r="S17" s="24" t="s">
        <v>44</v>
      </c>
      <c r="T17" s="43">
        <v>130</v>
      </c>
      <c r="U17" s="30">
        <v>29</v>
      </c>
      <c r="V17" s="50"/>
      <c r="W17" s="8"/>
      <c r="X17" s="8"/>
      <c r="Y17" s="8"/>
      <c r="Z17" s="22"/>
      <c r="AA17" s="14"/>
      <c r="AB17" s="14"/>
      <c r="AC17" s="14"/>
    </row>
    <row r="18" spans="1:29" ht="19.5" thickBot="1" x14ac:dyDescent="0.35">
      <c r="A18" s="37"/>
      <c r="B18" s="24" t="s">
        <v>96</v>
      </c>
      <c r="C18" s="30">
        <v>450</v>
      </c>
      <c r="D18" s="233"/>
      <c r="E18" s="14"/>
      <c r="F18" s="24" t="s">
        <v>317</v>
      </c>
      <c r="G18" s="43"/>
      <c r="H18" s="44">
        <v>1</v>
      </c>
      <c r="I18" s="43">
        <v>22</v>
      </c>
      <c r="J18" s="43">
        <v>0</v>
      </c>
      <c r="K18" s="161"/>
      <c r="L18" s="14"/>
      <c r="M18" s="14"/>
      <c r="N18" s="334"/>
      <c r="O18" s="45"/>
      <c r="P18" s="29"/>
      <c r="Q18" s="8"/>
      <c r="R18" s="53"/>
      <c r="S18" s="25" t="s">
        <v>45</v>
      </c>
      <c r="T18" s="45">
        <v>15</v>
      </c>
      <c r="U18" s="29">
        <v>0.22</v>
      </c>
      <c r="V18" s="52"/>
      <c r="W18" s="384"/>
      <c r="X18" s="384"/>
      <c r="Y18" s="384"/>
      <c r="Z18" s="385"/>
      <c r="AA18" s="14"/>
      <c r="AB18" s="14"/>
      <c r="AC18" s="14"/>
    </row>
    <row r="19" spans="1:29" ht="18.75" x14ac:dyDescent="0.3">
      <c r="A19" s="37"/>
      <c r="B19" s="24" t="s">
        <v>55</v>
      </c>
      <c r="C19" s="30">
        <v>15</v>
      </c>
      <c r="D19" s="232" t="s">
        <v>179</v>
      </c>
      <c r="E19" s="14"/>
      <c r="F19" s="24" t="s">
        <v>320</v>
      </c>
      <c r="G19" s="43"/>
      <c r="H19" s="44">
        <v>1</v>
      </c>
      <c r="I19" s="43">
        <v>180</v>
      </c>
      <c r="J19" s="43">
        <v>0</v>
      </c>
      <c r="K19" s="30"/>
      <c r="L19" s="14"/>
      <c r="M19" s="14"/>
      <c r="N19" s="14"/>
      <c r="O19" s="14"/>
      <c r="P19" s="14"/>
      <c r="Q19" s="8"/>
      <c r="R19" s="54"/>
      <c r="S19" s="14"/>
      <c r="T19" s="14"/>
      <c r="U19" s="14"/>
      <c r="V19" s="14"/>
      <c r="W19" s="54"/>
      <c r="X19" s="10"/>
      <c r="Y19" s="382"/>
      <c r="Z19" s="383"/>
      <c r="AA19" s="14"/>
      <c r="AB19" s="14"/>
      <c r="AC19" s="14"/>
    </row>
    <row r="20" spans="1:29" ht="18.75" x14ac:dyDescent="0.3">
      <c r="A20" s="37"/>
      <c r="B20" s="24" t="s">
        <v>97</v>
      </c>
      <c r="C20" s="30">
        <v>20</v>
      </c>
      <c r="D20" s="232" t="s">
        <v>181</v>
      </c>
      <c r="E20" s="14"/>
      <c r="F20" s="24" t="s">
        <v>341</v>
      </c>
      <c r="G20" s="43"/>
      <c r="H20" s="43">
        <v>1</v>
      </c>
      <c r="I20" s="43">
        <v>60</v>
      </c>
      <c r="J20" s="43">
        <v>0</v>
      </c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82"/>
      <c r="Z20" s="383"/>
      <c r="AA20" s="14"/>
      <c r="AB20" s="14"/>
      <c r="AC20" s="14"/>
    </row>
    <row r="21" spans="1:29" ht="19.5" thickBot="1" x14ac:dyDescent="0.35">
      <c r="A21" s="37"/>
      <c r="B21" s="25" t="s">
        <v>98</v>
      </c>
      <c r="C21" s="29">
        <v>35</v>
      </c>
      <c r="D21" s="234" t="s">
        <v>181</v>
      </c>
      <c r="E21" s="14"/>
      <c r="F21" s="24"/>
      <c r="G21" s="43"/>
      <c r="H21" s="43"/>
      <c r="I21" s="43"/>
      <c r="J21" s="43"/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82"/>
      <c r="Z21" s="383"/>
      <c r="AA21" s="14"/>
      <c r="AB21" s="14"/>
      <c r="AC21" s="14"/>
    </row>
    <row r="22" spans="1:29" ht="18.75" x14ac:dyDescent="0.3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82"/>
      <c r="Z22" s="383"/>
      <c r="AA22" s="14"/>
      <c r="AB22" s="14"/>
      <c r="AC22" s="14"/>
    </row>
    <row r="23" spans="1:29" ht="18.75" x14ac:dyDescent="0.3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381"/>
      <c r="U23" s="381"/>
      <c r="V23" s="8"/>
      <c r="W23" s="8"/>
      <c r="X23" s="8"/>
      <c r="Y23" s="8"/>
      <c r="Z23" s="22"/>
      <c r="AA23" s="14"/>
      <c r="AB23" s="14"/>
      <c r="AC23" s="14"/>
    </row>
    <row r="24" spans="1:29" ht="18.75" x14ac:dyDescent="0.3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75" x14ac:dyDescent="0.3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2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2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2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.5" thickBot="1" x14ac:dyDescent="0.3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75" thickBot="1" x14ac:dyDescent="0.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372" t="s">
        <v>133</v>
      </c>
      <c r="O30" s="373"/>
      <c r="P30" s="374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75" thickBot="1" x14ac:dyDescent="0.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2" t="s">
        <v>134</v>
      </c>
      <c r="O31" s="192" t="s">
        <v>135</v>
      </c>
      <c r="P31" s="192" t="s">
        <v>136</v>
      </c>
      <c r="Q31" s="14"/>
      <c r="R31" s="14"/>
      <c r="S31" s="372" t="s">
        <v>140</v>
      </c>
      <c r="T31" s="373"/>
      <c r="U31" s="373"/>
      <c r="V31" s="373"/>
      <c r="W31" s="374"/>
      <c r="X31" s="14"/>
      <c r="Y31" s="14"/>
      <c r="Z31" s="36"/>
      <c r="AA31" s="14"/>
      <c r="AB31" s="14"/>
      <c r="AC31" s="14"/>
    </row>
    <row r="32" spans="1:29" ht="21.75" thickBot="1" x14ac:dyDescent="0.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3">
        <v>0.55000000000000004</v>
      </c>
      <c r="P32" s="164">
        <v>325</v>
      </c>
      <c r="Q32" s="14"/>
      <c r="R32" s="14"/>
      <c r="S32" s="194" t="s">
        <v>141</v>
      </c>
      <c r="T32" s="194" t="s">
        <v>142</v>
      </c>
      <c r="U32" s="194" t="s">
        <v>143</v>
      </c>
      <c r="V32" s="194" t="s">
        <v>144</v>
      </c>
      <c r="W32" s="195" t="s">
        <v>145</v>
      </c>
      <c r="X32" s="14"/>
      <c r="Y32" s="14"/>
      <c r="Z32" s="36"/>
      <c r="AA32" s="14"/>
      <c r="AB32" s="14"/>
      <c r="AC32" s="14"/>
    </row>
    <row r="33" spans="1:29" ht="18.75" x14ac:dyDescent="0.3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148</v>
      </c>
      <c r="O33" s="19">
        <v>0.27</v>
      </c>
      <c r="P33" s="50">
        <v>0.58599999999999997</v>
      </c>
      <c r="Q33" s="14"/>
      <c r="R33" s="14"/>
      <c r="S33" s="26" t="s">
        <v>164</v>
      </c>
      <c r="T33" s="202">
        <v>5000</v>
      </c>
      <c r="U33" s="193">
        <v>10</v>
      </c>
      <c r="V33" s="193">
        <v>50</v>
      </c>
      <c r="W33" s="164">
        <v>3</v>
      </c>
      <c r="X33" s="14"/>
      <c r="Y33" s="14"/>
      <c r="Z33" s="36"/>
      <c r="AA33" s="14"/>
      <c r="AB33" s="14"/>
      <c r="AC33" s="14"/>
    </row>
    <row r="34" spans="1:29" ht="19.5" thickBot="1" x14ac:dyDescent="0.3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137</v>
      </c>
      <c r="O34" s="51">
        <v>0.18</v>
      </c>
      <c r="P34" s="52">
        <v>4.2699999999999996</v>
      </c>
      <c r="Q34" s="14"/>
      <c r="R34" s="14"/>
      <c r="S34" s="24"/>
      <c r="T34" s="19"/>
      <c r="U34" s="19"/>
      <c r="V34" s="19"/>
      <c r="W34" s="50"/>
      <c r="X34" s="14"/>
      <c r="Y34" s="14"/>
      <c r="Z34" s="36"/>
      <c r="AA34" s="14"/>
      <c r="AB34" s="14"/>
      <c r="AC34" s="14"/>
    </row>
    <row r="35" spans="1:29" ht="18.75" x14ac:dyDescent="0.3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0"/>
      <c r="X35" s="14"/>
      <c r="Y35" s="14"/>
      <c r="Z35" s="36"/>
      <c r="AA35" s="14"/>
      <c r="AB35" s="14"/>
      <c r="AC35" s="14"/>
    </row>
    <row r="36" spans="1:29" ht="21" x14ac:dyDescent="0.3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89"/>
      <c r="O36" s="191"/>
      <c r="P36" s="190"/>
      <c r="Q36" s="191"/>
      <c r="R36" s="191"/>
      <c r="S36" s="24"/>
      <c r="T36" s="19"/>
      <c r="U36" s="19"/>
      <c r="V36" s="19"/>
      <c r="W36" s="50"/>
      <c r="X36" s="14"/>
      <c r="Y36" s="14"/>
      <c r="Z36" s="36"/>
      <c r="AA36" s="14"/>
      <c r="AB36" s="14"/>
      <c r="AC36" s="14"/>
    </row>
    <row r="37" spans="1:29" ht="18.75" x14ac:dyDescent="0.3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0"/>
      <c r="X37" s="14"/>
      <c r="Y37" s="14"/>
      <c r="Z37" s="36"/>
      <c r="AA37" s="14"/>
      <c r="AB37" s="14"/>
      <c r="AC37" s="14"/>
    </row>
    <row r="38" spans="1:29" ht="19.5" thickBot="1" x14ac:dyDescent="0.35">
      <c r="A38" s="37"/>
      <c r="B38" s="14"/>
      <c r="C38" s="14"/>
      <c r="D38" s="14"/>
      <c r="E38" s="14"/>
      <c r="F38" s="235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0"/>
      <c r="X38" s="14"/>
      <c r="Y38" s="14"/>
      <c r="Z38" s="36"/>
      <c r="AA38" s="14"/>
      <c r="AB38" s="203" t="s">
        <v>22</v>
      </c>
      <c r="AC38" s="14"/>
    </row>
    <row r="39" spans="1:29" ht="18.75" x14ac:dyDescent="0.3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0"/>
      <c r="X39" s="14"/>
      <c r="Y39" s="14"/>
      <c r="Z39" s="36"/>
      <c r="AA39" s="14"/>
      <c r="AB39" s="14"/>
      <c r="AC39" s="14"/>
    </row>
    <row r="40" spans="1:29" ht="18.75" x14ac:dyDescent="0.3">
      <c r="A40" s="37"/>
      <c r="B40" s="14"/>
      <c r="C40" s="14"/>
      <c r="D40" s="14"/>
      <c r="E40" s="14"/>
      <c r="F40" s="14"/>
      <c r="G40" s="14"/>
      <c r="H40" s="14"/>
      <c r="I40" s="33"/>
      <c r="J40" s="14"/>
      <c r="K40" s="14"/>
      <c r="L40" s="14"/>
      <c r="M40" s="14"/>
      <c r="N40" s="43"/>
      <c r="O40" s="179"/>
      <c r="P40" s="19"/>
      <c r="Q40" s="19"/>
      <c r="R40" s="19"/>
      <c r="S40" s="24"/>
      <c r="T40" s="19"/>
      <c r="U40" s="19"/>
      <c r="V40" s="19"/>
      <c r="W40" s="50"/>
      <c r="X40" s="14"/>
      <c r="Y40" s="14"/>
      <c r="Z40" s="36"/>
      <c r="AA40" s="14"/>
      <c r="AB40" s="14"/>
      <c r="AC40" s="14"/>
    </row>
    <row r="41" spans="1:29" ht="19.5" thickBot="1" x14ac:dyDescent="0.3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1"/>
      <c r="U41" s="51"/>
      <c r="V41" s="51"/>
      <c r="W41" s="52"/>
      <c r="X41" s="14"/>
      <c r="Y41" s="14"/>
      <c r="Z41" s="36"/>
      <c r="AA41" s="14"/>
      <c r="AB41" s="14"/>
      <c r="AC41" s="14"/>
    </row>
    <row r="42" spans="1:29" ht="18.75" x14ac:dyDescent="0.3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75" x14ac:dyDescent="0.3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75" x14ac:dyDescent="0.3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75" x14ac:dyDescent="0.3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75" x14ac:dyDescent="0.3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75" x14ac:dyDescent="0.3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75" x14ac:dyDescent="0.3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75" x14ac:dyDescent="0.3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75" x14ac:dyDescent="0.3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75" x14ac:dyDescent="0.3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75" x14ac:dyDescent="0.3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3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25">
      <c r="H67" s="319" t="s">
        <v>22</v>
      </c>
    </row>
    <row r="72" spans="1:29" x14ac:dyDescent="0.25">
      <c r="A72" s="2" t="s">
        <v>22</v>
      </c>
    </row>
    <row r="79" spans="1:29" x14ac:dyDescent="0.25">
      <c r="V79" s="2" t="s">
        <v>22</v>
      </c>
    </row>
  </sheetData>
  <mergeCells count="11">
    <mergeCell ref="Y20:Z20"/>
    <mergeCell ref="Y21:Z21"/>
    <mergeCell ref="Y22:Z22"/>
    <mergeCell ref="W18:Z18"/>
    <mergeCell ref="Y19:Z19"/>
    <mergeCell ref="B3:D3"/>
    <mergeCell ref="N30:P30"/>
    <mergeCell ref="S31:W31"/>
    <mergeCell ref="N3:P3"/>
    <mergeCell ref="S3:V3"/>
    <mergeCell ref="T23:U23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104775</xdr:rowOff>
                  </from>
                  <to>
                    <xdr:col>2</xdr:col>
                    <xdr:colOff>866775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1362075</xdr:colOff>
                    <xdr:row>39</xdr:row>
                    <xdr:rowOff>104775</xdr:rowOff>
                  </from>
                  <to>
                    <xdr:col>2</xdr:col>
                    <xdr:colOff>847725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847725</xdr:colOff>
                    <xdr:row>47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752475</xdr:colOff>
                    <xdr:row>51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U35"/>
  <sheetViews>
    <sheetView topLeftCell="C1" workbookViewId="0">
      <selection activeCell="P2" sqref="P2"/>
    </sheetView>
  </sheetViews>
  <sheetFormatPr baseColWidth="10" defaultColWidth="10.85546875" defaultRowHeight="15" x14ac:dyDescent="0.25"/>
  <cols>
    <col min="7" max="8" width="24.140625" bestFit="1" customWidth="1"/>
  </cols>
  <sheetData>
    <row r="1" spans="1:21" ht="15.75" x14ac:dyDescent="0.25">
      <c r="A1" t="s">
        <v>26</v>
      </c>
      <c r="B1" t="s">
        <v>187</v>
      </c>
      <c r="F1" s="1" t="s">
        <v>16</v>
      </c>
      <c r="L1" t="s">
        <v>138</v>
      </c>
      <c r="P1" t="s">
        <v>326</v>
      </c>
    </row>
    <row r="2" spans="1:21" ht="15.75" x14ac:dyDescent="0.25">
      <c r="A2" t="s">
        <v>25</v>
      </c>
      <c r="B2" t="s">
        <v>187</v>
      </c>
      <c r="C2" t="s">
        <v>25</v>
      </c>
      <c r="F2" s="180" t="s">
        <v>116</v>
      </c>
      <c r="L2" t="s">
        <v>122</v>
      </c>
      <c r="P2" t="s">
        <v>326</v>
      </c>
    </row>
    <row r="3" spans="1:21" ht="15.75" x14ac:dyDescent="0.25">
      <c r="A3" t="s">
        <v>12</v>
      </c>
      <c r="B3" t="s">
        <v>186</v>
      </c>
      <c r="C3" t="s">
        <v>12</v>
      </c>
      <c r="F3" s="227" t="s">
        <v>213</v>
      </c>
      <c r="L3" t="s">
        <v>139</v>
      </c>
    </row>
    <row r="4" spans="1:21" ht="15.75" x14ac:dyDescent="0.25">
      <c r="A4" t="s">
        <v>13</v>
      </c>
      <c r="B4" t="s">
        <v>186</v>
      </c>
      <c r="C4" t="s">
        <v>13</v>
      </c>
      <c r="F4" s="227" t="s">
        <v>214</v>
      </c>
      <c r="L4" t="s">
        <v>126</v>
      </c>
    </row>
    <row r="5" spans="1:21" ht="15.75" x14ac:dyDescent="0.25">
      <c r="A5" t="s">
        <v>20</v>
      </c>
      <c r="C5" t="s">
        <v>20</v>
      </c>
      <c r="F5" s="227" t="s">
        <v>215</v>
      </c>
      <c r="L5" t="s">
        <v>124</v>
      </c>
    </row>
    <row r="6" spans="1:21" x14ac:dyDescent="0.25">
      <c r="A6" t="s">
        <v>24</v>
      </c>
      <c r="C6" t="s">
        <v>24</v>
      </c>
      <c r="L6" t="s">
        <v>125</v>
      </c>
    </row>
    <row r="7" spans="1:21" x14ac:dyDescent="0.25">
      <c r="A7" t="s">
        <v>109</v>
      </c>
      <c r="L7" t="s">
        <v>123</v>
      </c>
    </row>
    <row r="8" spans="1:21" x14ac:dyDescent="0.25">
      <c r="A8" t="s">
        <v>110</v>
      </c>
      <c r="L8" t="s">
        <v>162</v>
      </c>
    </row>
    <row r="9" spans="1:21" x14ac:dyDescent="0.25">
      <c r="A9" t="s">
        <v>119</v>
      </c>
      <c r="L9" t="s">
        <v>163</v>
      </c>
    </row>
    <row r="10" spans="1:21" x14ac:dyDescent="0.25">
      <c r="A10" t="s">
        <v>120</v>
      </c>
      <c r="L10" t="s">
        <v>164</v>
      </c>
    </row>
    <row r="14" spans="1:21" x14ac:dyDescent="0.25">
      <c r="A14" t="s">
        <v>218</v>
      </c>
    </row>
    <row r="15" spans="1:21" x14ac:dyDescent="0.25">
      <c r="A15" t="s">
        <v>216</v>
      </c>
    </row>
    <row r="16" spans="1:21" x14ac:dyDescent="0.25">
      <c r="G16" s="323" t="s">
        <v>127</v>
      </c>
      <c r="H16" s="323" t="s">
        <v>149</v>
      </c>
      <c r="I16" t="s">
        <v>150</v>
      </c>
      <c r="J16" t="s">
        <v>152</v>
      </c>
      <c r="K16" t="s">
        <v>153</v>
      </c>
      <c r="M16" t="s">
        <v>244</v>
      </c>
      <c r="O16" t="s">
        <v>251</v>
      </c>
      <c r="R16" t="s">
        <v>253</v>
      </c>
      <c r="U16" t="s">
        <v>252</v>
      </c>
    </row>
    <row r="17" spans="7:21" x14ac:dyDescent="0.25">
      <c r="G17" t="s">
        <v>128</v>
      </c>
      <c r="H17" t="s">
        <v>167</v>
      </c>
      <c r="I17" t="s">
        <v>94</v>
      </c>
      <c r="J17" t="s">
        <v>11</v>
      </c>
      <c r="K17" t="s">
        <v>154</v>
      </c>
      <c r="M17" s="258">
        <v>2</v>
      </c>
      <c r="O17" t="s">
        <v>286</v>
      </c>
      <c r="R17" t="s">
        <v>240</v>
      </c>
      <c r="U17" t="s">
        <v>267</v>
      </c>
    </row>
    <row r="18" spans="7:21" x14ac:dyDescent="0.25">
      <c r="G18" t="s">
        <v>147</v>
      </c>
      <c r="H18" t="s">
        <v>88</v>
      </c>
      <c r="I18" t="s">
        <v>151</v>
      </c>
      <c r="J18" t="s">
        <v>8</v>
      </c>
      <c r="K18" t="s">
        <v>87</v>
      </c>
      <c r="M18" s="258">
        <v>3</v>
      </c>
      <c r="O18" t="s">
        <v>281</v>
      </c>
      <c r="R18" t="s">
        <v>245</v>
      </c>
      <c r="U18" t="s">
        <v>269</v>
      </c>
    </row>
    <row r="19" spans="7:21" x14ac:dyDescent="0.25">
      <c r="G19" t="s">
        <v>146</v>
      </c>
      <c r="H19" t="s">
        <v>148</v>
      </c>
      <c r="M19" s="258" t="s">
        <v>281</v>
      </c>
      <c r="R19" t="s">
        <v>246</v>
      </c>
      <c r="U19" t="s">
        <v>268</v>
      </c>
    </row>
    <row r="20" spans="7:21" x14ac:dyDescent="0.25">
      <c r="G20" t="s">
        <v>129</v>
      </c>
      <c r="H20" t="s">
        <v>137</v>
      </c>
      <c r="R20" t="s">
        <v>247</v>
      </c>
    </row>
    <row r="21" spans="7:21" x14ac:dyDescent="0.25">
      <c r="G21" t="s">
        <v>225</v>
      </c>
      <c r="H21" t="s">
        <v>288</v>
      </c>
    </row>
    <row r="22" spans="7:21" x14ac:dyDescent="0.25">
      <c r="G22" t="s">
        <v>291</v>
      </c>
    </row>
    <row r="35" spans="2:2" x14ac:dyDescent="0.25">
      <c r="B35" t="s">
        <v>219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zoomScale="75" zoomScaleNormal="47" workbookViewId="0">
      <selection activeCell="R10" sqref="R10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387"/>
      <c r="E6" s="387"/>
      <c r="F6" s="5"/>
      <c r="G6" s="5"/>
      <c r="H6" s="387"/>
      <c r="I6" s="387"/>
      <c r="J6" s="15"/>
      <c r="K6" s="15"/>
      <c r="L6" s="5"/>
      <c r="M6" s="387"/>
      <c r="N6" s="387"/>
      <c r="O6" s="387"/>
      <c r="P6" s="387"/>
      <c r="Q6" s="5"/>
      <c r="R6" s="5"/>
      <c r="S6" s="394"/>
      <c r="T6" s="394"/>
      <c r="U6" s="394"/>
      <c r="V6" s="394"/>
      <c r="W6" s="394"/>
      <c r="X6" s="394"/>
      <c r="Y6" s="394"/>
      <c r="Z6" s="394"/>
      <c r="AA6" s="394"/>
      <c r="AB6" s="394"/>
      <c r="AC6" s="394"/>
      <c r="AD6" s="394"/>
      <c r="AE6" s="394"/>
      <c r="AF6" s="394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16"/>
      <c r="L8" s="5"/>
      <c r="M8" s="401" t="s">
        <v>70</v>
      </c>
      <c r="N8" s="402"/>
      <c r="O8" s="402"/>
      <c r="P8" s="402"/>
      <c r="Q8" s="403"/>
      <c r="R8" s="5"/>
      <c r="S8" s="395" t="s">
        <v>76</v>
      </c>
      <c r="T8" s="396"/>
      <c r="U8" s="397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80"/>
      <c r="W10" s="134"/>
      <c r="X10" s="79"/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210" t="s">
        <v>185</v>
      </c>
      <c r="K11" s="5"/>
      <c r="L11" s="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/>
      <c r="J12" s="210" t="str">
        <f>J15</f>
        <v>t/h</v>
      </c>
      <c r="K12" s="5"/>
      <c r="L12" s="5"/>
      <c r="M12" s="242" t="s">
        <v>75</v>
      </c>
      <c r="N12" s="250"/>
      <c r="O12" s="175"/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210" t="s">
        <v>176</v>
      </c>
      <c r="K13" s="5"/>
      <c r="L13" s="5"/>
      <c r="M13" s="243"/>
      <c r="N13" s="122"/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386"/>
      <c r="E47" s="386"/>
      <c r="F47" s="386"/>
      <c r="G47" s="386"/>
      <c r="H47" s="386"/>
      <c r="I47" s="386"/>
      <c r="J47" s="386"/>
      <c r="K47" s="386"/>
      <c r="L47" s="38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7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07"/>
      <c r="E6" s="407"/>
      <c r="F6" s="5"/>
      <c r="G6" s="5"/>
      <c r="H6" s="407"/>
      <c r="I6" s="407"/>
      <c r="J6" s="15"/>
      <c r="K6" s="15"/>
      <c r="L6" s="5"/>
      <c r="M6" s="407"/>
      <c r="N6" s="407"/>
      <c r="O6" s="407"/>
      <c r="P6" s="407"/>
      <c r="Q6" s="5"/>
      <c r="R6" s="5"/>
      <c r="S6" s="408"/>
      <c r="T6" s="408"/>
      <c r="U6" s="408"/>
      <c r="V6" s="408"/>
      <c r="W6" s="408"/>
      <c r="X6" s="408"/>
      <c r="Y6" s="408"/>
      <c r="Z6" s="408"/>
      <c r="AA6" s="408"/>
      <c r="AB6" s="408"/>
      <c r="AC6" s="408"/>
      <c r="AD6" s="408"/>
      <c r="AE6" s="408"/>
      <c r="AF6" s="40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16"/>
      <c r="L8" s="5"/>
      <c r="M8" s="401" t="s">
        <v>70</v>
      </c>
      <c r="N8" s="402"/>
      <c r="O8" s="402"/>
      <c r="P8" s="402"/>
      <c r="Q8" s="403"/>
      <c r="R8" s="5"/>
      <c r="S8" s="395" t="s">
        <v>76</v>
      </c>
      <c r="T8" s="396"/>
      <c r="U8" s="397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11"/>
      <c r="AH8" s="404" t="s">
        <v>5</v>
      </c>
      <c r="AI8" s="405"/>
      <c r="AJ8" s="406"/>
      <c r="AK8" s="94"/>
      <c r="AL8" s="404" t="s">
        <v>6</v>
      </c>
      <c r="AM8" s="405"/>
      <c r="AN8" s="406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/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.5" thickBot="1" x14ac:dyDescent="0.3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210" t="s">
        <v>185</v>
      </c>
      <c r="K11" s="75"/>
      <c r="L11" s="75"/>
      <c r="M11" s="249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75" x14ac:dyDescent="0.3">
      <c r="C12" s="82"/>
      <c r="D12" s="65" t="s">
        <v>40</v>
      </c>
      <c r="E12" s="201" t="s">
        <v>220</v>
      </c>
      <c r="F12" s="210" t="s">
        <v>176</v>
      </c>
      <c r="G12" s="5"/>
      <c r="H12" s="65" t="s">
        <v>66</v>
      </c>
      <c r="I12" s="101"/>
      <c r="J12" s="210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210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210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210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/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/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2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H36" sqref="H36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2.140625" style="3" customWidth="1"/>
    <col min="5" max="5" width="18.28515625" style="3" customWidth="1"/>
    <col min="6" max="6" width="15.28515625" style="3" customWidth="1"/>
    <col min="7" max="7" width="6.28515625" style="3" customWidth="1"/>
    <col min="8" max="8" width="21.42578125" style="3" customWidth="1"/>
    <col min="9" max="11" width="15.28515625" style="3" customWidth="1"/>
    <col min="12" max="12" width="4.28515625" style="3" customWidth="1"/>
    <col min="13" max="13" width="29.42578125" style="3" customWidth="1"/>
    <col min="14" max="14" width="21.140625" style="3" customWidth="1"/>
    <col min="15" max="15" width="32.7109375" style="3" customWidth="1"/>
    <col min="16" max="16" width="27.7109375" style="3" customWidth="1"/>
    <col min="17" max="18" width="15.28515625" style="3" customWidth="1"/>
    <col min="19" max="19" width="22.85546875" style="3" customWidth="1"/>
    <col min="20" max="20" width="26.28515625" style="3" customWidth="1"/>
    <col min="21" max="22" width="10.85546875" style="3"/>
    <col min="23" max="23" width="14.7109375" style="3" customWidth="1"/>
    <col min="24" max="25" width="18.140625" style="3" bestFit="1" customWidth="1"/>
    <col min="26" max="26" width="21.85546875" style="3" customWidth="1"/>
    <col min="27" max="27" width="10.85546875" style="3"/>
    <col min="28" max="28" width="15.28515625" style="3" customWidth="1"/>
    <col min="29" max="29" width="17.85546875" style="3" customWidth="1"/>
    <col min="30" max="30" width="10.85546875" style="3"/>
    <col min="31" max="31" width="13.85546875" style="3" customWidth="1"/>
    <col min="32" max="32" width="70.85546875" style="3" customWidth="1"/>
    <col min="33" max="33" width="10.85546875" style="3"/>
    <col min="34" max="34" width="14.85546875" style="3" customWidth="1"/>
    <col min="35" max="35" width="10.85546875" style="3"/>
    <col min="36" max="36" width="21" style="3" bestFit="1" customWidth="1"/>
    <col min="37" max="16384" width="10.85546875" style="3"/>
  </cols>
  <sheetData>
    <row r="1" spans="1:41" ht="10.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6.95" customHeight="1" thickBot="1" x14ac:dyDescent="0.3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25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  <c r="AL3" s="5"/>
      <c r="AM3" s="5"/>
      <c r="AN3" s="5"/>
      <c r="AO3" s="5"/>
    </row>
    <row r="4" spans="1:41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  <c r="AL4" s="5"/>
      <c r="AM4" s="5"/>
      <c r="AN4" s="5"/>
      <c r="AO4" s="5"/>
    </row>
    <row r="5" spans="1:41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  <c r="AL5" s="5"/>
      <c r="AM5" s="5"/>
      <c r="AN5" s="5"/>
      <c r="AO5" s="5"/>
    </row>
    <row r="6" spans="1:41" x14ac:dyDescent="0.25">
      <c r="A6" s="5"/>
      <c r="B6" s="5"/>
      <c r="C6" s="82"/>
      <c r="D6" s="407"/>
      <c r="E6" s="407"/>
      <c r="F6" s="5"/>
      <c r="G6" s="5"/>
      <c r="H6" s="407"/>
      <c r="I6" s="407"/>
      <c r="J6" s="15"/>
      <c r="K6" s="15"/>
      <c r="L6" s="5"/>
      <c r="M6" s="407"/>
      <c r="N6" s="407"/>
      <c r="O6" s="407"/>
      <c r="P6" s="407"/>
      <c r="Q6" s="5"/>
      <c r="R6" s="5"/>
      <c r="S6" s="408"/>
      <c r="T6" s="408"/>
      <c r="U6" s="408"/>
      <c r="V6" s="408"/>
      <c r="W6" s="408"/>
      <c r="X6" s="408"/>
      <c r="Y6" s="408"/>
      <c r="Z6" s="408"/>
      <c r="AA6" s="408"/>
      <c r="AB6" s="408"/>
      <c r="AC6" s="408"/>
      <c r="AD6" s="408"/>
      <c r="AE6" s="408"/>
      <c r="AF6" s="408"/>
      <c r="AG6" s="11"/>
      <c r="AH6" s="11"/>
      <c r="AI6" s="11"/>
      <c r="AJ6" s="11"/>
      <c r="AK6" s="83"/>
      <c r="AL6" s="5"/>
      <c r="AM6" s="5"/>
      <c r="AN6" s="5"/>
      <c r="AO6" s="5"/>
    </row>
    <row r="7" spans="1:41" ht="15.75" thickBot="1" x14ac:dyDescent="0.3">
      <c r="A7" s="5"/>
      <c r="B7" s="5"/>
      <c r="C7" s="82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3"/>
      <c r="AL7" s="5"/>
      <c r="AM7" s="5"/>
      <c r="AN7" s="5"/>
      <c r="AO7" s="5"/>
    </row>
    <row r="8" spans="1:41" ht="24" thickBot="1" x14ac:dyDescent="0.4">
      <c r="A8" s="5"/>
      <c r="B8" s="5"/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16"/>
      <c r="L8" s="5"/>
      <c r="M8" s="401" t="s">
        <v>70</v>
      </c>
      <c r="N8" s="402"/>
      <c r="O8" s="402"/>
      <c r="P8" s="402"/>
      <c r="Q8" s="403"/>
      <c r="R8" s="5"/>
      <c r="S8" s="398" t="s">
        <v>76</v>
      </c>
      <c r="T8" s="399"/>
      <c r="U8" s="400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11"/>
      <c r="AH8" s="398" t="s">
        <v>7</v>
      </c>
      <c r="AI8" s="399"/>
      <c r="AJ8" s="400"/>
      <c r="AK8" s="83"/>
      <c r="AL8" s="5"/>
      <c r="AM8" s="5"/>
      <c r="AN8" s="5"/>
      <c r="AO8" s="5"/>
    </row>
    <row r="9" spans="1:41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155</v>
      </c>
      <c r="Y9" s="196" t="s">
        <v>156</v>
      </c>
      <c r="Z9" s="197" t="s">
        <v>157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 t="s">
        <v>33</v>
      </c>
      <c r="AI9" s="174" t="s">
        <v>0</v>
      </c>
      <c r="AJ9" s="174" t="s">
        <v>121</v>
      </c>
      <c r="AK9" s="83"/>
      <c r="AL9" s="5"/>
      <c r="AM9" s="5"/>
      <c r="AN9" s="5"/>
      <c r="AO9" s="5"/>
    </row>
    <row r="10" spans="1:41" ht="18.75" x14ac:dyDescent="0.3">
      <c r="A10" s="5"/>
      <c r="B10" s="5"/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  <c r="AL10" s="5"/>
      <c r="AM10" s="5"/>
      <c r="AN10" s="5"/>
      <c r="AO10" s="5"/>
    </row>
    <row r="11" spans="1:41" ht="19.5" thickBot="1" x14ac:dyDescent="0.35">
      <c r="A11" s="5"/>
      <c r="B11" s="5"/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7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  <c r="AL11" s="5"/>
      <c r="AM11" s="5"/>
      <c r="AN11" s="5"/>
      <c r="AO11" s="5"/>
    </row>
    <row r="12" spans="1:41" ht="18.75" x14ac:dyDescent="0.3">
      <c r="A12" s="5"/>
      <c r="B12" s="5"/>
      <c r="C12" s="82"/>
      <c r="D12" s="65" t="s">
        <v>40</v>
      </c>
      <c r="E12" s="255" t="s">
        <v>221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  <c r="AL12" s="5"/>
      <c r="AM12" s="5"/>
      <c r="AN12" s="5"/>
      <c r="AO12" s="5"/>
    </row>
    <row r="13" spans="1:41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75"/>
      <c r="L13" s="75"/>
      <c r="M13" s="243"/>
      <c r="N13" s="122"/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  <c r="AL13" s="5"/>
      <c r="AM13" s="5"/>
      <c r="AN13" s="5"/>
      <c r="AO13" s="5"/>
    </row>
    <row r="14" spans="1:41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75"/>
      <c r="L14" s="75"/>
      <c r="M14" s="244"/>
      <c r="N14" s="106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  <c r="AL14" s="5"/>
      <c r="AM14" s="5"/>
      <c r="AN14" s="5"/>
      <c r="AO14" s="5"/>
    </row>
    <row r="15" spans="1:41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75"/>
      <c r="L15" s="75"/>
      <c r="M15" s="244"/>
      <c r="N15" s="106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  <c r="AL15" s="5"/>
      <c r="AM15" s="5"/>
      <c r="AN15" s="5"/>
      <c r="AO15" s="5"/>
    </row>
    <row r="16" spans="1:41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  <c r="AL16" s="5"/>
      <c r="AM16" s="5"/>
      <c r="AN16" s="5"/>
      <c r="AO16" s="5"/>
    </row>
    <row r="17" spans="1:41" ht="18.75" x14ac:dyDescent="0.3">
      <c r="A17" s="5"/>
      <c r="B17" s="5"/>
      <c r="C17" s="82"/>
      <c r="D17" s="65" t="s">
        <v>58</v>
      </c>
      <c r="E17" s="66"/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  <c r="AL17" s="5"/>
      <c r="AM17" s="5"/>
      <c r="AN17" s="5"/>
      <c r="AO17" s="5"/>
    </row>
    <row r="18" spans="1:41" ht="18.75" x14ac:dyDescent="0.3">
      <c r="A18" s="5"/>
      <c r="B18" s="5"/>
      <c r="C18" s="82"/>
      <c r="D18" s="67" t="s">
        <v>59</v>
      </c>
      <c r="E18" s="66"/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  <c r="AL18" s="5"/>
      <c r="AM18" s="5"/>
      <c r="AN18" s="5"/>
      <c r="AO18" s="5"/>
    </row>
    <row r="19" spans="1:41" ht="18.75" x14ac:dyDescent="0.3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  <c r="AL19" s="5"/>
      <c r="AM19" s="5"/>
      <c r="AN19" s="5"/>
      <c r="AO19" s="5"/>
    </row>
    <row r="20" spans="1:41" ht="18.75" x14ac:dyDescent="0.3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  <c r="AL20" s="5"/>
      <c r="AM20" s="5"/>
      <c r="AN20" s="5"/>
      <c r="AO20" s="5"/>
    </row>
    <row r="21" spans="1:41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  <c r="AL21" s="5"/>
      <c r="AM21" s="5"/>
      <c r="AN21" s="5"/>
      <c r="AO21" s="5"/>
    </row>
    <row r="22" spans="1:41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  <c r="AL22" s="5"/>
      <c r="AM22" s="5"/>
      <c r="AN22" s="5"/>
      <c r="AO22" s="5"/>
    </row>
    <row r="23" spans="1:41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  <c r="AL23" s="5"/>
      <c r="AM23" s="5"/>
      <c r="AN23" s="5"/>
      <c r="AO23" s="5"/>
    </row>
    <row r="24" spans="1:41" ht="18.75" x14ac:dyDescent="0.3">
      <c r="A24" s="5"/>
      <c r="B24" s="5"/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  <c r="AL24" s="5"/>
      <c r="AM24" s="5"/>
      <c r="AN24" s="5"/>
      <c r="AO24" s="5"/>
    </row>
    <row r="25" spans="1:41" ht="18.75" x14ac:dyDescent="0.3">
      <c r="A25" s="5"/>
      <c r="B25" s="5"/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  <c r="AL25" s="5"/>
      <c r="AM25" s="5"/>
      <c r="AN25" s="5"/>
      <c r="AO25" s="5"/>
    </row>
    <row r="26" spans="1:41" ht="19.5" thickBot="1" x14ac:dyDescent="0.35">
      <c r="A26" s="5"/>
      <c r="B26" s="5"/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  <c r="AL26" s="5"/>
      <c r="AM26" s="5"/>
      <c r="AN26" s="5"/>
      <c r="AO26" s="5"/>
    </row>
    <row r="27" spans="1:41" ht="19.5" thickBot="1" x14ac:dyDescent="0.35">
      <c r="A27" s="5"/>
      <c r="B27" s="5"/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  <c r="AL27" s="5"/>
      <c r="AM27" s="5"/>
      <c r="AN27" s="5"/>
      <c r="AO27" s="5"/>
    </row>
    <row r="28" spans="1:41" x14ac:dyDescent="0.25">
      <c r="A28" s="5"/>
      <c r="B28" s="5"/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  <c r="AL28" s="5"/>
      <c r="AM28" s="5"/>
      <c r="AN28" s="5"/>
      <c r="AO28" s="5"/>
    </row>
    <row r="29" spans="1:41" x14ac:dyDescent="0.25">
      <c r="A29" s="5"/>
      <c r="B29" s="5"/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  <c r="AL29" s="5"/>
      <c r="AM29" s="5"/>
      <c r="AN29" s="5"/>
      <c r="AO29" s="5"/>
    </row>
    <row r="30" spans="1:41" x14ac:dyDescent="0.2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  <c r="AL30" s="5"/>
      <c r="AM30" s="5"/>
      <c r="AN30" s="5"/>
      <c r="AO30" s="5"/>
    </row>
    <row r="31" spans="1:41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  <c r="AL31" s="5"/>
      <c r="AM31" s="5"/>
      <c r="AN31" s="5"/>
      <c r="AO31" s="5"/>
    </row>
    <row r="32" spans="1:41" x14ac:dyDescent="0.2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  <c r="AL32" s="5"/>
      <c r="AM32" s="5"/>
      <c r="AN32" s="5"/>
      <c r="AO32" s="5"/>
    </row>
    <row r="33" spans="1:41" x14ac:dyDescent="0.2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  <c r="AL33" s="5"/>
      <c r="AM33" s="5"/>
      <c r="AN33" s="5"/>
      <c r="AO33" s="5"/>
    </row>
    <row r="34" spans="1:41" x14ac:dyDescent="0.2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  <c r="AL34" s="5"/>
      <c r="AM34" s="5"/>
      <c r="AN34" s="5"/>
      <c r="AO34" s="5"/>
    </row>
    <row r="35" spans="1:41" x14ac:dyDescent="0.2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  <c r="AL35" s="5"/>
      <c r="AM35" s="5"/>
      <c r="AN35" s="5"/>
      <c r="AO35" s="5"/>
    </row>
    <row r="36" spans="1:41" x14ac:dyDescent="0.2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  <c r="AL36" s="5"/>
      <c r="AM36" s="5"/>
      <c r="AN36" s="5"/>
      <c r="AO36" s="5"/>
    </row>
    <row r="37" spans="1:41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  <c r="AL37" s="5"/>
      <c r="AM37" s="5"/>
      <c r="AN37" s="5"/>
      <c r="AO37" s="5"/>
    </row>
    <row r="38" spans="1:41" x14ac:dyDescent="0.2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3"/>
      <c r="AL38" s="5"/>
      <c r="AM38" s="5"/>
      <c r="AN38" s="5"/>
      <c r="AO38" s="5"/>
    </row>
    <row r="39" spans="1:41" x14ac:dyDescent="0.2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3"/>
      <c r="AL39" s="5"/>
      <c r="AM39" s="5"/>
      <c r="AN39" s="5"/>
      <c r="AO39" s="5"/>
    </row>
    <row r="40" spans="1:41" x14ac:dyDescent="0.2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3"/>
      <c r="AL40" s="5"/>
      <c r="AM40" s="5"/>
      <c r="AN40" s="5"/>
      <c r="AO40" s="5"/>
    </row>
    <row r="41" spans="1:41" x14ac:dyDescent="0.2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3"/>
      <c r="AL41" s="5"/>
      <c r="AM41" s="5"/>
      <c r="AN41" s="5"/>
      <c r="AO41" s="5"/>
    </row>
    <row r="42" spans="1:41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3"/>
      <c r="AL42" s="5"/>
      <c r="AM42" s="5"/>
      <c r="AN42" s="5"/>
      <c r="AO42" s="5"/>
    </row>
    <row r="43" spans="1:41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3"/>
      <c r="AL43" s="5"/>
      <c r="AM43" s="5"/>
      <c r="AN43" s="5"/>
      <c r="AO43" s="5"/>
    </row>
    <row r="44" spans="1:41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3"/>
      <c r="AL44" s="5"/>
      <c r="AM44" s="5"/>
      <c r="AN44" s="5"/>
      <c r="AO44" s="5"/>
    </row>
    <row r="45" spans="1:41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3"/>
      <c r="AL45" s="5"/>
      <c r="AM45" s="5"/>
      <c r="AN45" s="5"/>
      <c r="AO45" s="5"/>
    </row>
    <row r="46" spans="1:41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3"/>
      <c r="AL46" s="5"/>
      <c r="AM46" s="5"/>
      <c r="AN46" s="5"/>
      <c r="AO46" s="5"/>
    </row>
    <row r="47" spans="1:41" ht="18.75" x14ac:dyDescent="0.25">
      <c r="A47" s="5"/>
      <c r="B47" s="5"/>
      <c r="C47" s="82"/>
      <c r="D47" s="5"/>
      <c r="E47" s="5"/>
      <c r="F47" s="5"/>
      <c r="G47" s="5"/>
      <c r="H47" s="5"/>
      <c r="I47" s="5"/>
      <c r="J47" s="5"/>
      <c r="K47" s="94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3"/>
      <c r="AL47" s="5"/>
      <c r="AM47" s="5"/>
      <c r="AN47" s="5"/>
      <c r="AO47" s="5"/>
    </row>
    <row r="48" spans="1:41" ht="15.75" x14ac:dyDescent="0.25">
      <c r="A48" s="5"/>
      <c r="B48" s="5"/>
      <c r="C48" s="82"/>
      <c r="D48" s="5"/>
      <c r="E48" s="5"/>
      <c r="F48" s="5"/>
      <c r="G48" s="5"/>
      <c r="H48" s="5"/>
      <c r="I48" s="5"/>
      <c r="J48" s="5"/>
      <c r="K48" s="9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3"/>
      <c r="AL48" s="5"/>
      <c r="AM48" s="5"/>
      <c r="AN48" s="5"/>
      <c r="AO48" s="5"/>
    </row>
    <row r="49" spans="1:41" ht="15.75" x14ac:dyDescent="0.25">
      <c r="A49" s="5"/>
      <c r="B49" s="5"/>
      <c r="C49" s="82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3"/>
      <c r="AL49" s="5"/>
      <c r="AM49" s="5"/>
      <c r="AN49" s="5"/>
      <c r="AO49" s="5"/>
    </row>
    <row r="50" spans="1:41" ht="15.75" x14ac:dyDescent="0.25">
      <c r="A50" s="5"/>
      <c r="B50" s="5"/>
      <c r="C50" s="82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3"/>
      <c r="AL50" s="5"/>
      <c r="AM50" s="5"/>
      <c r="AN50" s="5"/>
      <c r="AO50" s="5"/>
    </row>
    <row r="51" spans="1:41" ht="15.75" x14ac:dyDescent="0.25">
      <c r="A51" s="5"/>
      <c r="B51" s="5"/>
      <c r="C51" s="82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3"/>
      <c r="AL51" s="5"/>
      <c r="AM51" s="5"/>
      <c r="AN51" s="5"/>
      <c r="AO51" s="5"/>
    </row>
    <row r="52" spans="1:41" ht="15.75" x14ac:dyDescent="0.25">
      <c r="A52" s="5"/>
      <c r="B52" s="5"/>
      <c r="C52" s="82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3"/>
      <c r="AL52" s="5"/>
      <c r="AM52" s="5"/>
      <c r="AN52" s="5"/>
      <c r="AO52" s="5"/>
    </row>
    <row r="53" spans="1:41" ht="15.75" x14ac:dyDescent="0.25">
      <c r="A53" s="5"/>
      <c r="B53" s="5"/>
      <c r="C53" s="82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3"/>
      <c r="AL53" s="5"/>
      <c r="AM53" s="5"/>
      <c r="AN53" s="5"/>
      <c r="AO53" s="5"/>
    </row>
    <row r="54" spans="1:41" ht="15.75" x14ac:dyDescent="0.25">
      <c r="A54" s="5"/>
      <c r="B54" s="5"/>
      <c r="C54" s="82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3"/>
      <c r="AL54" s="5"/>
      <c r="AM54" s="5"/>
      <c r="AN54" s="5"/>
      <c r="AO54" s="5"/>
    </row>
    <row r="55" spans="1:41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3"/>
      <c r="AL55" s="5"/>
      <c r="AM55" s="5"/>
      <c r="AN55" s="5"/>
      <c r="AO55" s="5"/>
    </row>
    <row r="56" spans="1:41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3"/>
      <c r="AL56" s="5"/>
      <c r="AM56" s="5"/>
      <c r="AN56" s="5"/>
      <c r="AO56" s="5"/>
    </row>
    <row r="57" spans="1:41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3"/>
      <c r="AL57" s="5"/>
      <c r="AM57" s="5"/>
      <c r="AN57" s="5"/>
      <c r="AO57" s="5"/>
    </row>
    <row r="58" spans="1:41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3"/>
      <c r="AL58" s="5"/>
      <c r="AM58" s="5"/>
      <c r="AN58" s="5"/>
      <c r="AO58" s="5"/>
    </row>
    <row r="59" spans="1:41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3"/>
      <c r="AL59" s="5"/>
      <c r="AM59" s="5"/>
      <c r="AN59" s="5"/>
      <c r="AO59" s="5"/>
    </row>
    <row r="60" spans="1:41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3"/>
      <c r="AL60" s="5"/>
      <c r="AM60" s="5"/>
      <c r="AN60" s="5"/>
      <c r="AO60" s="5"/>
    </row>
    <row r="61" spans="1:41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3"/>
      <c r="AL61" s="5"/>
      <c r="AM61" s="5"/>
      <c r="AN61" s="5"/>
      <c r="AO61" s="5"/>
    </row>
    <row r="62" spans="1:41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3"/>
      <c r="AL62" s="5"/>
      <c r="AM62" s="5"/>
      <c r="AN62" s="5"/>
      <c r="AO62" s="5"/>
    </row>
    <row r="63" spans="1:41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3"/>
      <c r="AL63" s="5"/>
      <c r="AM63" s="5"/>
      <c r="AN63" s="5"/>
      <c r="AO63" s="5"/>
    </row>
    <row r="64" spans="1:41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3"/>
      <c r="AL64" s="5"/>
      <c r="AM64" s="5"/>
      <c r="AN64" s="5"/>
      <c r="AO64" s="5"/>
    </row>
    <row r="65" spans="1:41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3"/>
      <c r="AL65" s="5"/>
      <c r="AM65" s="5"/>
      <c r="AN65" s="5"/>
      <c r="AO65" s="5"/>
    </row>
    <row r="66" spans="1:41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3"/>
      <c r="AL66" s="5"/>
      <c r="AM66" s="5"/>
      <c r="AN66" s="5"/>
      <c r="AO66" s="5"/>
    </row>
    <row r="67" spans="1:41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3"/>
      <c r="AL67" s="5"/>
      <c r="AM67" s="5"/>
      <c r="AN67" s="5"/>
      <c r="AO67" s="5"/>
    </row>
    <row r="68" spans="1:41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3"/>
      <c r="AL68" s="5"/>
      <c r="AM68" s="5"/>
      <c r="AN68" s="5"/>
      <c r="AO68" s="5"/>
    </row>
    <row r="69" spans="1:41" x14ac:dyDescent="0.25">
      <c r="A69" s="5"/>
      <c r="B69" s="5"/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3"/>
      <c r="AL69" s="5"/>
      <c r="AM69" s="5"/>
      <c r="AN69" s="5"/>
      <c r="AO69" s="5"/>
    </row>
    <row r="70" spans="1:41" ht="15.75" thickBot="1" x14ac:dyDescent="0.3">
      <c r="A70" s="5"/>
      <c r="B70" s="5"/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61"/>
      <c r="AL70" s="5"/>
      <c r="AM70" s="5"/>
      <c r="AN70" s="5"/>
      <c r="AO70" s="5"/>
    </row>
    <row r="71" spans="1:41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25">
      <c r="Q119" s="3" t="s">
        <v>22</v>
      </c>
    </row>
    <row r="137" spans="18:18" x14ac:dyDescent="0.25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1" width="10.85546875" style="3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07"/>
      <c r="E6" s="407"/>
      <c r="F6" s="5"/>
      <c r="G6" s="5"/>
      <c r="H6" s="407"/>
      <c r="I6" s="407"/>
      <c r="J6" s="15"/>
      <c r="K6" s="15"/>
      <c r="L6" s="5"/>
      <c r="M6" s="407"/>
      <c r="N6" s="407"/>
      <c r="O6" s="407"/>
      <c r="P6" s="407"/>
      <c r="Q6" s="5"/>
      <c r="R6" s="5"/>
      <c r="S6" s="408"/>
      <c r="T6" s="408"/>
      <c r="U6" s="408"/>
      <c r="V6" s="408"/>
      <c r="W6" s="408"/>
      <c r="X6" s="408"/>
      <c r="Y6" s="408"/>
      <c r="Z6" s="408"/>
      <c r="AA6" s="408"/>
      <c r="AB6" s="408"/>
      <c r="AC6" s="408"/>
      <c r="AD6" s="408"/>
      <c r="AE6" s="408"/>
      <c r="AF6" s="40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16"/>
      <c r="L8" s="5"/>
      <c r="M8" s="401" t="s">
        <v>70</v>
      </c>
      <c r="N8" s="402"/>
      <c r="O8" s="402"/>
      <c r="P8" s="402"/>
      <c r="Q8" s="403"/>
      <c r="R8" s="5"/>
      <c r="S8" s="395" t="s">
        <v>76</v>
      </c>
      <c r="T8" s="396"/>
      <c r="U8" s="397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11"/>
      <c r="AH8" s="404" t="s">
        <v>5</v>
      </c>
      <c r="AI8" s="405"/>
      <c r="AJ8" s="406"/>
      <c r="AK8" s="94"/>
      <c r="AL8" s="404" t="s">
        <v>6</v>
      </c>
      <c r="AM8" s="405"/>
      <c r="AN8" s="406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.5" thickBot="1" x14ac:dyDescent="0.3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7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75" x14ac:dyDescent="0.3">
      <c r="C12" s="82"/>
      <c r="D12" s="65" t="s">
        <v>40</v>
      </c>
      <c r="E12" s="201" t="s">
        <v>161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>
        <v>0.57999999999999996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2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19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20.5703125" style="3" bestFit="1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18.42578125" style="3" bestFit="1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07"/>
      <c r="E6" s="407"/>
      <c r="F6" s="5"/>
      <c r="G6" s="5"/>
      <c r="H6" s="407"/>
      <c r="I6" s="407"/>
      <c r="J6" s="15"/>
      <c r="K6" s="15"/>
      <c r="L6" s="5"/>
      <c r="M6" s="407"/>
      <c r="N6" s="407"/>
      <c r="O6" s="407"/>
      <c r="P6" s="407"/>
      <c r="Q6" s="5"/>
      <c r="R6" s="5"/>
      <c r="S6" s="408"/>
      <c r="T6" s="408"/>
      <c r="U6" s="408"/>
      <c r="V6" s="408"/>
      <c r="W6" s="408"/>
      <c r="X6" s="408"/>
      <c r="Y6" s="408"/>
      <c r="Z6" s="408"/>
      <c r="AA6" s="408"/>
      <c r="AB6" s="408"/>
      <c r="AC6" s="408"/>
      <c r="AD6" s="408"/>
      <c r="AE6" s="408"/>
      <c r="AF6" s="40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5"/>
      <c r="L8" s="5"/>
      <c r="M8" s="401" t="s">
        <v>70</v>
      </c>
      <c r="N8" s="402"/>
      <c r="O8" s="402"/>
      <c r="P8" s="402"/>
      <c r="Q8" s="403"/>
      <c r="R8" s="5"/>
      <c r="S8" s="395" t="s">
        <v>76</v>
      </c>
      <c r="T8" s="396"/>
      <c r="U8" s="397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11"/>
      <c r="AH8" s="404" t="s">
        <v>5</v>
      </c>
      <c r="AI8" s="405"/>
      <c r="AJ8" s="406"/>
      <c r="AK8" s="94"/>
      <c r="AL8" s="404" t="s">
        <v>6</v>
      </c>
      <c r="AM8" s="405"/>
      <c r="AN8" s="406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.5" thickBot="1" x14ac:dyDescent="0.3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75" x14ac:dyDescent="0.3">
      <c r="C12" s="82"/>
      <c r="D12" s="65" t="s">
        <v>40</v>
      </c>
      <c r="E12" s="201" t="s">
        <v>23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>
        <v>0.83</v>
      </c>
      <c r="F21" s="210" t="s">
        <v>176</v>
      </c>
      <c r="G21" s="5"/>
      <c r="H21" s="106"/>
      <c r="I21" s="239"/>
      <c r="J21" s="210" t="s">
        <v>176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2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58"/>
  <sheetViews>
    <sheetView zoomScale="80" zoomScaleNormal="80" workbookViewId="0">
      <selection activeCell="J37" sqref="J37"/>
    </sheetView>
  </sheetViews>
  <sheetFormatPr baseColWidth="10" defaultColWidth="10.85546875" defaultRowHeight="15" x14ac:dyDescent="0.25"/>
  <cols>
    <col min="3" max="3" width="16.42578125" bestFit="1" customWidth="1"/>
    <col min="4" max="4" width="13.28515625" bestFit="1" customWidth="1"/>
    <col min="5" max="5" width="14.5703125" bestFit="1" customWidth="1"/>
    <col min="6" max="6" width="13.7109375" bestFit="1" customWidth="1"/>
    <col min="7" max="9" width="14.140625" bestFit="1" customWidth="1"/>
  </cols>
  <sheetData>
    <row r="1" spans="2:18" x14ac:dyDescent="0.25">
      <c r="L1" s="11"/>
    </row>
    <row r="2" spans="2:18" x14ac:dyDescent="0.2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2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.75" thickBot="1" x14ac:dyDescent="0.3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4">
      <c r="B5" s="324" t="s">
        <v>293</v>
      </c>
      <c r="C5" s="409" t="s">
        <v>99</v>
      </c>
      <c r="D5" s="410"/>
      <c r="E5" s="410"/>
      <c r="F5" s="410"/>
      <c r="G5" s="410"/>
      <c r="H5" s="410"/>
      <c r="I5" s="410"/>
      <c r="J5" s="410"/>
      <c r="K5" s="410"/>
      <c r="L5" s="410"/>
      <c r="M5" s="410"/>
      <c r="N5" s="410"/>
      <c r="O5" s="410"/>
      <c r="P5" s="410"/>
      <c r="Q5" s="411"/>
      <c r="R5" t="s">
        <v>22</v>
      </c>
    </row>
    <row r="6" spans="2:18" ht="18.75" x14ac:dyDescent="0.3">
      <c r="B6" s="295"/>
      <c r="C6" s="169" t="s">
        <v>1</v>
      </c>
      <c r="D6" s="165" t="s">
        <v>195</v>
      </c>
      <c r="E6" s="165" t="s">
        <v>190</v>
      </c>
      <c r="F6" s="165" t="s">
        <v>168</v>
      </c>
      <c r="G6" s="165" t="s">
        <v>222</v>
      </c>
      <c r="H6" s="165" t="s">
        <v>314</v>
      </c>
      <c r="I6" s="165" t="s">
        <v>320</v>
      </c>
      <c r="J6" s="165"/>
      <c r="K6" s="165"/>
      <c r="L6" s="165"/>
      <c r="M6" s="165"/>
      <c r="N6" s="165"/>
      <c r="O6" s="165"/>
      <c r="P6" s="165"/>
      <c r="Q6" s="328"/>
    </row>
    <row r="7" spans="2:18" ht="18.75" x14ac:dyDescent="0.3">
      <c r="B7" s="297"/>
      <c r="C7" s="166" t="s">
        <v>100</v>
      </c>
      <c r="D7" s="116">
        <v>1000</v>
      </c>
      <c r="E7" s="116">
        <v>2000</v>
      </c>
      <c r="F7" s="116">
        <v>3000</v>
      </c>
      <c r="G7" s="116">
        <v>1100</v>
      </c>
      <c r="H7" s="116">
        <v>4000</v>
      </c>
      <c r="I7" s="116">
        <v>5000</v>
      </c>
      <c r="J7" s="116"/>
      <c r="K7" s="116"/>
      <c r="L7" s="116"/>
      <c r="M7" s="116"/>
      <c r="N7" s="116"/>
      <c r="O7" s="116"/>
      <c r="P7" s="116"/>
      <c r="Q7" s="117"/>
    </row>
    <row r="8" spans="2:18" ht="18.75" x14ac:dyDescent="0.3">
      <c r="B8" s="297"/>
      <c r="C8" s="167" t="s">
        <v>40</v>
      </c>
      <c r="D8" s="116" t="s">
        <v>10</v>
      </c>
      <c r="E8" s="116" t="s">
        <v>10</v>
      </c>
      <c r="F8" s="116" t="s">
        <v>10</v>
      </c>
      <c r="G8" s="116" t="s">
        <v>10</v>
      </c>
      <c r="H8" s="116" t="s">
        <v>10</v>
      </c>
      <c r="I8" s="116" t="s">
        <v>10</v>
      </c>
      <c r="J8" s="116"/>
      <c r="K8" s="116"/>
      <c r="L8" s="116"/>
      <c r="M8" s="116"/>
      <c r="N8" s="116"/>
      <c r="O8" s="116"/>
      <c r="P8" s="116"/>
      <c r="Q8" s="117"/>
    </row>
    <row r="9" spans="2:18" ht="18.75" x14ac:dyDescent="0.3">
      <c r="B9" s="297"/>
      <c r="C9" s="168" t="s">
        <v>101</v>
      </c>
      <c r="D9" s="116"/>
      <c r="E9" s="116"/>
      <c r="F9" s="116"/>
      <c r="G9" s="204"/>
      <c r="H9" s="116"/>
      <c r="I9" s="116"/>
      <c r="J9" s="116"/>
      <c r="K9" s="116"/>
      <c r="L9" s="116"/>
      <c r="M9" s="116"/>
      <c r="N9" s="116"/>
      <c r="O9" s="116"/>
      <c r="P9" s="116"/>
      <c r="Q9" s="117"/>
    </row>
    <row r="10" spans="2:18" ht="18.75" x14ac:dyDescent="0.3">
      <c r="B10" s="297"/>
      <c r="C10" s="166" t="s">
        <v>203</v>
      </c>
      <c r="D10" s="116">
        <v>0</v>
      </c>
      <c r="E10" s="367">
        <f>C37</f>
        <v>765.33</v>
      </c>
      <c r="F10" s="116">
        <v>76000</v>
      </c>
      <c r="G10" s="116">
        <v>0</v>
      </c>
      <c r="H10" s="116">
        <f>(C44+C45)/2 * 1000</f>
        <v>2715</v>
      </c>
      <c r="I10" s="116">
        <v>1150</v>
      </c>
      <c r="J10" s="116"/>
      <c r="K10" s="116"/>
      <c r="L10" s="116"/>
      <c r="M10" s="116"/>
      <c r="N10" s="116"/>
      <c r="O10" s="116"/>
      <c r="P10" s="116"/>
      <c r="Q10" s="117"/>
    </row>
    <row r="11" spans="2:18" ht="18.75" x14ac:dyDescent="0.3">
      <c r="B11" s="297"/>
      <c r="C11" s="166" t="s">
        <v>9</v>
      </c>
      <c r="D11" s="116" t="s">
        <v>8</v>
      </c>
      <c r="E11" s="116" t="s">
        <v>8</v>
      </c>
      <c r="F11" s="116" t="s">
        <v>11</v>
      </c>
      <c r="G11" s="116" t="s">
        <v>11</v>
      </c>
      <c r="H11" s="116" t="s">
        <v>11</v>
      </c>
      <c r="I11" s="116" t="s">
        <v>11</v>
      </c>
      <c r="J11" s="116"/>
      <c r="K11" s="116"/>
      <c r="L11" s="116"/>
      <c r="M11" s="116"/>
      <c r="N11" s="116"/>
      <c r="O11" s="116"/>
      <c r="P11" s="116"/>
      <c r="Q11" s="117"/>
    </row>
    <row r="12" spans="2:18" ht="18.75" x14ac:dyDescent="0.3">
      <c r="B12" s="297"/>
      <c r="C12" s="170" t="s">
        <v>117</v>
      </c>
      <c r="D12" s="116">
        <v>0.5</v>
      </c>
      <c r="E12" s="116">
        <v>0.58499999999999996</v>
      </c>
      <c r="F12" s="116">
        <v>0</v>
      </c>
      <c r="G12" s="116">
        <v>4</v>
      </c>
      <c r="H12" s="116">
        <v>0</v>
      </c>
      <c r="I12" s="116">
        <v>0</v>
      </c>
      <c r="J12" s="116"/>
      <c r="K12" s="116"/>
      <c r="L12" s="116"/>
      <c r="M12" s="116"/>
      <c r="N12" s="116"/>
      <c r="O12" s="116"/>
      <c r="P12" s="116"/>
      <c r="Q12" s="117"/>
    </row>
    <row r="13" spans="2:18" ht="18.75" x14ac:dyDescent="0.3">
      <c r="B13" s="297"/>
      <c r="C13" s="128" t="s">
        <v>118</v>
      </c>
      <c r="D13" s="11"/>
      <c r="E13" s="11"/>
      <c r="F13" s="11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7"/>
    </row>
    <row r="14" spans="2:18" ht="18.75" x14ac:dyDescent="0.3">
      <c r="B14" s="297" t="s">
        <v>186</v>
      </c>
      <c r="C14" s="128" t="s">
        <v>294</v>
      </c>
      <c r="D14" s="116"/>
      <c r="E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7"/>
    </row>
    <row r="15" spans="2:18" ht="19.5" thickBot="1" x14ac:dyDescent="0.35">
      <c r="B15" s="298" t="s">
        <v>186</v>
      </c>
      <c r="C15" s="171" t="s">
        <v>295</v>
      </c>
      <c r="D15" s="90"/>
      <c r="E15" s="90"/>
      <c r="F15" s="90"/>
      <c r="G15" s="90"/>
      <c r="H15" s="119"/>
      <c r="I15" s="119"/>
      <c r="J15" s="119"/>
      <c r="K15" s="119"/>
      <c r="L15" s="119"/>
      <c r="M15" s="119"/>
      <c r="N15" s="119"/>
      <c r="O15" s="119"/>
      <c r="P15" s="119"/>
      <c r="Q15" s="120"/>
    </row>
    <row r="16" spans="2:18" x14ac:dyDescent="0.25">
      <c r="I16" s="11"/>
      <c r="J16" s="11"/>
      <c r="K16" s="11"/>
      <c r="L16" s="11"/>
    </row>
    <row r="19" spans="2:11" x14ac:dyDescent="0.25">
      <c r="B19" t="s">
        <v>297</v>
      </c>
    </row>
    <row r="20" spans="2:11" x14ac:dyDescent="0.25">
      <c r="B20" s="326" t="s">
        <v>300</v>
      </c>
      <c r="F20">
        <v>3000</v>
      </c>
    </row>
    <row r="21" spans="2:11" x14ac:dyDescent="0.25">
      <c r="B21" t="s">
        <v>298</v>
      </c>
      <c r="C21">
        <v>76</v>
      </c>
      <c r="D21" t="s">
        <v>301</v>
      </c>
    </row>
    <row r="22" spans="2:11" x14ac:dyDescent="0.25">
      <c r="B22" t="s">
        <v>299</v>
      </c>
      <c r="C22">
        <v>182</v>
      </c>
      <c r="D22" t="s">
        <v>301</v>
      </c>
    </row>
    <row r="23" spans="2:11" x14ac:dyDescent="0.25">
      <c r="B23" t="s">
        <v>459</v>
      </c>
      <c r="C23">
        <f xml:space="preserve"> (C21+C22)/2 * 1000</f>
        <v>129000</v>
      </c>
    </row>
    <row r="24" spans="2:11" x14ac:dyDescent="0.25">
      <c r="B24" t="s">
        <v>308</v>
      </c>
      <c r="C24">
        <f>_xlfn.STDEV.P(C21:C22)/AVERAGE(C21:C22)</f>
        <v>0.41085271317829458</v>
      </c>
    </row>
    <row r="25" spans="2:11" x14ac:dyDescent="0.25">
      <c r="C25">
        <f>F10 - F10*C24</f>
        <v>44775.193798449611</v>
      </c>
      <c r="F25">
        <f>500/1000000</f>
        <v>5.0000000000000001E-4</v>
      </c>
    </row>
    <row r="26" spans="2:11" x14ac:dyDescent="0.25">
      <c r="C26">
        <f>F10 + F10*C24</f>
        <v>107224.80620155038</v>
      </c>
      <c r="K26" t="s">
        <v>22</v>
      </c>
    </row>
    <row r="29" spans="2:11" x14ac:dyDescent="0.25">
      <c r="B29" s="326" t="s">
        <v>302</v>
      </c>
      <c r="F29">
        <v>2000</v>
      </c>
    </row>
    <row r="30" spans="2:11" x14ac:dyDescent="0.25">
      <c r="B30" t="s">
        <v>303</v>
      </c>
      <c r="C30">
        <v>1.04</v>
      </c>
      <c r="D30" t="s">
        <v>305</v>
      </c>
    </row>
    <row r="31" spans="2:11" x14ac:dyDescent="0.25">
      <c r="B31" t="s">
        <v>304</v>
      </c>
      <c r="C31">
        <v>0.9</v>
      </c>
      <c r="D31" t="s">
        <v>305</v>
      </c>
    </row>
    <row r="33" spans="2:6" x14ac:dyDescent="0.25">
      <c r="B33" t="s">
        <v>306</v>
      </c>
      <c r="C33">
        <v>0.78900000000000003</v>
      </c>
      <c r="D33" t="s">
        <v>307</v>
      </c>
    </row>
    <row r="35" spans="2:6" x14ac:dyDescent="0.25">
      <c r="B35" t="s">
        <v>303</v>
      </c>
      <c r="C35">
        <f>C30*C33 *1000</f>
        <v>820.56000000000006</v>
      </c>
      <c r="D35" t="s">
        <v>309</v>
      </c>
    </row>
    <row r="36" spans="2:6" x14ac:dyDescent="0.25">
      <c r="B36" t="s">
        <v>304</v>
      </c>
      <c r="C36">
        <f>C31*C33*1000</f>
        <v>710.1</v>
      </c>
      <c r="D36" t="s">
        <v>309</v>
      </c>
    </row>
    <row r="37" spans="2:6" ht="18.75" x14ac:dyDescent="0.3">
      <c r="B37" t="s">
        <v>459</v>
      </c>
      <c r="C37" s="116">
        <f>(C35+C36)/2</f>
        <v>765.33</v>
      </c>
      <c r="D37" t="s">
        <v>309</v>
      </c>
      <c r="E37" s="366"/>
    </row>
    <row r="38" spans="2:6" x14ac:dyDescent="0.25">
      <c r="B38" t="s">
        <v>308</v>
      </c>
      <c r="C38" s="329">
        <f>_xlfn.STDEV.P(C35:C36)/AVERAGE(C35:C36)</f>
        <v>7.2164948453608269E-2</v>
      </c>
      <c r="E38" t="s">
        <v>460</v>
      </c>
    </row>
    <row r="39" spans="2:6" x14ac:dyDescent="0.25">
      <c r="C39">
        <f>C37 + C37*C38</f>
        <v>820.56000000000006</v>
      </c>
    </row>
    <row r="40" spans="2:6" x14ac:dyDescent="0.25">
      <c r="C40">
        <f>C37 - C37*C38</f>
        <v>710.1</v>
      </c>
    </row>
    <row r="43" spans="2:6" x14ac:dyDescent="0.25">
      <c r="B43" s="326" t="s">
        <v>311</v>
      </c>
      <c r="F43">
        <v>4000</v>
      </c>
    </row>
    <row r="44" spans="2:6" x14ac:dyDescent="0.25">
      <c r="B44" t="s">
        <v>303</v>
      </c>
      <c r="C44">
        <v>2.4</v>
      </c>
      <c r="D44" t="s">
        <v>312</v>
      </c>
    </row>
    <row r="45" spans="2:6" x14ac:dyDescent="0.25">
      <c r="B45" t="s">
        <v>304</v>
      </c>
      <c r="C45">
        <v>3.03</v>
      </c>
      <c r="D45" t="s">
        <v>312</v>
      </c>
    </row>
    <row r="47" spans="2:6" x14ac:dyDescent="0.25">
      <c r="B47" t="s">
        <v>313</v>
      </c>
      <c r="C47">
        <f>_xlfn.STDEV.P(C44:C45)/AVERAGE(C44:C45)</f>
        <v>0.11602209944751414</v>
      </c>
    </row>
    <row r="48" spans="2:6" x14ac:dyDescent="0.25">
      <c r="B48" t="s">
        <v>303</v>
      </c>
      <c r="C48">
        <f>H10 - C47*H10</f>
        <v>2399.9999999999991</v>
      </c>
      <c r="D48" t="s">
        <v>309</v>
      </c>
    </row>
    <row r="49" spans="2:6" x14ac:dyDescent="0.25">
      <c r="B49" t="s">
        <v>304</v>
      </c>
      <c r="C49">
        <f>H10 + C47*H10</f>
        <v>3030.0000000000009</v>
      </c>
      <c r="D49" t="s">
        <v>309</v>
      </c>
    </row>
    <row r="53" spans="2:6" x14ac:dyDescent="0.25">
      <c r="B53" s="326" t="s">
        <v>319</v>
      </c>
      <c r="F53">
        <v>5000</v>
      </c>
    </row>
    <row r="54" spans="2:6" x14ac:dyDescent="0.25">
      <c r="B54" t="s">
        <v>303</v>
      </c>
      <c r="C54">
        <v>1000</v>
      </c>
      <c r="D54" t="s">
        <v>309</v>
      </c>
    </row>
    <row r="55" spans="2:6" x14ac:dyDescent="0.25">
      <c r="B55" t="s">
        <v>304</v>
      </c>
      <c r="C55">
        <v>1300</v>
      </c>
      <c r="D55" t="s">
        <v>309</v>
      </c>
    </row>
    <row r="57" spans="2:6" x14ac:dyDescent="0.25">
      <c r="C57">
        <f>_xlfn.STDEV.P(C54:C55) / 1150</f>
        <v>0.13043478260869565</v>
      </c>
    </row>
    <row r="58" spans="2:6" x14ac:dyDescent="0.25">
      <c r="C58">
        <v>1150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</hyperlink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6"/>
  <sheetViews>
    <sheetView topLeftCell="A4" zoomScale="83" zoomScaleNormal="83" workbookViewId="0">
      <selection activeCell="E17" sqref="E17"/>
    </sheetView>
  </sheetViews>
  <sheetFormatPr baseColWidth="10" defaultColWidth="10.85546875" defaultRowHeight="15" x14ac:dyDescent="0.25"/>
  <cols>
    <col min="4" max="4" width="21.28515625" bestFit="1" customWidth="1"/>
    <col min="5" max="6" width="13" bestFit="1" customWidth="1"/>
    <col min="9" max="9" width="8.7109375" bestFit="1" customWidth="1"/>
  </cols>
  <sheetData>
    <row r="4" spans="3:17" ht="15.75" thickBot="1" x14ac:dyDescent="0.3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4">
      <c r="C5" s="217" t="s">
        <v>204</v>
      </c>
      <c r="D5" s="412" t="s">
        <v>102</v>
      </c>
      <c r="E5" s="413"/>
      <c r="F5" s="413"/>
      <c r="G5" s="413"/>
      <c r="H5" s="413"/>
      <c r="I5" s="413"/>
      <c r="J5" s="413"/>
      <c r="K5" s="413"/>
      <c r="L5" s="413"/>
      <c r="M5" s="413"/>
      <c r="N5" s="413"/>
      <c r="O5" s="414"/>
      <c r="P5" s="11"/>
      <c r="Q5" s="11"/>
    </row>
    <row r="6" spans="3:17" ht="18.75" x14ac:dyDescent="0.3">
      <c r="C6" s="218" t="s">
        <v>176</v>
      </c>
      <c r="D6" s="143" t="s">
        <v>1</v>
      </c>
      <c r="E6" s="206" t="s">
        <v>169</v>
      </c>
      <c r="F6" s="207" t="s">
        <v>172</v>
      </c>
      <c r="G6" s="207" t="s">
        <v>108</v>
      </c>
      <c r="H6" s="207" t="s">
        <v>223</v>
      </c>
      <c r="I6" s="144"/>
      <c r="J6" s="144"/>
      <c r="K6" s="144"/>
      <c r="L6" s="144"/>
      <c r="M6" s="144"/>
      <c r="N6" s="144"/>
      <c r="O6" s="145"/>
      <c r="P6" s="11"/>
      <c r="Q6" s="11"/>
    </row>
    <row r="7" spans="3:17" ht="18.75" x14ac:dyDescent="0.3">
      <c r="C7" s="219" t="s">
        <v>176</v>
      </c>
      <c r="D7" s="143" t="s">
        <v>100</v>
      </c>
      <c r="E7" s="157">
        <v>11</v>
      </c>
      <c r="F7" s="146">
        <v>22</v>
      </c>
      <c r="G7" s="146">
        <v>33</v>
      </c>
      <c r="H7" s="146">
        <v>44</v>
      </c>
      <c r="I7" s="146"/>
      <c r="J7" s="146"/>
      <c r="K7" s="146"/>
      <c r="L7" s="146"/>
      <c r="M7" s="146"/>
      <c r="N7" s="146"/>
      <c r="O7" s="147"/>
      <c r="P7" s="11"/>
      <c r="Q7" s="11"/>
    </row>
    <row r="8" spans="3:17" ht="18.75" x14ac:dyDescent="0.3">
      <c r="C8" s="220" t="s">
        <v>205</v>
      </c>
      <c r="D8" s="143" t="s">
        <v>103</v>
      </c>
      <c r="E8" s="157">
        <v>0</v>
      </c>
      <c r="F8" s="146">
        <v>0</v>
      </c>
      <c r="G8" s="146">
        <v>0</v>
      </c>
      <c r="H8" s="146">
        <v>20</v>
      </c>
      <c r="I8" s="146"/>
      <c r="J8" s="146"/>
      <c r="K8" s="146"/>
      <c r="L8" s="146"/>
      <c r="M8" s="146"/>
      <c r="N8" s="146"/>
      <c r="O8" s="147"/>
      <c r="P8" s="11"/>
      <c r="Q8" s="11"/>
    </row>
    <row r="9" spans="3:17" ht="18.75" x14ac:dyDescent="0.3">
      <c r="C9" s="220" t="s">
        <v>186</v>
      </c>
      <c r="D9" s="143" t="s">
        <v>207</v>
      </c>
      <c r="E9" s="157">
        <v>1</v>
      </c>
      <c r="F9" s="146"/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.75" x14ac:dyDescent="0.3">
      <c r="C10" s="220" t="s">
        <v>186</v>
      </c>
      <c r="D10" s="143" t="s">
        <v>208</v>
      </c>
      <c r="E10" s="157">
        <v>1</v>
      </c>
      <c r="F10" s="146"/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.75" x14ac:dyDescent="0.3">
      <c r="C11" s="219" t="s">
        <v>176</v>
      </c>
      <c r="D11" s="143" t="s">
        <v>104</v>
      </c>
      <c r="E11" s="157"/>
      <c r="F11" s="146"/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.75" x14ac:dyDescent="0.3">
      <c r="C12" s="219" t="s">
        <v>176</v>
      </c>
      <c r="D12" s="143" t="s">
        <v>206</v>
      </c>
      <c r="E12" s="178">
        <v>0</v>
      </c>
      <c r="F12" s="204">
        <v>1</v>
      </c>
      <c r="G12" s="204">
        <v>0</v>
      </c>
      <c r="H12" s="11"/>
      <c r="I12" s="11"/>
      <c r="J12" s="11"/>
      <c r="K12" s="11"/>
      <c r="L12" s="11"/>
      <c r="M12" s="11"/>
      <c r="N12" s="11"/>
      <c r="O12" s="88"/>
      <c r="P12" s="11"/>
      <c r="Q12" s="11"/>
    </row>
    <row r="13" spans="3:17" ht="19.5" thickBot="1" x14ac:dyDescent="0.35">
      <c r="C13" s="221" t="s">
        <v>176</v>
      </c>
      <c r="D13" s="143" t="s">
        <v>105</v>
      </c>
      <c r="E13" s="158">
        <f>SUM(E14:E37)</f>
        <v>0.99999999999999989</v>
      </c>
      <c r="F13" s="154">
        <f t="shared" ref="F13:O13" si="0">SUM(F14:F37)</f>
        <v>1</v>
      </c>
      <c r="G13" s="154">
        <f t="shared" si="0"/>
        <v>1</v>
      </c>
      <c r="H13" s="154">
        <f t="shared" si="0"/>
        <v>1</v>
      </c>
      <c r="I13" s="154">
        <f t="shared" si="0"/>
        <v>0</v>
      </c>
      <c r="J13" s="154">
        <f t="shared" si="0"/>
        <v>0</v>
      </c>
      <c r="K13" s="154">
        <f t="shared" si="0"/>
        <v>0</v>
      </c>
      <c r="L13" s="154">
        <f t="shared" si="0"/>
        <v>0</v>
      </c>
      <c r="M13" s="154">
        <f t="shared" si="0"/>
        <v>0</v>
      </c>
      <c r="N13" s="154">
        <f t="shared" si="0"/>
        <v>0</v>
      </c>
      <c r="O13" s="155">
        <f t="shared" si="0"/>
        <v>0</v>
      </c>
      <c r="P13" s="11"/>
      <c r="Q13" s="11"/>
    </row>
    <row r="14" spans="3:17" ht="18.75" x14ac:dyDescent="0.3">
      <c r="C14" s="222"/>
      <c r="D14" s="148" t="s">
        <v>318</v>
      </c>
      <c r="E14" s="208">
        <f>(1.2+2.3)/(2*100)</f>
        <v>1.7500000000000002E-2</v>
      </c>
      <c r="F14" s="144"/>
      <c r="G14" s="144"/>
      <c r="H14" s="144"/>
      <c r="I14" s="144"/>
      <c r="J14" s="144"/>
      <c r="K14" s="144"/>
      <c r="L14" s="144"/>
      <c r="M14" s="144"/>
      <c r="N14" s="144"/>
      <c r="O14" s="145"/>
      <c r="P14" s="11"/>
      <c r="Q14" s="11"/>
    </row>
    <row r="15" spans="3:17" ht="18.75" x14ac:dyDescent="0.3">
      <c r="C15" s="172"/>
      <c r="D15" s="149" t="s">
        <v>170</v>
      </c>
      <c r="E15" s="208">
        <f>(0.1+0.4)/(2*100)</f>
        <v>2.5000000000000001E-3</v>
      </c>
      <c r="F15" s="146"/>
      <c r="G15" s="146"/>
      <c r="H15" s="150"/>
      <c r="I15" s="146"/>
      <c r="J15" s="146"/>
      <c r="K15" s="146"/>
      <c r="L15" s="146"/>
      <c r="M15" s="146"/>
      <c r="N15" s="146"/>
      <c r="O15" s="147"/>
      <c r="P15" s="11"/>
      <c r="Q15" s="11"/>
    </row>
    <row r="16" spans="3:17" ht="18.75" x14ac:dyDescent="0.3">
      <c r="C16" s="172"/>
      <c r="D16" s="149" t="s">
        <v>171</v>
      </c>
      <c r="E16" s="208">
        <v>2.75E-2</v>
      </c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22" ht="18.75" x14ac:dyDescent="0.3">
      <c r="C17" s="172"/>
      <c r="D17" s="149" t="s">
        <v>168</v>
      </c>
      <c r="E17" s="208">
        <f>(1.02 + 2.92)/(2*100)</f>
        <v>1.9699999999999999E-2</v>
      </c>
      <c r="F17" s="146"/>
      <c r="G17" s="146"/>
      <c r="H17" s="150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22" ht="18.75" x14ac:dyDescent="0.3">
      <c r="C18" s="172"/>
      <c r="D18" s="149" t="s">
        <v>14</v>
      </c>
      <c r="E18" s="208">
        <f>(83.3 + 85.1)/(2*100)</f>
        <v>0.84199999999999986</v>
      </c>
      <c r="F18" s="146">
        <v>1</v>
      </c>
      <c r="G18" s="146"/>
      <c r="H18" s="146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22" ht="18.75" x14ac:dyDescent="0.3">
      <c r="C19" s="172"/>
      <c r="D19" s="149" t="s">
        <v>4</v>
      </c>
      <c r="E19" s="208"/>
      <c r="F19" s="146"/>
      <c r="G19" s="146">
        <v>0.22</v>
      </c>
      <c r="H19" s="146"/>
      <c r="I19" s="146"/>
      <c r="J19" s="146"/>
      <c r="K19" s="151"/>
      <c r="L19" s="146"/>
      <c r="M19" s="146"/>
      <c r="N19" s="146"/>
      <c r="O19" s="147"/>
      <c r="P19" s="11"/>
      <c r="Q19" s="11"/>
    </row>
    <row r="20" spans="3:22" ht="18.75" x14ac:dyDescent="0.3">
      <c r="C20" s="172"/>
      <c r="D20" s="149" t="s">
        <v>17</v>
      </c>
      <c r="E20" s="208"/>
      <c r="F20" s="208"/>
      <c r="G20" s="146">
        <v>0.78</v>
      </c>
      <c r="H20" s="152"/>
      <c r="I20" s="146"/>
      <c r="J20" s="146"/>
      <c r="K20" s="151"/>
      <c r="L20" s="146"/>
      <c r="M20" s="146"/>
      <c r="N20" s="146"/>
      <c r="O20" s="147"/>
      <c r="P20" s="11"/>
      <c r="Q20" s="11"/>
    </row>
    <row r="21" spans="3:22" ht="18.75" x14ac:dyDescent="0.3">
      <c r="C21" s="172"/>
      <c r="D21" s="149" t="s">
        <v>224</v>
      </c>
      <c r="E21" s="146"/>
      <c r="F21" s="146"/>
      <c r="G21" s="146"/>
      <c r="H21" s="152">
        <v>1</v>
      </c>
      <c r="I21" s="146"/>
      <c r="J21" s="146"/>
      <c r="K21" s="146"/>
      <c r="L21" s="146"/>
      <c r="M21" s="146"/>
      <c r="N21" s="146"/>
      <c r="O21" s="147"/>
      <c r="P21" s="11"/>
      <c r="Q21" s="11"/>
    </row>
    <row r="22" spans="3:22" ht="18.75" x14ac:dyDescent="0.3">
      <c r="C22" s="172"/>
      <c r="D22" s="149" t="s">
        <v>317</v>
      </c>
      <c r="E22" s="146">
        <v>1.2800000000000001E-2</v>
      </c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22" ht="18.75" x14ac:dyDescent="0.3">
      <c r="C23" s="172"/>
      <c r="D23" s="149" t="s">
        <v>320</v>
      </c>
      <c r="E23" s="146">
        <v>7.8E-2</v>
      </c>
      <c r="F23" s="146"/>
      <c r="G23" s="146"/>
      <c r="H23" s="146"/>
      <c r="I23" s="146"/>
      <c r="J23" s="146"/>
      <c r="K23" s="146"/>
      <c r="L23" s="146"/>
      <c r="M23" s="146"/>
      <c r="N23" s="146"/>
      <c r="O23" s="147"/>
      <c r="P23" s="11"/>
      <c r="Q23" s="11"/>
    </row>
    <row r="24" spans="3:22" ht="18.75" x14ac:dyDescent="0.3">
      <c r="C24" s="172"/>
      <c r="D24" s="149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7"/>
      <c r="P24" s="11"/>
      <c r="V24" s="11" t="s">
        <v>22</v>
      </c>
    </row>
    <row r="25" spans="3:22" ht="18.75" x14ac:dyDescent="0.3">
      <c r="C25" s="172"/>
      <c r="D25" s="149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7"/>
      <c r="P25" s="11"/>
      <c r="Q25" s="11"/>
    </row>
    <row r="26" spans="3:22" x14ac:dyDescent="0.25">
      <c r="C26" s="172"/>
      <c r="D26" s="172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88"/>
      <c r="P26" s="11"/>
      <c r="Q26" s="11"/>
    </row>
    <row r="27" spans="3:22" x14ac:dyDescent="0.25">
      <c r="C27" s="172"/>
      <c r="D27" s="172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88"/>
      <c r="P27" s="11"/>
      <c r="Q27" s="11"/>
    </row>
    <row r="28" spans="3:22" x14ac:dyDescent="0.25">
      <c r="C28" s="172"/>
      <c r="D28" s="172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88"/>
      <c r="P28" s="11"/>
      <c r="Q28" s="11"/>
    </row>
    <row r="29" spans="3:22" x14ac:dyDescent="0.25">
      <c r="C29" s="172"/>
      <c r="D29" s="172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88"/>
      <c r="P29" s="11"/>
      <c r="Q29" s="11"/>
    </row>
    <row r="30" spans="3:22" x14ac:dyDescent="0.25">
      <c r="C30" s="172"/>
      <c r="D30" s="172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88"/>
      <c r="P30" s="11"/>
      <c r="Q30" s="11"/>
    </row>
    <row r="31" spans="3:22" x14ac:dyDescent="0.25">
      <c r="C31" s="172"/>
      <c r="D31" s="172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88"/>
      <c r="P31" s="11"/>
      <c r="Q31" s="11"/>
    </row>
    <row r="32" spans="3:22" x14ac:dyDescent="0.25">
      <c r="C32" s="172"/>
      <c r="D32" s="172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88"/>
      <c r="P32" s="11"/>
      <c r="Q32" s="11"/>
    </row>
    <row r="33" spans="2:17" x14ac:dyDescent="0.25">
      <c r="C33" s="172"/>
      <c r="D33" s="172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88"/>
      <c r="P33" s="11"/>
      <c r="Q33" s="11"/>
    </row>
    <row r="34" spans="2:17" x14ac:dyDescent="0.25">
      <c r="C34" s="172"/>
      <c r="D34" s="172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88"/>
      <c r="P34" s="11"/>
      <c r="Q34" s="11"/>
    </row>
    <row r="35" spans="2:17" x14ac:dyDescent="0.25">
      <c r="C35" s="172"/>
      <c r="D35" s="172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88"/>
      <c r="P35" s="11"/>
      <c r="Q35" s="11"/>
    </row>
    <row r="36" spans="2:17" x14ac:dyDescent="0.25">
      <c r="C36" s="172"/>
      <c r="D36" s="172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88"/>
      <c r="P36" s="11"/>
      <c r="Q36" s="11"/>
    </row>
    <row r="37" spans="2:17" ht="15.75" thickBot="1" x14ac:dyDescent="0.3">
      <c r="C37" s="173"/>
      <c r="D37" s="173"/>
      <c r="E37" s="90"/>
      <c r="F37" s="90"/>
      <c r="G37" s="90"/>
      <c r="H37" s="90"/>
      <c r="I37" s="90"/>
      <c r="J37" s="90"/>
      <c r="K37" s="90"/>
      <c r="L37" s="90"/>
      <c r="M37" s="90"/>
      <c r="N37" s="90"/>
      <c r="O37" s="142"/>
      <c r="P37" s="11"/>
      <c r="Q37" s="11"/>
    </row>
    <row r="38" spans="2:17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2" spans="2:17" x14ac:dyDescent="0.25">
      <c r="C42" t="s">
        <v>315</v>
      </c>
    </row>
    <row r="43" spans="2:17" x14ac:dyDescent="0.25">
      <c r="C43" t="s">
        <v>316</v>
      </c>
    </row>
    <row r="44" spans="2:17" x14ac:dyDescent="0.25">
      <c r="C44" s="332" t="s">
        <v>321</v>
      </c>
    </row>
    <row r="45" spans="2:17" x14ac:dyDescent="0.25">
      <c r="C45">
        <f>E17*100</f>
        <v>1.97</v>
      </c>
      <c r="N45" s="11" t="s">
        <v>22</v>
      </c>
    </row>
    <row r="46" spans="2:17" x14ac:dyDescent="0.25">
      <c r="C46">
        <f>1000*0.02</f>
        <v>20</v>
      </c>
    </row>
  </sheetData>
  <mergeCells count="1">
    <mergeCell ref="D5:O5"/>
  </mergeCells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>
    <tabColor rgb="FFFF0000"/>
  </sheetPr>
  <dimension ref="C3:T36"/>
  <sheetViews>
    <sheetView workbookViewId="0">
      <selection activeCell="D25" sqref="D25"/>
    </sheetView>
  </sheetViews>
  <sheetFormatPr baseColWidth="10" defaultColWidth="10.85546875" defaultRowHeight="15" x14ac:dyDescent="0.25"/>
  <cols>
    <col min="4" max="4" width="21.5703125" bestFit="1" customWidth="1"/>
    <col min="5" max="5" width="11.85546875" bestFit="1" customWidth="1"/>
    <col min="6" max="7" width="23" bestFit="1" customWidth="1"/>
    <col min="8" max="8" width="11.85546875" bestFit="1" customWidth="1"/>
    <col min="9" max="9" width="8.42578125" customWidth="1"/>
    <col min="10" max="10" width="11.85546875" bestFit="1" customWidth="1"/>
    <col min="11" max="11" width="23" bestFit="1" customWidth="1"/>
    <col min="12" max="12" width="11" bestFit="1" customWidth="1"/>
    <col min="14" max="14" width="11.85546875" bestFit="1" customWidth="1"/>
    <col min="15" max="15" width="22.140625" bestFit="1" customWidth="1"/>
    <col min="16" max="16" width="11" bestFit="1" customWidth="1"/>
  </cols>
  <sheetData>
    <row r="3" spans="3:20" x14ac:dyDescent="0.2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2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.75" thickBot="1" x14ac:dyDescent="0.3">
      <c r="C5" s="11"/>
      <c r="D5" s="11"/>
      <c r="E5" s="11"/>
      <c r="F5" s="20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.75" thickBot="1" x14ac:dyDescent="0.3">
      <c r="C6" s="264" t="s">
        <v>234</v>
      </c>
      <c r="D6" s="267" t="s">
        <v>238</v>
      </c>
      <c r="E6" s="204"/>
      <c r="F6" s="272" t="s">
        <v>235</v>
      </c>
      <c r="G6" s="272" t="s">
        <v>239</v>
      </c>
      <c r="H6" s="272" t="s">
        <v>237</v>
      </c>
      <c r="I6" s="204"/>
      <c r="J6" s="262" t="s">
        <v>235</v>
      </c>
      <c r="K6" s="262" t="s">
        <v>239</v>
      </c>
      <c r="L6" s="262" t="s">
        <v>237</v>
      </c>
      <c r="M6" s="258"/>
      <c r="N6" s="262" t="s">
        <v>235</v>
      </c>
      <c r="O6" s="266" t="s">
        <v>236</v>
      </c>
      <c r="P6" s="262" t="s">
        <v>237</v>
      </c>
      <c r="Q6" s="204"/>
      <c r="R6" s="11"/>
      <c r="S6" s="11"/>
      <c r="T6" s="11"/>
    </row>
    <row r="7" spans="3:20" x14ac:dyDescent="0.25">
      <c r="C7" s="276" t="s">
        <v>226</v>
      </c>
      <c r="D7" s="277">
        <f>1/8</f>
        <v>0.125</v>
      </c>
      <c r="E7" s="204"/>
      <c r="F7" s="278">
        <v>11</v>
      </c>
      <c r="G7" s="273">
        <v>0.15</v>
      </c>
      <c r="H7" s="279" t="s">
        <v>171</v>
      </c>
      <c r="I7" s="204"/>
      <c r="J7" s="276">
        <v>11</v>
      </c>
      <c r="K7" s="287"/>
      <c r="L7" s="291" t="s">
        <v>168</v>
      </c>
      <c r="M7" s="204"/>
      <c r="N7" s="204"/>
      <c r="O7" s="204"/>
      <c r="P7" s="204"/>
      <c r="Q7" s="204"/>
      <c r="R7" s="11"/>
      <c r="S7" s="11"/>
      <c r="T7" s="11"/>
    </row>
    <row r="8" spans="3:20" x14ac:dyDescent="0.25">
      <c r="C8" s="178" t="s">
        <v>227</v>
      </c>
      <c r="D8" s="280">
        <f t="shared" ref="D8:D14" si="0">1/8</f>
        <v>0.125</v>
      </c>
      <c r="E8" s="204"/>
      <c r="F8" s="281">
        <v>11</v>
      </c>
      <c r="G8" s="274">
        <v>0.15</v>
      </c>
      <c r="H8" s="282" t="s">
        <v>171</v>
      </c>
      <c r="I8" s="204"/>
      <c r="J8" s="178">
        <v>11</v>
      </c>
      <c r="K8" s="204"/>
      <c r="L8" s="289"/>
      <c r="M8" s="204"/>
      <c r="N8" s="204"/>
      <c r="O8" s="204"/>
      <c r="P8" s="204"/>
      <c r="Q8" s="204"/>
      <c r="R8" s="11"/>
      <c r="S8" s="11"/>
      <c r="T8" s="11"/>
    </row>
    <row r="9" spans="3:20" x14ac:dyDescent="0.25">
      <c r="C9" s="178" t="s">
        <v>228</v>
      </c>
      <c r="D9" s="280">
        <f t="shared" si="0"/>
        <v>0.125</v>
      </c>
      <c r="E9" s="204"/>
      <c r="F9" s="281">
        <v>11</v>
      </c>
      <c r="G9" s="274">
        <v>-0.15</v>
      </c>
      <c r="H9" s="282" t="s">
        <v>171</v>
      </c>
      <c r="I9" s="204"/>
      <c r="J9" s="178">
        <v>11</v>
      </c>
      <c r="K9" s="204"/>
      <c r="L9" s="289"/>
      <c r="M9" s="204"/>
      <c r="N9" s="204"/>
      <c r="O9" s="204"/>
      <c r="P9" s="204"/>
      <c r="Q9" s="204"/>
      <c r="R9" s="11"/>
      <c r="S9" s="11"/>
      <c r="T9" s="11"/>
    </row>
    <row r="10" spans="3:20" x14ac:dyDescent="0.25">
      <c r="C10" s="178" t="s">
        <v>229</v>
      </c>
      <c r="D10" s="280">
        <f t="shared" si="0"/>
        <v>0.125</v>
      </c>
      <c r="E10" s="204"/>
      <c r="F10" s="281">
        <v>11</v>
      </c>
      <c r="G10" s="274">
        <v>-0.15</v>
      </c>
      <c r="H10" s="282" t="s">
        <v>171</v>
      </c>
      <c r="I10" s="204"/>
      <c r="J10" s="178">
        <v>11</v>
      </c>
      <c r="K10" s="204"/>
      <c r="L10" s="289"/>
      <c r="M10" s="204"/>
      <c r="N10" s="204"/>
      <c r="O10" s="204"/>
      <c r="P10" s="204"/>
      <c r="Q10" s="204"/>
      <c r="R10" s="11"/>
      <c r="S10" s="11"/>
      <c r="T10" s="11"/>
    </row>
    <row r="11" spans="3:20" x14ac:dyDescent="0.25">
      <c r="C11" s="178" t="s">
        <v>230</v>
      </c>
      <c r="D11" s="280">
        <f t="shared" si="0"/>
        <v>0.125</v>
      </c>
      <c r="E11" s="204"/>
      <c r="F11" s="281">
        <v>11</v>
      </c>
      <c r="G11" s="274">
        <v>0.15</v>
      </c>
      <c r="H11" s="282" t="s">
        <v>171</v>
      </c>
      <c r="I11" s="204"/>
      <c r="J11" s="178">
        <v>11</v>
      </c>
      <c r="K11" s="204"/>
      <c r="L11" s="289"/>
      <c r="M11" s="204"/>
      <c r="N11" s="204"/>
      <c r="O11" s="204"/>
      <c r="P11" s="204"/>
      <c r="Q11" s="204"/>
      <c r="R11" s="11"/>
      <c r="S11" s="11"/>
      <c r="T11" s="11"/>
    </row>
    <row r="12" spans="3:20" x14ac:dyDescent="0.25">
      <c r="C12" s="178" t="s">
        <v>231</v>
      </c>
      <c r="D12" s="280">
        <f>1/8</f>
        <v>0.125</v>
      </c>
      <c r="E12" s="204"/>
      <c r="F12" s="281">
        <v>11</v>
      </c>
      <c r="G12" s="274">
        <v>0.15</v>
      </c>
      <c r="H12" s="282" t="s">
        <v>171</v>
      </c>
      <c r="I12" s="204"/>
      <c r="J12" s="178">
        <v>11</v>
      </c>
      <c r="K12" s="204"/>
      <c r="L12" s="289"/>
      <c r="M12" s="204"/>
      <c r="N12" s="204"/>
      <c r="O12" s="204"/>
      <c r="P12" s="204"/>
      <c r="Q12" s="204"/>
      <c r="R12" s="11"/>
      <c r="S12" s="11"/>
      <c r="T12" s="11"/>
    </row>
    <row r="13" spans="3:20" x14ac:dyDescent="0.25">
      <c r="C13" s="178" t="s">
        <v>232</v>
      </c>
      <c r="D13" s="280">
        <f t="shared" si="0"/>
        <v>0.125</v>
      </c>
      <c r="E13" s="204"/>
      <c r="F13" s="281">
        <v>11</v>
      </c>
      <c r="G13" s="274">
        <v>-0.15</v>
      </c>
      <c r="H13" s="282" t="s">
        <v>171</v>
      </c>
      <c r="I13" s="204"/>
      <c r="J13" s="178">
        <v>11</v>
      </c>
      <c r="K13" s="204"/>
      <c r="L13" s="289"/>
      <c r="M13" s="204"/>
      <c r="N13" s="204"/>
      <c r="O13" s="204"/>
      <c r="P13" s="204"/>
      <c r="Q13" s="204"/>
      <c r="R13" s="11"/>
      <c r="S13" s="11"/>
      <c r="T13" s="11"/>
    </row>
    <row r="14" spans="3:20" ht="15.75" thickBot="1" x14ac:dyDescent="0.3">
      <c r="C14" s="283" t="s">
        <v>233</v>
      </c>
      <c r="D14" s="284">
        <f t="shared" si="0"/>
        <v>0.125</v>
      </c>
      <c r="E14" s="204"/>
      <c r="F14" s="285">
        <v>11</v>
      </c>
      <c r="G14" s="275">
        <v>-0.15</v>
      </c>
      <c r="H14" s="286" t="s">
        <v>171</v>
      </c>
      <c r="I14" s="204"/>
      <c r="J14" s="283">
        <v>11</v>
      </c>
      <c r="K14" s="159"/>
      <c r="L14" s="290"/>
      <c r="M14" s="204"/>
      <c r="N14" s="204"/>
      <c r="O14" s="204"/>
      <c r="P14" s="204"/>
      <c r="Q14" s="204"/>
      <c r="R14" s="11"/>
      <c r="S14" s="11"/>
      <c r="T14" s="11"/>
    </row>
    <row r="15" spans="3:20" x14ac:dyDescent="0.25"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11"/>
      <c r="S15" s="11"/>
      <c r="T15" s="11"/>
    </row>
    <row r="16" spans="3:20" x14ac:dyDescent="0.25"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11"/>
      <c r="S16" s="11"/>
      <c r="T16" s="11"/>
    </row>
    <row r="17" spans="3:20" x14ac:dyDescent="0.2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2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2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2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.75" thickBot="1" x14ac:dyDescent="0.3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.75" thickBot="1" x14ac:dyDescent="0.3">
      <c r="C22" s="415" t="s">
        <v>240</v>
      </c>
      <c r="D22" s="416"/>
      <c r="E22" s="416"/>
      <c r="F22" s="417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.75" thickBot="1" x14ac:dyDescent="0.3">
      <c r="C23" s="268" t="s">
        <v>241</v>
      </c>
      <c r="D23" s="269" t="s">
        <v>242</v>
      </c>
      <c r="E23" s="268" t="s">
        <v>243</v>
      </c>
      <c r="F23" s="261" t="s">
        <v>238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25">
      <c r="C24" s="292">
        <v>11</v>
      </c>
      <c r="D24" s="293" t="s">
        <v>171</v>
      </c>
      <c r="E24" s="293">
        <v>0.15</v>
      </c>
      <c r="F24" s="16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25">
      <c r="C25" s="89"/>
      <c r="D25" s="270" t="s">
        <v>168</v>
      </c>
      <c r="E25" s="204">
        <v>0.1</v>
      </c>
      <c r="F25" s="88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25">
      <c r="C26" s="89"/>
      <c r="D26" s="270"/>
      <c r="E26" s="11"/>
      <c r="F26" s="88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25">
      <c r="C27" s="89"/>
      <c r="D27" s="270"/>
      <c r="E27" s="11"/>
      <c r="F27" s="88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25">
      <c r="C28" s="89"/>
      <c r="D28" s="270"/>
      <c r="E28" s="11"/>
      <c r="F28" s="88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25">
      <c r="C29" s="89"/>
      <c r="D29" s="270"/>
      <c r="E29" s="11"/>
      <c r="F29" s="88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25">
      <c r="C30" s="89"/>
      <c r="D30" s="270"/>
      <c r="E30" s="11"/>
      <c r="F30" s="88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25">
      <c r="C31" s="89"/>
      <c r="D31" s="270"/>
      <c r="E31" s="11"/>
      <c r="F31" s="88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25">
      <c r="C32" s="89"/>
      <c r="D32" s="270"/>
      <c r="E32" s="11"/>
      <c r="F32" s="88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25">
      <c r="C33" s="89"/>
      <c r="D33" s="11"/>
      <c r="E33" s="11"/>
      <c r="F33" s="88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25">
      <c r="C34" s="89"/>
      <c r="D34" s="11"/>
      <c r="E34" s="11"/>
      <c r="F34" s="88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25">
      <c r="C35" s="89"/>
      <c r="D35" s="11"/>
      <c r="E35" s="11"/>
      <c r="F35" s="88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.75" thickBot="1" x14ac:dyDescent="0.3">
      <c r="C36" s="263"/>
      <c r="D36" s="90"/>
      <c r="E36" s="90"/>
      <c r="F36" s="14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12" sqref="F12"/>
    </sheetView>
  </sheetViews>
  <sheetFormatPr baseColWidth="10" defaultColWidth="10.85546875" defaultRowHeight="15" x14ac:dyDescent="0.25"/>
  <cols>
    <col min="4" max="4" width="17.7109375" bestFit="1" customWidth="1"/>
    <col min="5" max="5" width="17" bestFit="1" customWidth="1"/>
    <col min="6" max="6" width="13" bestFit="1" customWidth="1"/>
    <col min="9" max="9" width="8.7109375" bestFit="1" customWidth="1"/>
  </cols>
  <sheetData>
    <row r="4" spans="3:17" ht="15.75" thickBot="1" x14ac:dyDescent="0.3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4">
      <c r="C5" s="11"/>
      <c r="D5" s="418" t="s">
        <v>111</v>
      </c>
      <c r="E5" s="419"/>
      <c r="F5" s="419"/>
      <c r="G5" s="419"/>
      <c r="H5" s="419"/>
      <c r="I5" s="419"/>
      <c r="J5" s="419"/>
      <c r="K5" s="419"/>
      <c r="L5" s="419"/>
      <c r="M5" s="419"/>
      <c r="N5" s="419"/>
      <c r="O5" s="420"/>
      <c r="P5" s="11"/>
      <c r="Q5" s="11"/>
    </row>
    <row r="6" spans="3:17" ht="18.75" x14ac:dyDescent="0.3">
      <c r="C6" s="11"/>
      <c r="D6" s="216" t="s">
        <v>1</v>
      </c>
      <c r="E6" s="207" t="s">
        <v>211</v>
      </c>
      <c r="F6" s="207" t="s">
        <v>449</v>
      </c>
      <c r="G6" s="156"/>
      <c r="H6" s="144"/>
      <c r="I6" s="144"/>
      <c r="J6" s="144"/>
      <c r="K6" s="144"/>
      <c r="L6" s="144"/>
      <c r="M6" s="144"/>
      <c r="N6" s="144"/>
      <c r="O6" s="145"/>
      <c r="P6" s="11"/>
      <c r="Q6" s="11"/>
    </row>
    <row r="7" spans="3:17" ht="18.75" x14ac:dyDescent="0.3">
      <c r="C7" s="11"/>
      <c r="D7" s="143" t="s">
        <v>100</v>
      </c>
      <c r="E7" s="146">
        <v>888</v>
      </c>
      <c r="F7" s="146">
        <v>777</v>
      </c>
      <c r="G7" s="146"/>
      <c r="H7" s="146"/>
      <c r="I7" s="146"/>
      <c r="J7" s="146"/>
      <c r="K7" s="146"/>
      <c r="L7" s="146"/>
      <c r="M7" s="146"/>
      <c r="N7" s="146"/>
      <c r="O7" s="147"/>
      <c r="P7" s="11"/>
      <c r="Q7" s="11"/>
    </row>
    <row r="8" spans="3:17" ht="15.75" thickBot="1" x14ac:dyDescent="0.3">
      <c r="C8" s="11"/>
      <c r="D8" s="173" t="s">
        <v>113</v>
      </c>
      <c r="E8" s="159">
        <v>2</v>
      </c>
      <c r="F8" s="159">
        <v>2</v>
      </c>
      <c r="G8" s="90"/>
      <c r="H8" s="90"/>
      <c r="I8" s="90"/>
      <c r="J8" s="90"/>
      <c r="K8" s="90"/>
      <c r="L8" s="90"/>
      <c r="M8" s="90"/>
      <c r="N8" s="90"/>
      <c r="O8" s="142"/>
      <c r="P8" s="11"/>
      <c r="Q8" s="11"/>
    </row>
    <row r="9" spans="3:17" ht="18.75" x14ac:dyDescent="0.3">
      <c r="C9" s="11"/>
      <c r="D9" s="143" t="s">
        <v>112</v>
      </c>
      <c r="E9" s="157">
        <v>200</v>
      </c>
      <c r="F9" s="146">
        <v>300</v>
      </c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.75" x14ac:dyDescent="0.3">
      <c r="C10" s="11"/>
      <c r="D10" s="143"/>
      <c r="E10" s="260">
        <v>210</v>
      </c>
      <c r="F10" s="146">
        <v>310</v>
      </c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.75" x14ac:dyDescent="0.3">
      <c r="C11" s="11"/>
      <c r="D11" s="143"/>
      <c r="E11" s="157">
        <v>240</v>
      </c>
      <c r="F11" s="146">
        <v>1100</v>
      </c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.75" x14ac:dyDescent="0.3">
      <c r="C12" s="11"/>
      <c r="D12" s="143"/>
      <c r="E12" s="157">
        <v>999</v>
      </c>
      <c r="F12" s="146"/>
      <c r="G12" s="146"/>
      <c r="H12" s="146"/>
      <c r="I12" s="146"/>
      <c r="J12" s="146"/>
      <c r="K12" s="146"/>
      <c r="L12" s="146"/>
      <c r="M12" s="146"/>
      <c r="N12" s="146"/>
      <c r="O12" s="147"/>
      <c r="P12" s="11"/>
      <c r="Q12" s="11"/>
    </row>
    <row r="13" spans="3:17" ht="18.75" x14ac:dyDescent="0.3">
      <c r="C13" s="11"/>
      <c r="D13" s="149"/>
      <c r="E13" s="260"/>
      <c r="F13" s="146"/>
      <c r="G13" s="146"/>
      <c r="H13" s="146"/>
      <c r="I13" s="146"/>
      <c r="J13" s="146"/>
      <c r="K13" s="146"/>
      <c r="L13" s="146"/>
      <c r="M13" s="146"/>
      <c r="N13" s="146"/>
      <c r="O13" s="147"/>
      <c r="P13" s="11"/>
      <c r="Q13" s="11"/>
    </row>
    <row r="14" spans="3:17" ht="18.75" x14ac:dyDescent="0.3">
      <c r="C14" s="11"/>
      <c r="D14" s="149"/>
      <c r="E14" s="157"/>
      <c r="F14" s="146"/>
      <c r="G14" s="146"/>
      <c r="H14" s="146"/>
      <c r="I14" s="146"/>
      <c r="J14" s="146"/>
      <c r="K14" s="151"/>
      <c r="L14" s="146"/>
      <c r="M14" s="146"/>
      <c r="N14" s="146"/>
      <c r="O14" s="147"/>
      <c r="P14" s="11"/>
      <c r="Q14" s="11"/>
    </row>
    <row r="15" spans="3:17" ht="18.75" x14ac:dyDescent="0.3">
      <c r="C15" s="11"/>
      <c r="D15" s="149"/>
      <c r="E15" s="157"/>
      <c r="F15" s="146"/>
      <c r="G15" s="146"/>
      <c r="H15" s="150"/>
      <c r="I15" s="146"/>
      <c r="J15" s="146"/>
      <c r="K15" s="151"/>
      <c r="L15" s="146"/>
      <c r="M15" s="146"/>
      <c r="N15" s="146"/>
      <c r="O15" s="147"/>
      <c r="P15" s="11"/>
      <c r="Q15" s="11"/>
    </row>
    <row r="16" spans="3:17" ht="18.75" x14ac:dyDescent="0.3">
      <c r="C16" s="11"/>
      <c r="D16" s="149"/>
      <c r="E16" s="157"/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17" ht="18.75" x14ac:dyDescent="0.3">
      <c r="C17" s="11"/>
      <c r="D17" s="149"/>
      <c r="E17" s="157"/>
      <c r="F17" s="146"/>
      <c r="G17" s="146"/>
      <c r="H17" s="146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17" ht="18.75" x14ac:dyDescent="0.3">
      <c r="C18" s="11"/>
      <c r="D18" s="149"/>
      <c r="E18" s="157"/>
      <c r="F18" s="146"/>
      <c r="G18" s="146"/>
      <c r="H18" s="152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17" ht="18.75" x14ac:dyDescent="0.3">
      <c r="C19" s="11"/>
      <c r="D19" s="149"/>
      <c r="E19" s="157"/>
      <c r="F19" s="146"/>
      <c r="G19" s="146"/>
      <c r="H19" s="152"/>
      <c r="I19" s="146"/>
      <c r="J19" s="146"/>
      <c r="K19" s="146"/>
      <c r="L19" s="146"/>
      <c r="M19" s="146"/>
      <c r="N19" s="146"/>
      <c r="O19" s="147"/>
      <c r="P19" s="11"/>
      <c r="Q19" s="11"/>
    </row>
    <row r="20" spans="3:17" ht="18.75" x14ac:dyDescent="0.3">
      <c r="C20" s="11"/>
      <c r="D20" s="149"/>
      <c r="E20" s="157"/>
      <c r="F20" s="146"/>
      <c r="G20" s="146"/>
      <c r="H20" s="146"/>
      <c r="I20" s="146"/>
      <c r="J20" s="146"/>
      <c r="K20" s="146"/>
      <c r="L20" s="146"/>
      <c r="M20" s="146"/>
      <c r="N20" s="146"/>
      <c r="O20" s="147"/>
      <c r="P20" s="11"/>
      <c r="Q20" s="11"/>
    </row>
    <row r="21" spans="3:17" ht="18.75" x14ac:dyDescent="0.3">
      <c r="C21" s="11"/>
      <c r="D21" s="149"/>
      <c r="E21" s="157"/>
      <c r="F21" s="146"/>
      <c r="G21" s="146"/>
      <c r="H21" s="146"/>
      <c r="I21" s="146"/>
      <c r="J21" s="146"/>
      <c r="K21" s="146"/>
      <c r="L21" s="146"/>
      <c r="M21" s="146"/>
      <c r="N21" s="146"/>
      <c r="O21" s="147"/>
      <c r="P21" s="11"/>
      <c r="Q21" s="11"/>
    </row>
    <row r="22" spans="3:17" ht="18.75" x14ac:dyDescent="0.3">
      <c r="C22" s="11"/>
      <c r="D22" s="149"/>
      <c r="E22" s="157"/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17" ht="19.5" thickBot="1" x14ac:dyDescent="0.35">
      <c r="C23" s="11"/>
      <c r="D23" s="153"/>
      <c r="E23" s="158"/>
      <c r="F23" s="154"/>
      <c r="G23" s="154"/>
      <c r="H23" s="154"/>
      <c r="I23" s="154"/>
      <c r="J23" s="154"/>
      <c r="K23" s="154"/>
      <c r="L23" s="154"/>
      <c r="M23" s="154"/>
      <c r="N23" s="154"/>
      <c r="O23" s="155"/>
      <c r="P23" s="11"/>
      <c r="Q23" s="11" t="s">
        <v>22</v>
      </c>
    </row>
    <row r="24" spans="3:17" x14ac:dyDescent="0.2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2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2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>
    <tabColor rgb="FFFF0000"/>
  </sheetPr>
  <dimension ref="A2:AI73"/>
  <sheetViews>
    <sheetView tabSelected="1" topLeftCell="A15" zoomScale="90" zoomScaleNormal="90" workbookViewId="0">
      <selection activeCell="B48" sqref="B48"/>
    </sheetView>
  </sheetViews>
  <sheetFormatPr baseColWidth="10" defaultColWidth="10.85546875" defaultRowHeight="15" x14ac:dyDescent="0.25"/>
  <cols>
    <col min="2" max="2" width="21.140625" bestFit="1" customWidth="1"/>
    <col min="3" max="3" width="14" bestFit="1" customWidth="1"/>
    <col min="4" max="4" width="16.5703125" bestFit="1" customWidth="1"/>
    <col min="5" max="5" width="15.7109375" customWidth="1"/>
    <col min="6" max="6" width="11.85546875" bestFit="1" customWidth="1"/>
    <col min="7" max="8" width="12.42578125" bestFit="1" customWidth="1"/>
    <col min="9" max="9" width="17.85546875" customWidth="1"/>
    <col min="10" max="11" width="16.5703125" bestFit="1" customWidth="1"/>
    <col min="12" max="12" width="12.28515625" bestFit="1" customWidth="1"/>
    <col min="13" max="13" width="12.7109375" bestFit="1" customWidth="1"/>
    <col min="14" max="14" width="11.7109375" bestFit="1" customWidth="1"/>
    <col min="15" max="15" width="13" customWidth="1"/>
    <col min="16" max="16" width="14.7109375" bestFit="1" customWidth="1"/>
    <col min="17" max="17" width="12.28515625" bestFit="1" customWidth="1"/>
    <col min="18" max="18" width="19.42578125" bestFit="1" customWidth="1"/>
    <col min="19" max="19" width="12.7109375" bestFit="1" customWidth="1"/>
    <col min="20" max="20" width="13.85546875" customWidth="1"/>
    <col min="21" max="21" width="20.5703125" bestFit="1" customWidth="1"/>
    <col min="24" max="24" width="16.5703125" bestFit="1" customWidth="1"/>
  </cols>
  <sheetData>
    <row r="2" spans="1:35" ht="15.75" thickBot="1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.75" thickBot="1" x14ac:dyDescent="0.3">
      <c r="A3" s="11"/>
      <c r="B3" s="415" t="s">
        <v>248</v>
      </c>
      <c r="C3" s="417"/>
      <c r="D3" s="11"/>
      <c r="E3" s="261" t="s">
        <v>255</v>
      </c>
      <c r="F3" s="296" t="s">
        <v>254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.75" thickBot="1" x14ac:dyDescent="0.3">
      <c r="A4" s="11"/>
      <c r="B4" s="271" t="s">
        <v>249</v>
      </c>
      <c r="C4" s="316">
        <v>2</v>
      </c>
      <c r="D4" s="11"/>
      <c r="E4" s="11" t="s">
        <v>454</v>
      </c>
      <c r="F4" s="11" t="s">
        <v>455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285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.75" thickBot="1" x14ac:dyDescent="0.3">
      <c r="A5" s="11"/>
      <c r="B5" s="89" t="s">
        <v>250</v>
      </c>
      <c r="C5" s="303" t="s">
        <v>286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64" t="s">
        <v>259</v>
      </c>
      <c r="S5" s="265"/>
      <c r="T5" s="299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.75" thickBot="1" x14ac:dyDescent="0.3">
      <c r="A6" s="11"/>
      <c r="B6" s="263"/>
      <c r="C6" s="142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8">
        <v>2</v>
      </c>
      <c r="S6" s="304" t="s">
        <v>283</v>
      </c>
      <c r="T6" s="88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2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8">
        <v>3</v>
      </c>
      <c r="S7" s="304" t="s">
        <v>282</v>
      </c>
      <c r="T7" s="88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.75" thickBot="1" x14ac:dyDescent="0.3">
      <c r="A8" s="11"/>
      <c r="B8" s="305" t="s">
        <v>264</v>
      </c>
      <c r="C8" s="11"/>
      <c r="D8" s="11"/>
      <c r="E8" s="11"/>
      <c r="F8" s="11"/>
      <c r="G8" s="11"/>
      <c r="H8" s="11"/>
      <c r="I8" s="11"/>
      <c r="J8" s="306" t="s">
        <v>266</v>
      </c>
      <c r="K8" s="11"/>
      <c r="L8" s="11"/>
      <c r="M8" s="11"/>
      <c r="N8" s="11"/>
      <c r="O8" s="11"/>
      <c r="P8" s="11"/>
      <c r="R8" s="178">
        <v>4</v>
      </c>
      <c r="S8" s="304" t="s">
        <v>287</v>
      </c>
      <c r="T8" s="88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.75" thickBot="1" x14ac:dyDescent="0.3">
      <c r="A9" s="11"/>
      <c r="B9" s="424" t="s">
        <v>273</v>
      </c>
      <c r="C9" s="425"/>
      <c r="D9" s="425"/>
      <c r="E9" s="425"/>
      <c r="F9" s="425"/>
      <c r="G9" s="266"/>
      <c r="H9" s="11"/>
      <c r="I9" s="11"/>
      <c r="J9" s="426" t="s">
        <v>274</v>
      </c>
      <c r="K9" s="427"/>
      <c r="L9" s="427"/>
      <c r="M9" s="427"/>
      <c r="N9" s="427"/>
      <c r="O9" s="265"/>
      <c r="P9" s="266"/>
      <c r="R9" s="263"/>
      <c r="S9" s="90" t="s">
        <v>261</v>
      </c>
      <c r="T9" s="142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.75" thickBot="1" x14ac:dyDescent="0.3">
      <c r="A10" s="11"/>
      <c r="B10" s="298" t="s">
        <v>257</v>
      </c>
      <c r="C10" s="300" t="s">
        <v>33</v>
      </c>
      <c r="D10" s="301" t="s">
        <v>260</v>
      </c>
      <c r="E10" s="429" t="s">
        <v>258</v>
      </c>
      <c r="F10" s="297" t="s">
        <v>262</v>
      </c>
      <c r="G10" s="430" t="s">
        <v>310</v>
      </c>
      <c r="H10" s="11"/>
      <c r="I10" s="11"/>
      <c r="J10" s="298" t="s">
        <v>257</v>
      </c>
      <c r="K10" s="298" t="s">
        <v>33</v>
      </c>
      <c r="L10" s="302" t="s">
        <v>256</v>
      </c>
      <c r="M10" s="298" t="s">
        <v>260</v>
      </c>
      <c r="N10" s="298" t="s">
        <v>258</v>
      </c>
      <c r="O10" s="298" t="s">
        <v>262</v>
      </c>
      <c r="P10" s="430" t="s">
        <v>310</v>
      </c>
      <c r="R10" s="11"/>
      <c r="S10" s="11"/>
      <c r="T10" s="305" t="s">
        <v>264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.75" thickBot="1" x14ac:dyDescent="0.3">
      <c r="A11" s="11"/>
      <c r="B11" s="292">
        <v>11</v>
      </c>
      <c r="C11" s="293" t="s">
        <v>171</v>
      </c>
      <c r="D11" s="330">
        <f>_xlfn.STDEV.P(8.7,12.4) / AVERAGE(8.7,12.4)</f>
        <v>0.17535545023696644</v>
      </c>
      <c r="E11" s="293">
        <v>1</v>
      </c>
      <c r="F11" s="276" t="s">
        <v>268</v>
      </c>
      <c r="G11" s="295" t="s">
        <v>464</v>
      </c>
      <c r="H11" s="11"/>
      <c r="I11" s="11"/>
      <c r="J11" s="178">
        <v>210</v>
      </c>
      <c r="K11" s="270" t="s">
        <v>171</v>
      </c>
      <c r="L11" s="204">
        <v>1</v>
      </c>
      <c r="M11" s="204">
        <v>0.28000000000000003</v>
      </c>
      <c r="N11" s="289">
        <v>3</v>
      </c>
      <c r="O11" s="297" t="s">
        <v>268</v>
      </c>
      <c r="P11" s="295" t="s">
        <v>464</v>
      </c>
      <c r="R11" s="317" t="s">
        <v>284</v>
      </c>
      <c r="S11" s="11"/>
      <c r="T11" s="318" t="s">
        <v>461</v>
      </c>
      <c r="U11" s="363"/>
      <c r="V11" s="363"/>
      <c r="W11" s="363"/>
      <c r="X11" s="363"/>
      <c r="Y11" s="363"/>
      <c r="Z11" s="299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.75" thickBot="1" x14ac:dyDescent="0.3">
      <c r="A12" s="11"/>
      <c r="B12" s="178">
        <v>11</v>
      </c>
      <c r="C12" s="270" t="s">
        <v>320</v>
      </c>
      <c r="D12" s="258">
        <v>0.18</v>
      </c>
      <c r="E12" s="204">
        <v>1</v>
      </c>
      <c r="F12" s="178" t="s">
        <v>267</v>
      </c>
      <c r="G12" s="297" t="s">
        <v>464</v>
      </c>
      <c r="H12" s="11"/>
      <c r="I12" s="11"/>
      <c r="J12" s="178"/>
      <c r="K12" s="270" t="s">
        <v>320</v>
      </c>
      <c r="L12" s="204">
        <v>1</v>
      </c>
      <c r="M12" s="204">
        <v>0.28000000000000003</v>
      </c>
      <c r="N12" s="289">
        <v>3</v>
      </c>
      <c r="O12" s="297" t="s">
        <v>267</v>
      </c>
      <c r="P12" s="297" t="s">
        <v>464</v>
      </c>
      <c r="R12" s="222" t="s">
        <v>280</v>
      </c>
      <c r="S12" s="11"/>
      <c r="T12" s="172" t="s">
        <v>257</v>
      </c>
      <c r="U12" s="283" t="s">
        <v>458</v>
      </c>
      <c r="V12" s="159"/>
      <c r="W12" s="159"/>
      <c r="X12" s="159"/>
      <c r="Y12" s="159"/>
      <c r="Z12" s="290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25">
      <c r="A13" s="11"/>
      <c r="B13" s="178">
        <v>11</v>
      </c>
      <c r="C13" s="270" t="s">
        <v>168</v>
      </c>
      <c r="D13" s="331">
        <f>_xlfn.STDEV.P(1.02, 2.92) / AVERAGE(1.02, 2.92)</f>
        <v>0.48223350253807096</v>
      </c>
      <c r="E13" s="204">
        <v>2</v>
      </c>
      <c r="F13" s="178" t="s">
        <v>268</v>
      </c>
      <c r="G13" s="297"/>
      <c r="H13" s="11"/>
      <c r="I13" s="11"/>
      <c r="J13" s="178"/>
      <c r="K13" s="270"/>
      <c r="L13" s="204"/>
      <c r="M13" s="204"/>
      <c r="N13" s="289"/>
      <c r="O13" s="297"/>
      <c r="P13" s="297"/>
      <c r="R13" s="222">
        <v>1</v>
      </c>
      <c r="S13" s="204"/>
      <c r="T13" s="271">
        <v>11</v>
      </c>
      <c r="U13" s="292" t="s">
        <v>14</v>
      </c>
      <c r="V13" s="293"/>
      <c r="W13" s="293"/>
      <c r="X13" s="293"/>
      <c r="Y13" s="293"/>
      <c r="Z13" s="365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25">
      <c r="A14" s="11"/>
      <c r="B14" s="178"/>
      <c r="C14" s="270"/>
      <c r="D14" s="204"/>
      <c r="E14" s="204"/>
      <c r="F14" s="178"/>
      <c r="G14" s="297"/>
      <c r="H14" s="11"/>
      <c r="I14" s="11"/>
      <c r="J14" s="178"/>
      <c r="K14" s="270"/>
      <c r="L14" s="204"/>
      <c r="M14" s="204"/>
      <c r="N14" s="289"/>
      <c r="O14" s="297"/>
      <c r="P14" s="297"/>
      <c r="R14" s="172">
        <v>0.5</v>
      </c>
      <c r="S14" s="11"/>
      <c r="T14" s="89"/>
      <c r="U14" s="89"/>
      <c r="V14" s="11"/>
      <c r="W14" s="11"/>
      <c r="X14" s="11"/>
      <c r="Y14" s="11"/>
      <c r="Z14" s="88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25">
      <c r="A15" s="11"/>
      <c r="B15" s="178"/>
      <c r="C15" s="270"/>
      <c r="D15" s="204"/>
      <c r="E15" s="204"/>
      <c r="F15" s="178"/>
      <c r="G15" s="297"/>
      <c r="H15" s="11"/>
      <c r="I15" s="11"/>
      <c r="J15" s="178"/>
      <c r="K15" s="270"/>
      <c r="L15" s="204"/>
      <c r="M15" s="204"/>
      <c r="N15" s="289"/>
      <c r="O15" s="297"/>
      <c r="P15" s="297"/>
      <c r="R15" s="172">
        <v>0</v>
      </c>
      <c r="S15" s="11"/>
      <c r="T15" s="89"/>
      <c r="U15" s="89"/>
      <c r="V15" s="11"/>
      <c r="W15" s="11"/>
      <c r="X15" s="11"/>
      <c r="Y15" s="11"/>
      <c r="Z15" s="88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25">
      <c r="A16" s="11"/>
      <c r="B16" s="178"/>
      <c r="C16" s="270"/>
      <c r="D16" s="204"/>
      <c r="E16" s="204"/>
      <c r="F16" s="178"/>
      <c r="G16" s="297"/>
      <c r="H16" s="11"/>
      <c r="I16" s="11"/>
      <c r="J16" s="178"/>
      <c r="K16" s="270"/>
      <c r="L16" s="204"/>
      <c r="M16" s="204"/>
      <c r="N16" s="289"/>
      <c r="O16" s="297"/>
      <c r="P16" s="297"/>
      <c r="R16" s="172">
        <v>-0.5</v>
      </c>
      <c r="S16" s="11"/>
      <c r="T16" s="89"/>
      <c r="U16" s="89"/>
      <c r="V16" s="11"/>
      <c r="W16" s="11"/>
      <c r="X16" s="11"/>
      <c r="Y16" s="11"/>
      <c r="Z16" s="88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25">
      <c r="A17" s="11"/>
      <c r="B17" s="178"/>
      <c r="C17" s="270"/>
      <c r="D17" s="204"/>
      <c r="E17" s="204"/>
      <c r="F17" s="178"/>
      <c r="G17" s="297"/>
      <c r="H17" s="11"/>
      <c r="I17" s="11"/>
      <c r="J17" s="178"/>
      <c r="K17" s="270"/>
      <c r="L17" s="204"/>
      <c r="M17" s="204"/>
      <c r="N17" s="289"/>
      <c r="O17" s="297"/>
      <c r="P17" s="297"/>
      <c r="R17" s="172">
        <v>-1</v>
      </c>
      <c r="S17" s="11"/>
      <c r="T17" s="89"/>
      <c r="U17" s="89"/>
      <c r="V17" s="11"/>
      <c r="W17" s="11"/>
      <c r="X17" s="11"/>
      <c r="Y17" s="11"/>
      <c r="Z17" s="88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25">
      <c r="A18" s="11"/>
      <c r="B18" s="178"/>
      <c r="C18" s="270"/>
      <c r="D18" s="204"/>
      <c r="E18" s="204"/>
      <c r="F18" s="178"/>
      <c r="G18" s="297"/>
      <c r="H18" s="11"/>
      <c r="I18" s="11"/>
      <c r="J18" s="178"/>
      <c r="K18" s="270"/>
      <c r="L18" s="204"/>
      <c r="M18" s="204"/>
      <c r="N18" s="289"/>
      <c r="O18" s="297"/>
      <c r="P18" s="297"/>
      <c r="R18" s="172"/>
      <c r="S18" s="11"/>
      <c r="T18" s="89"/>
      <c r="U18" s="89"/>
      <c r="V18" s="11"/>
      <c r="W18" s="11"/>
      <c r="X18" s="11"/>
      <c r="Y18" s="11"/>
      <c r="Z18" s="88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25">
      <c r="A19" s="11"/>
      <c r="B19" s="178"/>
      <c r="C19" s="270"/>
      <c r="D19" s="204"/>
      <c r="E19" s="204"/>
      <c r="F19" s="178"/>
      <c r="G19" s="297"/>
      <c r="H19" s="11"/>
      <c r="I19" s="11"/>
      <c r="J19" s="178"/>
      <c r="K19" s="270"/>
      <c r="L19" s="204"/>
      <c r="M19" s="204"/>
      <c r="N19" s="289"/>
      <c r="O19" s="297"/>
      <c r="P19" s="297"/>
      <c r="R19" s="172"/>
      <c r="S19" s="11"/>
      <c r="T19" s="89"/>
      <c r="U19" s="89"/>
      <c r="V19" s="11"/>
      <c r="W19" s="11"/>
      <c r="X19" s="11"/>
      <c r="Y19" s="11"/>
      <c r="Z19" s="88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.75" thickBot="1" x14ac:dyDescent="0.3">
      <c r="A20" s="11"/>
      <c r="B20" s="178"/>
      <c r="C20" s="270"/>
      <c r="D20" s="204"/>
      <c r="E20" s="204"/>
      <c r="F20" s="178"/>
      <c r="G20" s="297"/>
      <c r="H20" s="11"/>
      <c r="I20" s="11"/>
      <c r="J20" s="178"/>
      <c r="K20" s="270"/>
      <c r="L20" s="204"/>
      <c r="M20" s="204"/>
      <c r="N20" s="289"/>
      <c r="O20" s="297"/>
      <c r="P20" s="297"/>
      <c r="R20" s="223"/>
      <c r="S20" s="11"/>
      <c r="T20" s="364"/>
      <c r="U20" s="263"/>
      <c r="V20" s="90"/>
      <c r="W20" s="90"/>
      <c r="X20" s="90"/>
      <c r="Y20" s="90"/>
      <c r="Z20" s="142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 x14ac:dyDescent="0.25">
      <c r="A21" s="11"/>
      <c r="B21" s="178"/>
      <c r="C21" s="270"/>
      <c r="D21" s="204"/>
      <c r="E21" s="204"/>
      <c r="F21" s="178"/>
      <c r="G21" s="297"/>
      <c r="H21" s="11"/>
      <c r="I21" s="11"/>
      <c r="J21" s="178"/>
      <c r="K21" s="270"/>
      <c r="L21" s="204"/>
      <c r="M21" s="204"/>
      <c r="N21" s="289"/>
      <c r="O21" s="297"/>
      <c r="P21" s="297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25">
      <c r="A22" s="11"/>
      <c r="B22" s="178"/>
      <c r="C22" s="270"/>
      <c r="D22" s="204"/>
      <c r="E22" s="204"/>
      <c r="F22" s="178"/>
      <c r="G22" s="297"/>
      <c r="H22" s="11"/>
      <c r="I22" s="11"/>
      <c r="J22" s="178"/>
      <c r="K22" s="270"/>
      <c r="L22" s="204"/>
      <c r="M22" s="204"/>
      <c r="N22" s="289"/>
      <c r="O22" s="297"/>
      <c r="P22" s="297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.75" thickBot="1" x14ac:dyDescent="0.3">
      <c r="A23" s="11"/>
      <c r="B23" s="283"/>
      <c r="C23" s="294"/>
      <c r="D23" s="159"/>
      <c r="E23" s="159"/>
      <c r="F23" s="283"/>
      <c r="G23" s="298"/>
      <c r="H23" s="11"/>
      <c r="I23" s="11"/>
      <c r="J23" s="283"/>
      <c r="K23" s="159"/>
      <c r="L23" s="159"/>
      <c r="M23" s="159"/>
      <c r="N23" s="290"/>
      <c r="O23" s="298"/>
      <c r="P23" s="298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25">
      <c r="A24" s="11"/>
      <c r="B24" s="204"/>
      <c r="C24" s="204"/>
      <c r="D24" s="204"/>
      <c r="E24" s="204"/>
      <c r="F24" s="204"/>
      <c r="G24" s="204"/>
      <c r="H24" s="11"/>
      <c r="I24" s="11"/>
      <c r="J24" s="204"/>
      <c r="K24" s="204"/>
      <c r="L24" s="204"/>
      <c r="M24" s="204"/>
      <c r="N24" s="204"/>
      <c r="O24" s="204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25">
      <c r="A25" s="11"/>
      <c r="B25" s="204"/>
      <c r="C25" s="204"/>
      <c r="D25" s="204"/>
      <c r="E25" s="204"/>
      <c r="F25" s="204"/>
      <c r="G25" s="204"/>
      <c r="H25" s="11"/>
      <c r="I25" s="204"/>
      <c r="J25" s="204"/>
      <c r="K25" s="204"/>
      <c r="L25" s="204"/>
      <c r="M25" s="204"/>
      <c r="N25" s="204"/>
      <c r="O25" s="204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.75" thickBot="1" x14ac:dyDescent="0.3">
      <c r="A26" s="11"/>
      <c r="B26" s="306" t="s">
        <v>270</v>
      </c>
      <c r="C26" s="204"/>
      <c r="D26" s="204"/>
      <c r="E26" s="204"/>
      <c r="F26" s="204"/>
      <c r="G26" s="204"/>
      <c r="H26" s="204"/>
      <c r="I26" s="11"/>
      <c r="J26" s="306" t="s">
        <v>266</v>
      </c>
      <c r="K26" s="204"/>
      <c r="L26" s="204"/>
      <c r="M26" s="204"/>
      <c r="N26" s="204"/>
      <c r="O26" s="204"/>
      <c r="P26" s="204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.75" thickBot="1" x14ac:dyDescent="0.3">
      <c r="A27" s="11"/>
      <c r="B27" s="264" t="s">
        <v>271</v>
      </c>
      <c r="C27" s="265"/>
      <c r="D27" s="265"/>
      <c r="E27" s="265"/>
      <c r="F27" s="265"/>
      <c r="G27" s="265"/>
      <c r="H27" s="266"/>
      <c r="I27" s="11"/>
      <c r="J27" s="426" t="s">
        <v>272</v>
      </c>
      <c r="K27" s="427"/>
      <c r="L27" s="427"/>
      <c r="M27" s="427"/>
      <c r="N27" s="427"/>
      <c r="O27" s="428"/>
      <c r="P27" s="262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.75" thickBot="1" x14ac:dyDescent="0.3">
      <c r="A28" s="11"/>
      <c r="B28" s="298" t="s">
        <v>257</v>
      </c>
      <c r="C28" s="429" t="s">
        <v>296</v>
      </c>
      <c r="D28" s="298" t="s">
        <v>33</v>
      </c>
      <c r="E28" s="429" t="s">
        <v>260</v>
      </c>
      <c r="F28" s="298" t="s">
        <v>258</v>
      </c>
      <c r="G28" s="297" t="s">
        <v>262</v>
      </c>
      <c r="H28" s="430" t="s">
        <v>310</v>
      </c>
      <c r="I28" s="11"/>
      <c r="J28" s="295" t="s">
        <v>257</v>
      </c>
      <c r="K28" s="262" t="s">
        <v>33</v>
      </c>
      <c r="L28" s="267" t="s">
        <v>256</v>
      </c>
      <c r="M28" s="288" t="s">
        <v>260</v>
      </c>
      <c r="N28" s="295" t="s">
        <v>258</v>
      </c>
      <c r="O28" s="295" t="s">
        <v>262</v>
      </c>
      <c r="P28" s="327" t="s">
        <v>310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25">
      <c r="A29" t="s">
        <v>462</v>
      </c>
      <c r="B29" s="276">
        <v>220</v>
      </c>
      <c r="C29" s="287">
        <v>320</v>
      </c>
      <c r="D29" s="293" t="s">
        <v>168</v>
      </c>
      <c r="E29" s="287">
        <v>0.6</v>
      </c>
      <c r="F29" s="288">
        <v>4</v>
      </c>
      <c r="G29" s="288" t="s">
        <v>268</v>
      </c>
      <c r="H29" s="295" t="s">
        <v>464</v>
      </c>
      <c r="I29" s="11"/>
      <c r="J29" s="276"/>
      <c r="K29" s="270"/>
      <c r="L29" s="204"/>
      <c r="M29" s="287"/>
      <c r="N29" s="287"/>
      <c r="O29" s="295"/>
      <c r="P29" s="295" t="s">
        <v>464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25">
      <c r="A30" t="s">
        <v>463</v>
      </c>
      <c r="B30" s="178">
        <v>230</v>
      </c>
      <c r="C30" s="204">
        <v>330</v>
      </c>
      <c r="D30" s="270" t="s">
        <v>168</v>
      </c>
      <c r="E30" s="204">
        <v>0.19</v>
      </c>
      <c r="F30" s="289">
        <v>4</v>
      </c>
      <c r="G30" s="289" t="s">
        <v>267</v>
      </c>
      <c r="H30" s="297" t="s">
        <v>464</v>
      </c>
      <c r="I30" s="11"/>
      <c r="J30" s="178"/>
      <c r="K30" s="270"/>
      <c r="L30" s="204"/>
      <c r="M30" s="204"/>
      <c r="N30" s="204"/>
      <c r="O30" s="297"/>
      <c r="P30" s="297" t="s">
        <v>464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25">
      <c r="A31" s="11"/>
      <c r="B31" s="178"/>
      <c r="C31" s="204"/>
      <c r="D31" s="270"/>
      <c r="E31" s="204"/>
      <c r="F31" s="289"/>
      <c r="G31" s="289"/>
      <c r="H31" s="297"/>
      <c r="I31" s="11"/>
      <c r="J31" s="178"/>
      <c r="K31" s="270"/>
      <c r="L31" s="204"/>
      <c r="M31" s="204"/>
      <c r="N31" s="204"/>
      <c r="O31" s="297"/>
      <c r="P31" s="297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25">
      <c r="A32" s="11"/>
      <c r="B32" s="178"/>
      <c r="C32" s="11"/>
      <c r="D32" s="270"/>
      <c r="E32" s="204"/>
      <c r="F32" s="289"/>
      <c r="G32" s="289"/>
      <c r="H32" s="297"/>
      <c r="I32" s="11"/>
      <c r="J32" s="178"/>
      <c r="K32" s="270"/>
      <c r="L32" s="204"/>
      <c r="M32" s="204"/>
      <c r="N32" s="204"/>
      <c r="O32" s="297"/>
      <c r="P32" s="297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25">
      <c r="A33" s="11"/>
      <c r="B33" s="178"/>
      <c r="C33" s="11"/>
      <c r="D33" s="270"/>
      <c r="E33" s="204"/>
      <c r="F33" s="289"/>
      <c r="G33" s="289"/>
      <c r="H33" s="297"/>
      <c r="I33" s="11"/>
      <c r="J33" s="178"/>
      <c r="K33" s="270"/>
      <c r="L33" s="204"/>
      <c r="M33" s="204"/>
      <c r="N33" s="204"/>
      <c r="O33" s="297"/>
      <c r="P33" s="297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25">
      <c r="A34" s="11"/>
      <c r="B34" s="178"/>
      <c r="C34" s="11"/>
      <c r="D34" s="270"/>
      <c r="E34" s="204"/>
      <c r="F34" s="289"/>
      <c r="G34" s="289"/>
      <c r="H34" s="297"/>
      <c r="I34" s="11"/>
      <c r="J34" s="178"/>
      <c r="K34" s="270"/>
      <c r="L34" s="204"/>
      <c r="M34" s="204"/>
      <c r="N34" s="204"/>
      <c r="O34" s="297"/>
      <c r="P34" s="297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25">
      <c r="A35" s="11"/>
      <c r="B35" s="178"/>
      <c r="C35" s="11"/>
      <c r="D35" s="270"/>
      <c r="E35" s="204"/>
      <c r="F35" s="289"/>
      <c r="G35" s="289"/>
      <c r="H35" s="297"/>
      <c r="I35" s="11"/>
      <c r="J35" s="178"/>
      <c r="K35" s="270"/>
      <c r="L35" s="204"/>
      <c r="M35" s="204"/>
      <c r="N35" s="204"/>
      <c r="O35" s="297"/>
      <c r="P35" s="297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25">
      <c r="A36" s="11"/>
      <c r="B36" s="178"/>
      <c r="C36" s="11"/>
      <c r="D36" s="270"/>
      <c r="E36" s="204"/>
      <c r="F36" s="289"/>
      <c r="G36" s="289"/>
      <c r="H36" s="297"/>
      <c r="I36" s="11"/>
      <c r="J36" s="178"/>
      <c r="K36" s="270"/>
      <c r="L36" s="204"/>
      <c r="M36" s="204"/>
      <c r="N36" s="204"/>
      <c r="O36" s="297"/>
      <c r="P36" s="297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25">
      <c r="A37" s="11"/>
      <c r="B37" s="178"/>
      <c r="C37" s="11"/>
      <c r="D37" s="270"/>
      <c r="E37" s="204"/>
      <c r="F37" s="289"/>
      <c r="G37" s="289"/>
      <c r="H37" s="297"/>
      <c r="I37" s="11"/>
      <c r="J37" s="178"/>
      <c r="K37" s="270"/>
      <c r="L37" s="204"/>
      <c r="M37" s="204"/>
      <c r="N37" s="204"/>
      <c r="O37" s="297"/>
      <c r="P37" s="297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25">
      <c r="A38" s="11"/>
      <c r="B38" s="178"/>
      <c r="C38" s="11"/>
      <c r="D38" s="270"/>
      <c r="E38" s="204"/>
      <c r="F38" s="289"/>
      <c r="G38" s="289"/>
      <c r="H38" s="297"/>
      <c r="I38" s="11"/>
      <c r="J38" s="178"/>
      <c r="K38" s="270"/>
      <c r="L38" s="204"/>
      <c r="M38" s="204"/>
      <c r="N38" s="204"/>
      <c r="O38" s="297"/>
      <c r="P38" s="297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25">
      <c r="B39" s="325"/>
      <c r="C39" s="11"/>
      <c r="D39" s="270"/>
      <c r="E39" s="204"/>
      <c r="F39" s="289"/>
      <c r="G39" s="289"/>
      <c r="H39" s="297"/>
      <c r="I39" s="11"/>
      <c r="J39" s="178"/>
      <c r="K39" s="270"/>
      <c r="L39" s="204"/>
      <c r="M39" s="204"/>
      <c r="N39" s="204"/>
      <c r="O39" s="297"/>
      <c r="P39" s="297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25">
      <c r="B40" s="178"/>
      <c r="C40" s="11"/>
      <c r="D40" s="270"/>
      <c r="E40" s="204"/>
      <c r="F40" s="289"/>
      <c r="G40" s="289"/>
      <c r="H40" s="297"/>
      <c r="I40" s="11"/>
      <c r="J40" s="178"/>
      <c r="K40" s="270"/>
      <c r="L40" s="204"/>
      <c r="M40" s="204"/>
      <c r="N40" s="204"/>
      <c r="O40" s="297"/>
      <c r="P40" s="297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.75" thickBot="1" x14ac:dyDescent="0.3">
      <c r="A41" s="11"/>
      <c r="B41" s="283"/>
      <c r="C41" s="90"/>
      <c r="D41" s="159"/>
      <c r="E41" s="159"/>
      <c r="F41" s="290"/>
      <c r="G41" s="290"/>
      <c r="H41" s="298"/>
      <c r="I41" s="11"/>
      <c r="J41" s="283"/>
      <c r="K41" s="159"/>
      <c r="L41" s="159"/>
      <c r="M41" s="159"/>
      <c r="N41" s="159"/>
      <c r="O41" s="298"/>
      <c r="P41" s="298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25">
      <c r="A42" s="11"/>
      <c r="B42" s="11"/>
      <c r="C42" s="11"/>
      <c r="D42" s="11"/>
      <c r="E42" s="11"/>
      <c r="F42" s="11"/>
      <c r="G42" s="204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.75" thickBot="1" x14ac:dyDescent="0.3">
      <c r="A45" s="11"/>
      <c r="B45" s="306" t="s">
        <v>265</v>
      </c>
      <c r="C45" s="11"/>
      <c r="D45" s="11"/>
      <c r="E45" s="11"/>
      <c r="F45" s="11"/>
      <c r="G45" s="11"/>
      <c r="H45" s="11"/>
      <c r="I45" s="306" t="s">
        <v>276</v>
      </c>
      <c r="J45" s="11"/>
      <c r="K45" s="11"/>
      <c r="L45" s="11"/>
      <c r="M45" s="11"/>
      <c r="O45" s="306" t="s">
        <v>277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.75" thickBot="1" x14ac:dyDescent="0.3">
      <c r="A46" s="11"/>
      <c r="B46" s="421" t="s">
        <v>263</v>
      </c>
      <c r="C46" s="422"/>
      <c r="D46" s="422"/>
      <c r="E46" s="422"/>
      <c r="F46" s="422"/>
      <c r="G46" s="423"/>
      <c r="H46" s="11"/>
      <c r="I46" s="421" t="s">
        <v>278</v>
      </c>
      <c r="J46" s="422"/>
      <c r="K46" s="422"/>
      <c r="L46" s="423"/>
      <c r="M46" s="317"/>
      <c r="O46" s="426" t="s">
        <v>279</v>
      </c>
      <c r="P46" s="427"/>
      <c r="Q46" s="427"/>
      <c r="R46" s="428"/>
      <c r="S46" s="317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.75" thickBot="1" x14ac:dyDescent="0.3">
      <c r="A47" s="11"/>
      <c r="B47" s="297" t="s">
        <v>257</v>
      </c>
      <c r="C47" s="297" t="s">
        <v>33</v>
      </c>
      <c r="D47" s="289" t="s">
        <v>260</v>
      </c>
      <c r="E47" s="297" t="s">
        <v>258</v>
      </c>
      <c r="F47" s="297" t="s">
        <v>262</v>
      </c>
      <c r="G47" s="430" t="s">
        <v>310</v>
      </c>
      <c r="H47" s="11"/>
      <c r="I47" s="295" t="s">
        <v>257</v>
      </c>
      <c r="J47" s="288" t="s">
        <v>260</v>
      </c>
      <c r="K47" s="295" t="s">
        <v>258</v>
      </c>
      <c r="L47" s="295" t="s">
        <v>262</v>
      </c>
      <c r="M47" s="327" t="s">
        <v>310</v>
      </c>
      <c r="O47" s="262" t="s">
        <v>257</v>
      </c>
      <c r="P47" s="266" t="s">
        <v>260</v>
      </c>
      <c r="Q47" s="262" t="s">
        <v>258</v>
      </c>
      <c r="R47" s="295" t="s">
        <v>262</v>
      </c>
      <c r="S47" s="327" t="s">
        <v>310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25">
      <c r="A48" s="11"/>
      <c r="B48" s="276"/>
      <c r="C48" s="293"/>
      <c r="D48" s="287"/>
      <c r="E48" s="287"/>
      <c r="F48" s="295"/>
      <c r="G48" s="295" t="s">
        <v>464</v>
      </c>
      <c r="H48" s="11"/>
      <c r="I48" s="276"/>
      <c r="J48" s="287"/>
      <c r="K48" s="288"/>
      <c r="L48" s="295"/>
      <c r="M48" s="295" t="s">
        <v>464</v>
      </c>
      <c r="O48" s="276">
        <v>2000</v>
      </c>
      <c r="P48" s="330">
        <v>7.1999999999999995E-2</v>
      </c>
      <c r="Q48" s="288">
        <v>5</v>
      </c>
      <c r="R48" s="295" t="s">
        <v>268</v>
      </c>
      <c r="S48" s="295" t="s">
        <v>464</v>
      </c>
      <c r="T48" s="368"/>
      <c r="U48" s="11"/>
      <c r="V48" s="11"/>
      <c r="W48" s="11"/>
      <c r="X48" s="11"/>
      <c r="Y48" s="11"/>
      <c r="Z48" s="11"/>
      <c r="AA48" s="11"/>
      <c r="AB48" s="11"/>
    </row>
    <row r="49" spans="1:30" x14ac:dyDescent="0.25">
      <c r="A49" s="11"/>
      <c r="B49" s="178"/>
      <c r="C49" s="270"/>
      <c r="D49" s="204"/>
      <c r="E49" s="204"/>
      <c r="F49" s="297"/>
      <c r="G49" s="297" t="s">
        <v>464</v>
      </c>
      <c r="H49" s="11"/>
      <c r="I49" s="178"/>
      <c r="J49" s="204"/>
      <c r="K49" s="289"/>
      <c r="L49" s="297"/>
      <c r="M49" s="297" t="s">
        <v>464</v>
      </c>
      <c r="O49" s="178">
        <v>3000</v>
      </c>
      <c r="P49" s="204">
        <v>0.41</v>
      </c>
      <c r="Q49" s="289">
        <v>5</v>
      </c>
      <c r="R49" s="297" t="s">
        <v>267</v>
      </c>
      <c r="S49" s="297" t="s">
        <v>464</v>
      </c>
      <c r="T49" s="204"/>
      <c r="U49" s="11"/>
      <c r="V49" s="11"/>
      <c r="W49" s="11"/>
      <c r="X49" s="11"/>
      <c r="Y49" s="11"/>
      <c r="Z49" s="11"/>
      <c r="AA49" s="11"/>
      <c r="AB49" s="11"/>
    </row>
    <row r="50" spans="1:30" x14ac:dyDescent="0.25">
      <c r="A50" s="11"/>
      <c r="B50" s="178"/>
      <c r="C50" s="270"/>
      <c r="D50" s="204"/>
      <c r="E50" s="204"/>
      <c r="F50" s="297"/>
      <c r="G50" s="297"/>
      <c r="H50" s="11"/>
      <c r="I50" s="178"/>
      <c r="J50" s="204"/>
      <c r="K50" s="289"/>
      <c r="L50" s="297"/>
      <c r="M50" s="297"/>
      <c r="O50" s="178">
        <v>4000</v>
      </c>
      <c r="P50" s="204">
        <v>0.11</v>
      </c>
      <c r="Q50" s="289">
        <v>5</v>
      </c>
      <c r="R50" s="297" t="s">
        <v>267</v>
      </c>
      <c r="S50" s="297"/>
      <c r="T50" s="204"/>
      <c r="U50" s="11"/>
      <c r="V50" s="11"/>
      <c r="W50" s="11"/>
      <c r="X50" s="11"/>
      <c r="Y50" s="11"/>
      <c r="Z50" s="11"/>
      <c r="AA50" s="11"/>
      <c r="AB50" s="11"/>
    </row>
    <row r="51" spans="1:30" x14ac:dyDescent="0.25">
      <c r="A51" s="11"/>
      <c r="B51" s="178"/>
      <c r="C51" s="270"/>
      <c r="D51" s="204"/>
      <c r="E51" s="204"/>
      <c r="F51" s="297"/>
      <c r="G51" s="297"/>
      <c r="H51" s="11"/>
      <c r="I51" s="178"/>
      <c r="J51" s="204"/>
      <c r="K51" s="289"/>
      <c r="L51" s="297"/>
      <c r="M51" s="297"/>
      <c r="O51" s="178">
        <v>5000</v>
      </c>
      <c r="P51" s="204">
        <v>0.13</v>
      </c>
      <c r="Q51" s="289">
        <v>5</v>
      </c>
      <c r="R51" s="297" t="s">
        <v>267</v>
      </c>
      <c r="S51" s="297"/>
      <c r="T51" s="204"/>
      <c r="U51" s="11"/>
      <c r="V51" s="11"/>
      <c r="W51" s="11"/>
      <c r="X51" s="11"/>
      <c r="Y51" s="11"/>
      <c r="Z51" s="11"/>
      <c r="AA51" s="11"/>
      <c r="AB51" s="11"/>
    </row>
    <row r="52" spans="1:30" x14ac:dyDescent="0.25">
      <c r="A52" s="11"/>
      <c r="B52" s="178"/>
      <c r="C52" s="270"/>
      <c r="D52" s="204"/>
      <c r="E52" s="204"/>
      <c r="F52" s="297"/>
      <c r="G52" s="297"/>
      <c r="H52" s="11"/>
      <c r="I52" s="178"/>
      <c r="J52" s="204"/>
      <c r="K52" s="289"/>
      <c r="L52" s="297"/>
      <c r="M52" s="297"/>
      <c r="O52" s="178"/>
      <c r="P52" s="204"/>
      <c r="Q52" s="289"/>
      <c r="R52" s="297"/>
      <c r="S52" s="297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25">
      <c r="A53" s="11"/>
      <c r="B53" s="178"/>
      <c r="C53" s="270"/>
      <c r="D53" s="204"/>
      <c r="E53" s="204"/>
      <c r="F53" s="297"/>
      <c r="G53" s="297"/>
      <c r="H53" s="11"/>
      <c r="I53" s="178"/>
      <c r="J53" s="204"/>
      <c r="K53" s="289"/>
      <c r="L53" s="297"/>
      <c r="M53" s="297"/>
      <c r="O53" s="178"/>
      <c r="P53" s="204"/>
      <c r="Q53" s="289"/>
      <c r="R53" s="297"/>
      <c r="S53" s="297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25">
      <c r="A54" s="11"/>
      <c r="B54" s="178"/>
      <c r="C54" s="270"/>
      <c r="D54" s="204"/>
      <c r="E54" s="204"/>
      <c r="F54" s="297"/>
      <c r="G54" s="297"/>
      <c r="H54" s="11"/>
      <c r="I54" s="178"/>
      <c r="J54" s="204"/>
      <c r="K54" s="289"/>
      <c r="L54" s="297"/>
      <c r="M54" s="297"/>
      <c r="O54" s="178"/>
      <c r="P54" s="204"/>
      <c r="Q54" s="289"/>
      <c r="R54" s="297"/>
      <c r="S54" s="297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25">
      <c r="A55" s="11"/>
      <c r="B55" s="178"/>
      <c r="C55" s="270"/>
      <c r="D55" s="204"/>
      <c r="E55" s="204"/>
      <c r="F55" s="297"/>
      <c r="G55" s="297"/>
      <c r="H55" s="11"/>
      <c r="I55" s="178"/>
      <c r="J55" s="204"/>
      <c r="K55" s="289"/>
      <c r="L55" s="297"/>
      <c r="M55" s="297"/>
      <c r="O55" s="178"/>
      <c r="P55" s="204"/>
      <c r="Q55" s="289"/>
      <c r="R55" s="297"/>
      <c r="S55" s="297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25">
      <c r="A56" s="11"/>
      <c r="B56" s="178"/>
      <c r="C56" s="270"/>
      <c r="D56" s="204"/>
      <c r="E56" s="204"/>
      <c r="F56" s="297"/>
      <c r="G56" s="297"/>
      <c r="H56" s="11"/>
      <c r="I56" s="178"/>
      <c r="J56" s="204"/>
      <c r="K56" s="289"/>
      <c r="L56" s="297"/>
      <c r="M56" s="297"/>
      <c r="O56" s="178"/>
      <c r="P56" s="204"/>
      <c r="Q56" s="289"/>
      <c r="R56" s="297"/>
      <c r="S56" s="297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25">
      <c r="A57" s="11"/>
      <c r="B57" s="178"/>
      <c r="C57" s="270"/>
      <c r="D57" s="204"/>
      <c r="E57" s="204"/>
      <c r="F57" s="297"/>
      <c r="G57" s="297"/>
      <c r="H57" s="11"/>
      <c r="I57" s="178"/>
      <c r="J57" s="204"/>
      <c r="K57" s="289"/>
      <c r="L57" s="297"/>
      <c r="M57" s="297"/>
      <c r="O57" s="178"/>
      <c r="P57" s="204"/>
      <c r="Q57" s="289"/>
      <c r="R57" s="297"/>
      <c r="S57" s="297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25">
      <c r="A58" s="11"/>
      <c r="B58" s="178"/>
      <c r="C58" s="270"/>
      <c r="D58" s="204"/>
      <c r="E58" s="204"/>
      <c r="F58" s="297"/>
      <c r="G58" s="297"/>
      <c r="H58" s="11"/>
      <c r="I58" s="178"/>
      <c r="J58" s="204"/>
      <c r="K58" s="289"/>
      <c r="L58" s="297"/>
      <c r="M58" s="297"/>
      <c r="O58" s="178"/>
      <c r="P58" s="204"/>
      <c r="Q58" s="289"/>
      <c r="R58" s="297"/>
      <c r="S58" s="297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25">
      <c r="A59" s="11"/>
      <c r="B59" s="178"/>
      <c r="C59" s="270"/>
      <c r="D59" s="204"/>
      <c r="E59" s="204"/>
      <c r="F59" s="297"/>
      <c r="G59" s="297"/>
      <c r="H59" s="11"/>
      <c r="I59" s="178"/>
      <c r="J59" s="204"/>
      <c r="K59" s="289"/>
      <c r="L59" s="297"/>
      <c r="M59" s="297"/>
      <c r="O59" s="178"/>
      <c r="P59" s="204"/>
      <c r="Q59" s="289"/>
      <c r="R59" s="297"/>
      <c r="S59" s="297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.75" thickBot="1" x14ac:dyDescent="0.3">
      <c r="A60" s="11"/>
      <c r="B60" s="283"/>
      <c r="C60" s="294"/>
      <c r="D60" s="159"/>
      <c r="E60" s="159"/>
      <c r="F60" s="298"/>
      <c r="G60" s="298"/>
      <c r="H60" s="11"/>
      <c r="I60" s="283"/>
      <c r="J60" s="159"/>
      <c r="K60" s="290"/>
      <c r="L60" s="298"/>
      <c r="M60" s="298"/>
      <c r="O60" s="283"/>
      <c r="P60" s="159"/>
      <c r="Q60" s="290"/>
      <c r="R60" s="298"/>
      <c r="S60" s="298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2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25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25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25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25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x14ac:dyDescent="0.25">
      <c r="B67" t="s">
        <v>452</v>
      </c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73" spans="2:30" x14ac:dyDescent="0.25">
      <c r="B73" t="s">
        <v>453</v>
      </c>
    </row>
  </sheetData>
  <mergeCells count="4">
    <mergeCell ref="B3:C3"/>
    <mergeCell ref="I46:L46"/>
    <mergeCell ref="B9:F9"/>
    <mergeCell ref="B46:G46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9FADE1F-C18D-4177-9188-2E8A55B0CCD1}">
          <x14:formula1>
            <xm:f>Sources!$D$14:$D$21</xm:f>
          </x14:formula1>
          <xm:sqref>C23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</xm:sqref>
        </x14:dataValidation>
        <x14:dataValidation type="list" allowBlank="1" showInputMessage="1" showErrorMessage="1" xr:uid="{A5696FB3-84E9-4321-84E2-28D8B3189C79}">
          <x14:formula1>
            <xm:f>Systemblatt!$N$5:$N$18</xm:f>
          </x14:formula1>
          <xm:sqref>L11:L16 L29:L40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D29:D40 B39 K29</xm:sqref>
        </x14:dataValidation>
        <x14:dataValidation type="list" allowBlank="1" showInputMessage="1" showErrorMessage="1" xr:uid="{610C8BC4-7B29-4ECD-AB19-10BF3477C558}">
          <x14:formula1>
            <xm:f>Systemblatt!$F$5:$F$37</xm:f>
          </x14:formula1>
          <xm:sqref>K30:K40 K12</xm:sqref>
        </x14:dataValidation>
        <x14:dataValidation type="list" allowBlank="1" showInputMessage="1" showErrorMessage="1" xr:uid="{06726B8F-5B86-4DF8-B2EF-C61D1B31F6FD}">
          <x14:formula1>
            <xm:f>Sources!$D$14:$D$37</xm:f>
          </x14:formula1>
          <xm:sqref>C11:C22</xm:sqref>
        </x14:dataValidation>
        <x14:dataValidation type="list" allowBlank="1" showInputMessage="1" showErrorMessage="1" xr:uid="{C22B2443-57A6-4ECE-B6EE-7C01A5076DB3}">
          <x14:formula1>
            <xm:f>Systemblatt!$F$5:$F$38</xm:f>
          </x14:formula1>
          <xm:sqref>K13:K22 K11 U13:Z13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topLeftCell="A15" zoomScale="91" zoomScaleNormal="91" workbookViewId="0">
      <selection activeCell="L29" sqref="L29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38.2851562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6" width="25.85546875" style="3" bestFit="1" customWidth="1"/>
    <col min="17" max="17" width="15.28515625" style="3" customWidth="1"/>
    <col min="18" max="18" width="18.140625" style="3" bestFit="1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5" width="20.1406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60.5703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387"/>
      <c r="E6" s="387"/>
      <c r="F6" s="5"/>
      <c r="G6" s="5"/>
      <c r="H6" s="387"/>
      <c r="I6" s="387"/>
      <c r="J6" s="15"/>
      <c r="K6" s="15"/>
      <c r="L6" s="5"/>
      <c r="M6" s="387"/>
      <c r="N6" s="387"/>
      <c r="O6" s="387"/>
      <c r="P6" s="387"/>
      <c r="Q6" s="5"/>
      <c r="R6" s="5"/>
      <c r="S6" s="394"/>
      <c r="T6" s="394"/>
      <c r="U6" s="394"/>
      <c r="V6" s="394"/>
      <c r="W6" s="394"/>
      <c r="X6" s="394"/>
      <c r="Y6" s="394"/>
      <c r="Z6" s="394"/>
      <c r="AA6" s="394"/>
      <c r="AB6" s="394"/>
      <c r="AC6" s="394"/>
      <c r="AD6" s="394"/>
      <c r="AE6" s="394"/>
      <c r="AF6" s="394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16"/>
      <c r="L8" s="5"/>
      <c r="M8" s="401" t="s">
        <v>70</v>
      </c>
      <c r="N8" s="402"/>
      <c r="O8" s="402"/>
      <c r="P8" s="402"/>
      <c r="Q8" s="403"/>
      <c r="R8" s="5"/>
      <c r="S8" s="395" t="s">
        <v>76</v>
      </c>
      <c r="T8" s="396"/>
      <c r="U8" s="397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97" t="s">
        <v>77</v>
      </c>
      <c r="T9" s="97" t="s">
        <v>33</v>
      </c>
      <c r="U9" s="97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382</v>
      </c>
      <c r="F10" s="210" t="s">
        <v>176</v>
      </c>
      <c r="G10" s="5"/>
      <c r="H10" s="65" t="s">
        <v>2</v>
      </c>
      <c r="I10" s="66"/>
      <c r="J10" s="213" t="s">
        <v>176</v>
      </c>
      <c r="K10" s="5"/>
      <c r="L10" s="5"/>
      <c r="M10" s="63" t="s">
        <v>73</v>
      </c>
      <c r="N10" s="175">
        <f>2.5/1000</f>
        <v>2.5000000000000001E-3</v>
      </c>
      <c r="O10" s="175"/>
      <c r="P10" s="79"/>
      <c r="Q10" s="177"/>
      <c r="R10" s="5" t="s">
        <v>192</v>
      </c>
      <c r="S10" s="136">
        <v>110</v>
      </c>
      <c r="T10" s="137" t="s">
        <v>318</v>
      </c>
      <c r="U10" s="98">
        <v>1</v>
      </c>
      <c r="V10" s="80"/>
      <c r="W10" s="134">
        <v>11</v>
      </c>
      <c r="X10" s="79">
        <v>110</v>
      </c>
      <c r="Y10" s="259">
        <v>250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75" x14ac:dyDescent="0.3">
      <c r="A11" s="5"/>
      <c r="B11" s="5"/>
      <c r="C11" s="82"/>
      <c r="D11" s="65" t="s">
        <v>3</v>
      </c>
      <c r="E11" s="66">
        <v>100</v>
      </c>
      <c r="F11" s="210" t="s">
        <v>176</v>
      </c>
      <c r="G11" s="5"/>
      <c r="H11" s="65" t="s">
        <v>65</v>
      </c>
      <c r="I11" s="101">
        <f>33000/1000000</f>
        <v>3.3000000000000002E-2</v>
      </c>
      <c r="J11" s="210" t="s">
        <v>185</v>
      </c>
      <c r="K11" s="5"/>
      <c r="L11" s="5"/>
      <c r="M11" s="72" t="s">
        <v>74</v>
      </c>
      <c r="N11" s="121" t="s">
        <v>12</v>
      </c>
      <c r="O11" s="121"/>
      <c r="P11" s="71"/>
      <c r="Q11" s="123"/>
      <c r="R11" s="5" t="s">
        <v>186</v>
      </c>
      <c r="S11" s="99">
        <v>110</v>
      </c>
      <c r="T11" s="100" t="s">
        <v>170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256"/>
      <c r="F12" s="210" t="s">
        <v>176</v>
      </c>
      <c r="G12" s="5"/>
      <c r="H12" s="65" t="s">
        <v>66</v>
      </c>
      <c r="I12" s="101">
        <v>10</v>
      </c>
      <c r="J12" s="210" t="str">
        <f>J15</f>
        <v>t/h</v>
      </c>
      <c r="K12" s="5"/>
      <c r="L12" s="5"/>
      <c r="M12" s="72" t="s">
        <v>75</v>
      </c>
      <c r="N12" s="121" t="s">
        <v>171</v>
      </c>
      <c r="O12" s="121"/>
      <c r="P12" s="71"/>
      <c r="Q12" s="123"/>
      <c r="R12" s="5"/>
      <c r="S12" s="99">
        <v>110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E13" s="66"/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72"/>
      <c r="N13" s="121" t="s">
        <v>170</v>
      </c>
      <c r="O13" s="71"/>
      <c r="P13" s="71"/>
      <c r="Q13" s="66"/>
      <c r="R13" s="5"/>
      <c r="S13" s="99">
        <v>110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20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71" t="s">
        <v>318</v>
      </c>
      <c r="O14" s="71"/>
      <c r="P14" s="71"/>
      <c r="Q14" s="66"/>
      <c r="R14" s="5"/>
      <c r="S14" s="99">
        <v>110</v>
      </c>
      <c r="T14" s="71" t="s">
        <v>320</v>
      </c>
      <c r="U14" s="30">
        <v>0.1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5"/>
      <c r="L15" s="5"/>
      <c r="M15" s="73"/>
      <c r="N15" s="71" t="s">
        <v>168</v>
      </c>
      <c r="O15" s="71"/>
      <c r="P15" s="71"/>
      <c r="Q15" s="66"/>
      <c r="R15" s="5"/>
      <c r="S15" s="49">
        <v>250</v>
      </c>
      <c r="T15" s="100" t="s">
        <v>320</v>
      </c>
      <c r="U15" s="101">
        <v>0.9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170</v>
      </c>
      <c r="J16" s="210" t="s">
        <v>176</v>
      </c>
      <c r="K16" s="5"/>
      <c r="L16" s="5"/>
      <c r="M16" s="73"/>
      <c r="N16" s="71" t="s">
        <v>320</v>
      </c>
      <c r="O16" s="71"/>
      <c r="P16" s="71"/>
      <c r="Q16" s="66"/>
      <c r="R16" s="5"/>
      <c r="S16" s="49">
        <v>110</v>
      </c>
      <c r="T16" s="100" t="s">
        <v>14</v>
      </c>
      <c r="U16" s="101">
        <v>0.5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214"/>
      <c r="I17" s="239" t="s">
        <v>171</v>
      </c>
      <c r="J17" s="210" t="s">
        <v>176</v>
      </c>
      <c r="K17" s="5"/>
      <c r="L17" s="5"/>
      <c r="M17" s="73"/>
      <c r="N17" s="71"/>
      <c r="O17" s="71"/>
      <c r="P17" s="71"/>
      <c r="Q17" s="66"/>
      <c r="R17" s="5"/>
      <c r="S17" s="49">
        <v>250</v>
      </c>
      <c r="T17" s="121" t="s">
        <v>14</v>
      </c>
      <c r="U17" s="123">
        <v>0.5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239" t="s">
        <v>318</v>
      </c>
      <c r="J18" s="210" t="s">
        <v>176</v>
      </c>
      <c r="K18" s="5"/>
      <c r="L18" s="5"/>
      <c r="M18" s="73"/>
      <c r="N18" s="71"/>
      <c r="O18" s="71"/>
      <c r="P18" s="71"/>
      <c r="Q18" s="66"/>
      <c r="R18" s="5"/>
      <c r="S18" s="49"/>
      <c r="T18" s="116"/>
      <c r="U18" s="117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 t="s">
        <v>168</v>
      </c>
      <c r="J19" s="210" t="s">
        <v>176</v>
      </c>
      <c r="K19" s="5"/>
      <c r="L19" s="5"/>
      <c r="M19" s="73"/>
      <c r="N19" s="71"/>
      <c r="O19" s="71"/>
      <c r="P19" s="71"/>
      <c r="Q19" s="66"/>
      <c r="R19" s="5"/>
      <c r="S19" s="49"/>
      <c r="T19" s="71"/>
      <c r="U19" s="30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 t="s">
        <v>320</v>
      </c>
      <c r="J20" s="210" t="s">
        <v>176</v>
      </c>
      <c r="K20" s="5"/>
      <c r="L20" s="5"/>
      <c r="M20" s="106"/>
      <c r="N20" s="71"/>
      <c r="O20" s="71"/>
      <c r="P20" s="71"/>
      <c r="Q20" s="66"/>
      <c r="R20" s="5"/>
      <c r="S20" s="49"/>
      <c r="T20" s="100"/>
      <c r="U20" s="101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317</v>
      </c>
      <c r="J21" s="210" t="s">
        <v>176</v>
      </c>
      <c r="K21" s="5"/>
      <c r="L21" s="5"/>
      <c r="M21" s="106"/>
      <c r="N21" s="71"/>
      <c r="O21" s="71"/>
      <c r="P21" s="71"/>
      <c r="Q21" s="66"/>
      <c r="R21" s="5"/>
      <c r="S21" s="49"/>
      <c r="T21" s="100"/>
      <c r="U21" s="101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 t="s">
        <v>14</v>
      </c>
      <c r="J22" s="210" t="s">
        <v>176</v>
      </c>
      <c r="K22" s="5"/>
      <c r="L22" s="5"/>
      <c r="M22" s="106"/>
      <c r="N22" s="71"/>
      <c r="O22" s="71"/>
      <c r="P22" s="71"/>
      <c r="Q22" s="66"/>
      <c r="R22" s="5"/>
      <c r="S22" s="49"/>
      <c r="T22" s="121"/>
      <c r="U22" s="123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106"/>
      <c r="N23" s="71"/>
      <c r="O23" s="71"/>
      <c r="P23" s="71"/>
      <c r="Q23" s="66"/>
      <c r="R23" s="5"/>
      <c r="S23" s="49"/>
      <c r="T23" s="116"/>
      <c r="U23" s="117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106"/>
      <c r="N24" s="71"/>
      <c r="O24" s="71"/>
      <c r="P24" s="71"/>
      <c r="Q24" s="66"/>
      <c r="R24" s="5"/>
      <c r="S24" s="49"/>
      <c r="T24" s="71"/>
      <c r="U24" s="30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106"/>
      <c r="N25" s="71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106"/>
      <c r="N26" s="71"/>
      <c r="O26" s="71"/>
      <c r="P26" s="71"/>
      <c r="Q26" s="66"/>
      <c r="R26" s="5"/>
      <c r="S26" s="215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241"/>
      <c r="J27" s="211" t="s">
        <v>176</v>
      </c>
      <c r="K27" s="5"/>
      <c r="L27" s="5"/>
      <c r="M27" s="107"/>
      <c r="N27" s="109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336" t="s">
        <v>357</v>
      </c>
      <c r="E30" s="5"/>
      <c r="F30" s="5"/>
      <c r="G30" s="5"/>
      <c r="H30" s="5"/>
      <c r="I30" s="5"/>
      <c r="J30" s="5"/>
      <c r="K30" s="5"/>
      <c r="L30" s="5"/>
      <c r="M30" s="326"/>
      <c r="N30" s="5"/>
      <c r="O30" s="5"/>
      <c r="P30" s="5"/>
      <c r="Q30" s="5"/>
      <c r="R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335" t="s">
        <v>358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D33" s="326" t="s">
        <v>327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5">
        <v>250</v>
      </c>
      <c r="E34" s="5" t="s">
        <v>328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3" t="s">
        <v>329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 t="s">
        <v>330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5" t="s">
        <v>331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335" t="s">
        <v>444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333" t="s">
        <v>322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 t="s">
        <v>445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345" t="s">
        <v>446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6"/>
      <c r="E47" s="6"/>
      <c r="F47" s="6"/>
      <c r="G47" s="6"/>
      <c r="H47" s="386"/>
      <c r="I47" s="386"/>
      <c r="J47" s="386"/>
      <c r="K47" s="386"/>
      <c r="L47" s="38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display="https://jh-starchmachine.en.made-in-china.com/product/TZsfrGgXbBRW/China-High-Speed-250kw-Rasper-Equipment-Cassava-Starch-Production-Line-Cassava-Crushing-Machine.html" xr:uid="{6FF9581C-E244-4579-A591-16C0F8E894D4}"/>
    <hyperlink ref="D43" r:id="rId2" xr:uid="{37F875B7-68CF-4397-820E-50CDDBAE4D21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FA51F-61AF-4E3B-910C-A19374473D62}">
  <sheetPr codeName="Tabelle48"/>
  <dimension ref="A1:AJ144"/>
  <sheetViews>
    <sheetView zoomScale="75" zoomScaleNormal="47" workbookViewId="0">
      <selection activeCell="Q37" sqref="Q37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15.8554687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5" width="27.28515625" style="3" bestFit="1" customWidth="1"/>
    <col min="16" max="16" width="25.85546875" style="3" bestFit="1" customWidth="1"/>
    <col min="17" max="17" width="15.28515625" style="3" customWidth="1"/>
    <col min="18" max="18" width="18.140625" style="3" bestFit="1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20.1406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387"/>
      <c r="E6" s="387"/>
      <c r="F6" s="5"/>
      <c r="G6" s="5"/>
      <c r="H6" s="387"/>
      <c r="I6" s="387"/>
      <c r="J6" s="15"/>
      <c r="K6" s="15"/>
      <c r="L6" s="5"/>
      <c r="M6" s="387"/>
      <c r="N6" s="387"/>
      <c r="O6" s="387"/>
      <c r="P6" s="387"/>
      <c r="Q6" s="5"/>
      <c r="R6" s="5"/>
      <c r="S6" s="394"/>
      <c r="T6" s="394"/>
      <c r="U6" s="394"/>
      <c r="V6" s="394"/>
      <c r="W6" s="394"/>
      <c r="X6" s="394"/>
      <c r="Y6" s="394"/>
      <c r="Z6" s="394"/>
      <c r="AA6" s="394"/>
      <c r="AB6" s="394"/>
      <c r="AC6" s="394"/>
      <c r="AD6" s="394"/>
      <c r="AE6" s="394"/>
      <c r="AF6" s="394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16"/>
      <c r="L8" s="5"/>
      <c r="M8" s="401" t="s">
        <v>70</v>
      </c>
      <c r="N8" s="402"/>
      <c r="O8" s="402"/>
      <c r="P8" s="402"/>
      <c r="Q8" s="403"/>
      <c r="R8" s="5"/>
      <c r="S8" s="395" t="s">
        <v>76</v>
      </c>
      <c r="T8" s="396"/>
      <c r="U8" s="397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383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>
        <v>1.5</v>
      </c>
      <c r="P10" s="176"/>
      <c r="Q10" s="177"/>
      <c r="R10" s="5" t="s">
        <v>192</v>
      </c>
      <c r="S10" s="136">
        <v>888</v>
      </c>
      <c r="T10" s="137" t="s">
        <v>318</v>
      </c>
      <c r="U10" s="98">
        <v>1</v>
      </c>
      <c r="V10" s="80"/>
      <c r="W10" s="134"/>
      <c r="X10" s="79">
        <v>888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>
        <v>110</v>
      </c>
      <c r="F11" s="210" t="s">
        <v>176</v>
      </c>
      <c r="G11" s="5"/>
      <c r="H11" s="65" t="s">
        <v>65</v>
      </c>
      <c r="I11" s="101">
        <f>12500/1000000</f>
        <v>1.2500000000000001E-2</v>
      </c>
      <c r="J11" s="210" t="s">
        <v>185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186</v>
      </c>
      <c r="S11" s="99">
        <v>888</v>
      </c>
      <c r="T11" s="100" t="s">
        <v>170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f xml:space="preserve"> 15/1000</f>
        <v>1.4999999999999999E-2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14</v>
      </c>
      <c r="P12" s="176"/>
      <c r="Q12" s="177"/>
      <c r="R12" s="5"/>
      <c r="S12" s="99">
        <v>888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122"/>
      <c r="O13" s="71"/>
      <c r="P13" s="71"/>
      <c r="Q13" s="66"/>
      <c r="R13" s="5"/>
      <c r="S13" s="99">
        <v>888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>
        <v>888</v>
      </c>
      <c r="T14" s="71" t="s">
        <v>320</v>
      </c>
      <c r="U14" s="30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>
        <v>888</v>
      </c>
      <c r="T15" s="71" t="s">
        <v>14</v>
      </c>
      <c r="U15" s="30">
        <v>0.05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14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171</v>
      </c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80</v>
      </c>
      <c r="F18" s="210" t="s">
        <v>191</v>
      </c>
      <c r="G18" s="5"/>
      <c r="H18" s="73"/>
      <c r="I18" s="239" t="s">
        <v>320</v>
      </c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 t="s">
        <v>318</v>
      </c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336" t="s">
        <v>357</v>
      </c>
      <c r="E29" s="5"/>
      <c r="F29" s="5"/>
      <c r="G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335" t="s">
        <v>51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326" t="s">
        <v>332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335" t="s">
        <v>70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326" t="s">
        <v>323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333" t="s">
        <v>324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386"/>
      <c r="E47" s="386"/>
      <c r="F47" s="386"/>
      <c r="G47" s="386"/>
      <c r="H47" s="386"/>
      <c r="I47" s="386"/>
      <c r="J47" s="386"/>
      <c r="K47" s="386"/>
      <c r="L47" s="38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hyperlinks>
    <hyperlink ref="D35" r:id="rId1" display="https://www.researchgate.net/figure/Sliced-crop-data-on-solar-drying-potential_tbl1_304771464" xr:uid="{C5CD2317-87F1-490E-A573-7ED60662C860}"/>
    <hyperlink ref="D32" r:id="rId2" display="https://zxdrying888.en.made-in-china.com/product/IQHYXkKJhVco/China-Long-Service-Life-Hg-Series-Single-Double-Flaker-Rotary-Drum-Scraper-Drier-for-Mashed-Potatoes.html" xr:uid="{E21C4F0E-BA71-46A3-96EA-F2891B7E24A9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57437FA-246E-42D8-A053-88AFCB889E3A}">
          <x14:formula1>
            <xm:f>Systemblatt!$F$5:$F$38</xm:f>
          </x14:formula1>
          <xm:sqref>I16:I27 N13 N12:Q12 N14:Q27 AE10:AE27 AC10:AC27 T10:T27</xm:sqref>
        </x14:dataValidation>
        <x14:dataValidation type="list" allowBlank="1" showInputMessage="1" showErrorMessage="1" xr:uid="{1B62ED8E-B0C8-45C0-B1F9-31DCF83EFDE1}">
          <x14:formula1>
            <xm:f>Systemblatt!$F$5:$F$11</xm:f>
          </x14:formula1>
          <xm:sqref>K16:K17</xm:sqref>
        </x14:dataValidation>
        <x14:dataValidation type="list" allowBlank="1" showInputMessage="1" showErrorMessage="1" xr:uid="{7294A592-7423-4F55-9210-74B847211C67}">
          <x14:formula1>
            <xm:f>DataBank!$A$3:$A$11</xm:f>
          </x14:formula1>
          <xm:sqref>N11</xm:sqref>
        </x14:dataValidation>
        <x14:dataValidation type="list" allowBlank="1" showInputMessage="1" showErrorMessage="1" xr:uid="{B1F05C9E-7A6C-49F8-8949-6BD2DE17C3F5}">
          <x14:formula1>
            <xm:f>Sources!$E$6:$O$6</xm:f>
          </x14:formula1>
          <xm:sqref>O13:Q13</xm:sqref>
        </x14:dataValidation>
        <x14:dataValidation type="list" allowBlank="1" showInputMessage="1" showErrorMessage="1" xr:uid="{668CE088-470D-4AFF-AAA2-8C002252F09D}">
          <x14:formula1>
            <xm:f>DataBank!$B$2:$B$3</xm:f>
          </x14:formula1>
          <xm:sqref>J15</xm:sqref>
        </x14:dataValidation>
        <x14:dataValidation type="list" allowBlank="1" showInputMessage="1" showErrorMessage="1" xr:uid="{14E20A30-9E74-4823-B795-806865D6F910}">
          <x14:formula1>
            <xm:f>Sources!$E$7:$O$7</xm:f>
          </x14:formula1>
          <xm:sqref>W10:W27</xm:sqref>
        </x14:dataValidation>
        <x14:dataValidation type="list" allowBlank="1" showInputMessage="1" showErrorMessage="1" xr:uid="{5C065EB8-56F5-4599-A3BB-14CDA3F1C9B6}">
          <x14:formula1>
            <xm:f>DataBank!$K$17:$K$18</xm:f>
          </x14:formula1>
          <xm:sqref>E26</xm:sqref>
        </x14:dataValidation>
        <x14:dataValidation type="list" allowBlank="1" showInputMessage="1" showErrorMessage="1" xr:uid="{CBBBE327-E161-4C1C-8F27-A189BD17F5A3}">
          <x14:formula1>
            <xm:f>DataBank!$A$3:$A$10</xm:f>
          </x14:formula1>
          <xm:sqref>O11:Q11</xm:sqref>
        </x14:dataValidation>
        <x14:dataValidation type="list" allowBlank="1" showInputMessage="1" showErrorMessage="1" xr:uid="{0E42D66E-8993-4384-92AF-81932F9A9D3D}">
          <x14:formula1>
            <xm:f>DataBank!$C$2:$C$7</xm:f>
          </x14:formula1>
          <xm:sqref>I15</xm:sqref>
        </x14:dataValidation>
        <x14:dataValidation type="list" allowBlank="1" showInputMessage="1" showErrorMessage="1" xr:uid="{72C52CF7-BCB1-4A24-8BAE-4E5CA6B30A42}">
          <x14:formula1>
            <xm:f>DataBank!$A$3:$A$4</xm:f>
          </x14:formula1>
          <xm:sqref>AB10 AD10</xm:sqref>
        </x14:dataValidation>
        <x14:dataValidation type="list" allowBlank="1" showInputMessage="1" showErrorMessage="1" xr:uid="{5FD9002A-19C2-492B-9A38-20F345A62EC9}">
          <x14:formula1>
            <xm:f>DataBank!$A$3:$A$5</xm:f>
          </x14:formula1>
          <xm:sqref>K15</xm:sqref>
        </x14:dataValidation>
        <x14:dataValidation type="whole" allowBlank="1" showInputMessage="1" showErrorMessage="1" xr:uid="{74CBFA8B-E773-4DCD-BBF6-F988790CEA00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7294E-9CA4-4B55-871B-A6C4BF3C7578}">
  <sheetPr codeName="Tabelle49"/>
  <dimension ref="A1:AJ144"/>
  <sheetViews>
    <sheetView topLeftCell="D1" zoomScale="75" zoomScaleNormal="47" workbookViewId="0">
      <selection activeCell="J40" sqref="J40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20.8554687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5" width="27.28515625" style="3" bestFit="1" customWidth="1"/>
    <col min="16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387"/>
      <c r="E6" s="387"/>
      <c r="F6" s="5"/>
      <c r="G6" s="5"/>
      <c r="H6" s="387"/>
      <c r="I6" s="387"/>
      <c r="J6" s="15"/>
      <c r="K6" s="15"/>
      <c r="L6" s="5"/>
      <c r="M6" s="387"/>
      <c r="N6" s="387"/>
      <c r="O6" s="387"/>
      <c r="P6" s="387"/>
      <c r="Q6" s="5"/>
      <c r="R6" s="5"/>
      <c r="S6" s="394"/>
      <c r="T6" s="394"/>
      <c r="U6" s="394"/>
      <c r="V6" s="394"/>
      <c r="W6" s="394"/>
      <c r="X6" s="394"/>
      <c r="Y6" s="394"/>
      <c r="Z6" s="394"/>
      <c r="AA6" s="394"/>
      <c r="AB6" s="394"/>
      <c r="AC6" s="394"/>
      <c r="AD6" s="394"/>
      <c r="AE6" s="394"/>
      <c r="AF6" s="394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16"/>
      <c r="L8" s="5"/>
      <c r="M8" s="401" t="s">
        <v>70</v>
      </c>
      <c r="N8" s="402"/>
      <c r="O8" s="402"/>
      <c r="P8" s="402"/>
      <c r="Q8" s="403"/>
      <c r="R8" s="5"/>
      <c r="S8" s="395" t="s">
        <v>76</v>
      </c>
      <c r="T8" s="396"/>
      <c r="U8" s="397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384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>
        <v>0.01</v>
      </c>
      <c r="O10" s="175">
        <v>1.5</v>
      </c>
      <c r="P10" s="176"/>
      <c r="Q10" s="177"/>
      <c r="R10" s="5" t="s">
        <v>192</v>
      </c>
      <c r="S10" s="99">
        <v>5000</v>
      </c>
      <c r="T10" s="100" t="s">
        <v>320</v>
      </c>
      <c r="U10" s="101">
        <v>0.95</v>
      </c>
      <c r="V10" s="80"/>
      <c r="W10" s="134"/>
      <c r="X10" s="79">
        <v>5000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>
        <v>250</v>
      </c>
      <c r="F11" s="210" t="s">
        <v>176</v>
      </c>
      <c r="G11" s="5"/>
      <c r="H11" s="65" t="s">
        <v>65</v>
      </c>
      <c r="I11" s="101">
        <f>12000/1000000</f>
        <v>1.2E-2</v>
      </c>
      <c r="J11" s="210" t="s">
        <v>185</v>
      </c>
      <c r="K11" s="5"/>
      <c r="L11" s="5"/>
      <c r="M11" s="72" t="s">
        <v>74</v>
      </c>
      <c r="N11" s="121" t="s">
        <v>12</v>
      </c>
      <c r="O11" s="121" t="s">
        <v>12</v>
      </c>
      <c r="P11" s="75"/>
      <c r="Q11" s="123"/>
      <c r="R11" s="5" t="s">
        <v>186</v>
      </c>
      <c r="S11" s="99">
        <v>5000</v>
      </c>
      <c r="T11" s="100" t="s">
        <v>14</v>
      </c>
      <c r="U11" s="101">
        <v>0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v>5</v>
      </c>
      <c r="J12" s="210" t="str">
        <f>J15</f>
        <v>t/h</v>
      </c>
      <c r="K12" s="5"/>
      <c r="L12" s="5"/>
      <c r="M12" s="242" t="s">
        <v>75</v>
      </c>
      <c r="N12" s="250" t="s">
        <v>320</v>
      </c>
      <c r="O12" s="175" t="s">
        <v>14</v>
      </c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122" t="s">
        <v>14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320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/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336" t="s">
        <v>357</v>
      </c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5"/>
      <c r="E30" s="5"/>
      <c r="F30" s="5"/>
      <c r="G30" s="5"/>
      <c r="I30" s="5"/>
      <c r="J30" s="5"/>
      <c r="K30" s="5"/>
      <c r="L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I31" s="5"/>
      <c r="J31" s="5"/>
      <c r="K31" s="5"/>
      <c r="L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ht="15.75" x14ac:dyDescent="0.25">
      <c r="A32" s="5"/>
      <c r="B32" s="5"/>
      <c r="C32" s="82"/>
      <c r="D32" s="17" t="s">
        <v>51</v>
      </c>
      <c r="E32" s="5"/>
      <c r="F32" s="5"/>
      <c r="G32" s="5"/>
      <c r="H32" s="5"/>
      <c r="I32" s="5"/>
      <c r="J32" s="5"/>
      <c r="K32" s="5"/>
      <c r="L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D33" s="5" t="s">
        <v>334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326" t="s">
        <v>333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ht="15.75" x14ac:dyDescent="0.25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 t="s">
        <v>325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326" t="s">
        <v>323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333" t="s">
        <v>324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386"/>
      <c r="E47" s="386"/>
      <c r="F47" s="386"/>
      <c r="G47" s="386"/>
      <c r="H47" s="386"/>
      <c r="I47" s="386"/>
      <c r="J47" s="386"/>
      <c r="K47" s="386"/>
      <c r="L47" s="38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hyperlinks>
    <hyperlink ref="D40" r:id="rId1" display="https://www.researchgate.net/figure/Sliced-crop-data-on-solar-drying-potential_tbl1_304771464" xr:uid="{224DEB4E-4C43-4537-AA57-C83A19D0BE53}"/>
    <hyperlink ref="D34" r:id="rId2" display="https://zxdrying888.en.made-in-china.com/product/cdgAMybHrupS/China-Large-Scale-High-Capacity-Spray-Drying-Machine-Spray-Dryer-Drum-Dryer-Flash-Drier.html" xr:uid="{E9A51003-EBE7-43E3-B0B0-2037073529A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1FA1F1B2-D355-4A5A-95C2-3E4E8C48924E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4C8CE2FE-039D-4216-90FB-4D54F2ED8733}">
          <x14:formula1>
            <xm:f>Systemblatt!$F$5:$F$11</xm:f>
          </x14:formula1>
          <xm:sqref>K16:K17</xm:sqref>
        </x14:dataValidation>
        <x14:dataValidation type="list" allowBlank="1" showInputMessage="1" showErrorMessage="1" xr:uid="{2F7CD9E3-085B-45B0-9DA2-7FBA9A3EA5E0}">
          <x14:formula1>
            <xm:f>DataBank!$A$3:$A$11</xm:f>
          </x14:formula1>
          <xm:sqref>N11</xm:sqref>
        </x14:dataValidation>
        <x14:dataValidation type="list" allowBlank="1" showInputMessage="1" showErrorMessage="1" xr:uid="{38A04B6A-D3F7-4054-AC24-72C1FDE32A1A}">
          <x14:formula1>
            <xm:f>Sources!$E$6:$O$6</xm:f>
          </x14:formula1>
          <xm:sqref>O13:Q13</xm:sqref>
        </x14:dataValidation>
        <x14:dataValidation type="list" allowBlank="1" showInputMessage="1" showErrorMessage="1" xr:uid="{2EFF62CE-EB27-457B-9294-138367318E7B}">
          <x14:formula1>
            <xm:f>DataBank!$B$2:$B$3</xm:f>
          </x14:formula1>
          <xm:sqref>J15</xm:sqref>
        </x14:dataValidation>
        <x14:dataValidation type="list" allowBlank="1" showInputMessage="1" showErrorMessage="1" xr:uid="{5A2BF8F8-39B6-4F29-A04E-6C3AE294400C}">
          <x14:formula1>
            <xm:f>Sources!$E$7:$O$7</xm:f>
          </x14:formula1>
          <xm:sqref>W10:W27</xm:sqref>
        </x14:dataValidation>
        <x14:dataValidation type="list" allowBlank="1" showInputMessage="1" showErrorMessage="1" xr:uid="{37AD9025-B70C-41ED-BE73-24E82D07EBCB}">
          <x14:formula1>
            <xm:f>DataBank!$K$17:$K$18</xm:f>
          </x14:formula1>
          <xm:sqref>E26</xm:sqref>
        </x14:dataValidation>
        <x14:dataValidation type="list" allowBlank="1" showInputMessage="1" showErrorMessage="1" xr:uid="{778B4396-F9B7-448B-BBE3-F7925BA2280A}">
          <x14:formula1>
            <xm:f>DataBank!$A$3:$A$10</xm:f>
          </x14:formula1>
          <xm:sqref>O11:Q11</xm:sqref>
        </x14:dataValidation>
        <x14:dataValidation type="list" allowBlank="1" showInputMessage="1" showErrorMessage="1" xr:uid="{7EB9422E-A4EF-4C9A-B857-05A10EDE23E0}">
          <x14:formula1>
            <xm:f>DataBank!$C$2:$C$7</xm:f>
          </x14:formula1>
          <xm:sqref>I15</xm:sqref>
        </x14:dataValidation>
        <x14:dataValidation type="list" allowBlank="1" showInputMessage="1" showErrorMessage="1" xr:uid="{607F73F8-8420-464B-8FA9-ACAE1D0931E2}">
          <x14:formula1>
            <xm:f>DataBank!$A$3:$A$4</xm:f>
          </x14:formula1>
          <xm:sqref>AB10 AD10</xm:sqref>
        </x14:dataValidation>
        <x14:dataValidation type="list" allowBlank="1" showInputMessage="1" showErrorMessage="1" xr:uid="{AFBB5AF2-04C5-4FB0-9B8F-D4540B41C5F0}">
          <x14:formula1>
            <xm:f>DataBank!$A$3:$A$5</xm:f>
          </x14:formula1>
          <xm:sqref>K15</xm:sqref>
        </x14:dataValidation>
        <x14:dataValidation type="whole" allowBlank="1" showInputMessage="1" showErrorMessage="1" xr:uid="{438E4249-BC7A-43A7-B8E9-A1B297456DAD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B6085-D526-4C15-BC8F-9C300313BE54}">
  <sheetPr codeName="Tabelle50"/>
  <dimension ref="C1:AO130"/>
  <sheetViews>
    <sheetView zoomScale="58" zoomScaleNormal="58" workbookViewId="0">
      <selection activeCell="E10" sqref="E10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29.5703125" style="3" bestFit="1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7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20.5703125" style="3" bestFit="1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9" style="3" bestFit="1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07"/>
      <c r="E6" s="407"/>
      <c r="F6" s="5"/>
      <c r="G6" s="5"/>
      <c r="H6" s="407"/>
      <c r="I6" s="407"/>
      <c r="J6" s="15"/>
      <c r="K6" s="15"/>
      <c r="L6" s="5"/>
      <c r="M6" s="407"/>
      <c r="N6" s="407"/>
      <c r="O6" s="407"/>
      <c r="P6" s="407"/>
      <c r="Q6" s="5"/>
      <c r="R6" s="5"/>
      <c r="S6" s="408"/>
      <c r="T6" s="408"/>
      <c r="U6" s="408"/>
      <c r="V6" s="408"/>
      <c r="W6" s="408"/>
      <c r="X6" s="408"/>
      <c r="Y6" s="408"/>
      <c r="Z6" s="408"/>
      <c r="AA6" s="408"/>
      <c r="AB6" s="408"/>
      <c r="AC6" s="408"/>
      <c r="AD6" s="408"/>
      <c r="AE6" s="408"/>
      <c r="AF6" s="40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16"/>
      <c r="L8" s="5"/>
      <c r="M8" s="401" t="s">
        <v>70</v>
      </c>
      <c r="N8" s="402"/>
      <c r="O8" s="402"/>
      <c r="P8" s="402"/>
      <c r="Q8" s="403"/>
      <c r="R8" s="5"/>
      <c r="S8" s="395" t="s">
        <v>76</v>
      </c>
      <c r="T8" s="396"/>
      <c r="U8" s="397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11"/>
      <c r="AH8" s="404" t="s">
        <v>5</v>
      </c>
      <c r="AI8" s="405"/>
      <c r="AJ8" s="406"/>
      <c r="AK8" s="94"/>
      <c r="AL8" s="404" t="s">
        <v>6</v>
      </c>
      <c r="AM8" s="405"/>
      <c r="AN8" s="406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 t="s">
        <v>342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>
        <v>1E-3</v>
      </c>
      <c r="O10" s="175"/>
      <c r="P10" s="176"/>
      <c r="Q10" s="177"/>
      <c r="R10" s="5" t="s">
        <v>192</v>
      </c>
      <c r="S10" s="99">
        <v>340</v>
      </c>
      <c r="T10" s="100" t="s">
        <v>341</v>
      </c>
      <c r="U10" s="101">
        <v>0.98</v>
      </c>
      <c r="V10" s="102"/>
      <c r="W10" s="134">
        <v>22</v>
      </c>
      <c r="X10" s="79">
        <v>340</v>
      </c>
      <c r="Y10" s="135">
        <v>1000</v>
      </c>
      <c r="Z10" s="133"/>
      <c r="AA10" s="71"/>
      <c r="AB10" s="132" t="s">
        <v>12</v>
      </c>
      <c r="AC10" s="79" t="s">
        <v>171</v>
      </c>
      <c r="AD10" s="135" t="s">
        <v>12</v>
      </c>
      <c r="AE10" s="79" t="s">
        <v>14</v>
      </c>
      <c r="AF10" s="133">
        <v>0.06</v>
      </c>
      <c r="AG10" s="116"/>
      <c r="AH10" s="122" t="s">
        <v>320</v>
      </c>
      <c r="AI10" s="121">
        <v>6</v>
      </c>
      <c r="AJ10" s="123">
        <v>-1</v>
      </c>
      <c r="AK10" s="111"/>
      <c r="AL10" s="124">
        <v>6</v>
      </c>
      <c r="AM10" s="125" t="s">
        <v>320</v>
      </c>
      <c r="AN10" s="126">
        <v>0.6</v>
      </c>
      <c r="AO10" s="83"/>
    </row>
    <row r="11" spans="3:41" ht="19.5" thickBot="1" x14ac:dyDescent="0.35">
      <c r="C11" s="82"/>
      <c r="D11" s="65" t="s">
        <v>3</v>
      </c>
      <c r="E11" s="66">
        <v>240</v>
      </c>
      <c r="F11" s="210" t="s">
        <v>176</v>
      </c>
      <c r="G11" s="5"/>
      <c r="H11" s="65" t="s">
        <v>65</v>
      </c>
      <c r="I11" s="101">
        <v>0.2</v>
      </c>
      <c r="J11" s="210" t="s">
        <v>185</v>
      </c>
      <c r="K11" s="75"/>
      <c r="L11" s="75"/>
      <c r="M11" s="249" t="s">
        <v>74</v>
      </c>
      <c r="N11" s="121" t="s">
        <v>13</v>
      </c>
      <c r="O11" s="121"/>
      <c r="P11" s="75"/>
      <c r="Q11" s="123"/>
      <c r="R11" s="5" t="s">
        <v>186</v>
      </c>
      <c r="S11" s="99">
        <v>340</v>
      </c>
      <c r="T11" s="100" t="s">
        <v>14</v>
      </c>
      <c r="U11" s="101">
        <v>0.01</v>
      </c>
      <c r="V11" s="102"/>
      <c r="W11" s="105"/>
      <c r="X11" s="71"/>
      <c r="Y11" s="102"/>
      <c r="Z11" s="104"/>
      <c r="AA11" s="71"/>
      <c r="AB11" s="103"/>
      <c r="AC11" s="71" t="s">
        <v>320</v>
      </c>
      <c r="AD11" s="102"/>
      <c r="AE11" s="71"/>
      <c r="AF11" s="104"/>
      <c r="AG11" s="116"/>
      <c r="AH11" s="122" t="s">
        <v>341</v>
      </c>
      <c r="AI11" s="121">
        <v>6</v>
      </c>
      <c r="AJ11" s="123">
        <v>0.6</v>
      </c>
      <c r="AK11" s="111"/>
      <c r="AL11" s="112">
        <v>7</v>
      </c>
      <c r="AM11" s="6" t="s">
        <v>171</v>
      </c>
      <c r="AN11" s="127">
        <v>0.95</v>
      </c>
      <c r="AO11" s="83"/>
    </row>
    <row r="12" spans="3:41" ht="18.75" x14ac:dyDescent="0.3">
      <c r="C12" s="82"/>
      <c r="D12" s="65" t="s">
        <v>40</v>
      </c>
      <c r="E12" s="201" t="s">
        <v>220</v>
      </c>
      <c r="F12" s="210" t="s">
        <v>176</v>
      </c>
      <c r="G12" s="5"/>
      <c r="H12" s="65" t="s">
        <v>66</v>
      </c>
      <c r="I12" s="101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175"/>
      <c r="P12" s="176"/>
      <c r="Q12" s="177"/>
      <c r="R12" s="110"/>
      <c r="S12" s="122">
        <v>1000</v>
      </c>
      <c r="T12" s="121" t="s">
        <v>174</v>
      </c>
      <c r="U12" s="123">
        <v>1</v>
      </c>
      <c r="V12" s="102"/>
      <c r="W12" s="105"/>
      <c r="X12" s="71"/>
      <c r="Y12" s="43"/>
      <c r="Z12" s="30"/>
      <c r="AA12" s="43"/>
      <c r="AB12" s="49"/>
      <c r="AC12" s="71" t="s">
        <v>317</v>
      </c>
      <c r="AD12" s="43"/>
      <c r="AE12" s="71"/>
      <c r="AF12" s="104"/>
      <c r="AG12" s="116"/>
      <c r="AH12" s="122" t="s">
        <v>174</v>
      </c>
      <c r="AI12" s="205">
        <v>6</v>
      </c>
      <c r="AJ12" s="123">
        <v>0.4</v>
      </c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 t="s">
        <v>318</v>
      </c>
      <c r="AD13" s="43"/>
      <c r="AE13" s="71"/>
      <c r="AF13" s="104"/>
      <c r="AG13" s="116"/>
      <c r="AH13" s="122" t="s">
        <v>171</v>
      </c>
      <c r="AI13" s="121">
        <v>7</v>
      </c>
      <c r="AJ13" s="123">
        <v>-1</v>
      </c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 t="s">
        <v>170</v>
      </c>
      <c r="AD14" s="43"/>
      <c r="AE14" s="71"/>
      <c r="AF14" s="104"/>
      <c r="AG14" s="116"/>
      <c r="AH14" s="103" t="s">
        <v>341</v>
      </c>
      <c r="AI14" s="102">
        <v>7</v>
      </c>
      <c r="AJ14" s="104">
        <v>0.4</v>
      </c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174</v>
      </c>
      <c r="AI15" s="102">
        <v>7</v>
      </c>
      <c r="AJ15" s="104">
        <v>0.6</v>
      </c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320</v>
      </c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>
        <v>25</v>
      </c>
      <c r="F17" s="210" t="s">
        <v>180</v>
      </c>
      <c r="G17" s="5"/>
      <c r="H17" s="72"/>
      <c r="I17" s="239" t="s">
        <v>171</v>
      </c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>
        <v>25</v>
      </c>
      <c r="F18" s="210" t="s">
        <v>180</v>
      </c>
      <c r="G18" s="5"/>
      <c r="H18" s="73"/>
      <c r="I18" s="239" t="s">
        <v>14</v>
      </c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180</v>
      </c>
      <c r="G19" s="5"/>
      <c r="H19" s="73"/>
      <c r="I19" s="239" t="s">
        <v>318</v>
      </c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180</v>
      </c>
      <c r="G20" s="5"/>
      <c r="H20" s="73"/>
      <c r="I20" s="239" t="s">
        <v>168</v>
      </c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170</v>
      </c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336" t="s">
        <v>357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335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326" t="s">
        <v>335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 t="s">
        <v>336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 t="s">
        <v>337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 t="s">
        <v>338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3" t="s">
        <v>339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3" t="s">
        <v>340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337" t="s">
        <v>70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11" t="s">
        <v>344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326" t="s">
        <v>350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 t="s">
        <v>345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>
        <v>5</v>
      </c>
      <c r="E47" s="5" t="s">
        <v>346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>
        <v>4</v>
      </c>
      <c r="E48" s="5" t="s">
        <v>347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>
        <f>5/(4*3600)</f>
        <v>3.4722222222222224E-4</v>
      </c>
      <c r="E49" s="5" t="s">
        <v>348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>
        <f>D49*D48</f>
        <v>1.3888888888888889E-3</v>
      </c>
      <c r="E50" s="5" t="s">
        <v>349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5" r:id="rId1" display="https://fcbeerequipment.en.made-in-china.com/product/NdOAMKLPpSRw/China-00L-200L-300L-500L-700L-1000L-1bbl-2bbl-3bbl-5bbl-Industrial-Commerical-Restaurant-Pub-Home-Micro-Craft-Brewery-Brewing-System-Turnkey-Beer-Equipment.html" xr:uid="{DD46CF99-6E01-46BA-B590-70F162AFDA0B}"/>
    <hyperlink ref="D45" r:id="rId2" display="https://www.sciencedirect.com/science/article/pii/0376738894000611" xr:uid="{BEB83958-C3D9-4984-B468-14C1A25DD34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438AD07-A846-49CB-945B-EE8051D1E905}">
          <x14:formula1>
            <xm:f>Systemblatt!$F$5:$F$38</xm:f>
          </x14:formula1>
          <xm:sqref>AE10:AE27 N13 N12:Q12 N14:Q27 I16:I27 T10:T27 AC10:AC27 AH10:AH27</xm:sqref>
        </x14:dataValidation>
        <x14:dataValidation type="list" allowBlank="1" showInputMessage="1" showErrorMessage="1" xr:uid="{C5D9FD15-F071-4FC2-B881-31EC1FBC97F9}">
          <x14:formula1>
            <xm:f>DataBank!$A$3:$A$11</xm:f>
          </x14:formula1>
          <xm:sqref>N11</xm:sqref>
        </x14:dataValidation>
        <x14:dataValidation type="list" allowBlank="1" showInputMessage="1" showErrorMessage="1" xr:uid="{B30E109E-7AE6-4AF2-A318-8D20CD37BE21}">
          <x14:formula1>
            <xm:f>Sources!$E$6:$O$6</xm:f>
          </x14:formula1>
          <xm:sqref>O13:Q13</xm:sqref>
        </x14:dataValidation>
        <x14:dataValidation type="list" allowBlank="1" showInputMessage="1" showErrorMessage="1" xr:uid="{EEE2035B-A430-486E-94C7-D77C15E24D8D}">
          <x14:formula1>
            <xm:f>DataBank!$C$2:$C$7</xm:f>
          </x14:formula1>
          <xm:sqref>I15</xm:sqref>
        </x14:dataValidation>
        <x14:dataValidation type="list" allowBlank="1" showInputMessage="1" showErrorMessage="1" xr:uid="{82296FF0-8479-4FBF-B595-58D021CA4127}">
          <x14:formula1>
            <xm:f>DataBank!$B$2:$B$3</xm:f>
          </x14:formula1>
          <xm:sqref>J15</xm:sqref>
        </x14:dataValidation>
        <x14:dataValidation type="list" allowBlank="1" showInputMessage="1" showErrorMessage="1" xr:uid="{E41B912B-8968-46F1-92A2-AC41099F30B3}">
          <x14:formula1>
            <xm:f>DataBank!$K$17:$K$18</xm:f>
          </x14:formula1>
          <xm:sqref>E26</xm:sqref>
        </x14:dataValidation>
        <x14:dataValidation type="list" allowBlank="1" showInputMessage="1" showErrorMessage="1" xr:uid="{F7368921-E0E4-4FED-9347-5CF08042C76A}">
          <x14:formula1>
            <xm:f>DataBank!$A$3:$A$10</xm:f>
          </x14:formula1>
          <xm:sqref>O11:Q11</xm:sqref>
        </x14:dataValidation>
        <x14:dataValidation type="list" allowBlank="1" showInputMessage="1" showErrorMessage="1" xr:uid="{5528AC21-BC05-4C55-A050-CD8EA8E3E804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784DB8FA-BF10-4558-8974-9F53FCD8487C}">
          <x14:formula1>
            <xm:f>Systemblatt!$N$5:$N$18</xm:f>
          </x14:formula1>
          <xm:sqref>AL10:AL27 AI10:AI11 AI13:AI27</xm:sqref>
        </x14:dataValidation>
        <x14:dataValidation type="list" allowBlank="1" showInputMessage="1" showErrorMessage="1" xr:uid="{78B98866-8E8B-425B-A6E6-F5F84316F4CB}">
          <x14:formula1>
            <xm:f>DataBank!$A$3:$A$4</xm:f>
          </x14:formula1>
          <xm:sqref>AB10 AD10</xm:sqref>
        </x14:dataValidation>
        <x14:dataValidation type="whole" allowBlank="1" showInputMessage="1" showErrorMessage="1" xr:uid="{43F06EBA-4D03-48B3-AEB0-F03D9B33070A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D724A6B-9E57-4888-B1D2-8006A7B2266A}">
          <x14:formula1>
            <xm:f>Sources!E7:O7</xm:f>
          </x14:formula1>
          <xm:sqref>W10:W27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C7D36-3C12-48EA-938B-90697D093FA7}">
  <sheetPr codeName="Tabelle51"/>
  <dimension ref="A1:AK144"/>
  <sheetViews>
    <sheetView topLeftCell="A14" zoomScale="98" zoomScaleNormal="98" workbookViewId="0">
      <selection activeCell="E6" sqref="E6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16.4257812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32.140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30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7" width="10.85546875" style="3"/>
    <col min="28" max="28" width="31.85546875" style="3" bestFit="1" customWidth="1"/>
    <col min="29" max="29" width="17.85546875" style="3" bestFit="1" customWidth="1"/>
    <col min="30" max="30" width="10.85546875" style="3"/>
    <col min="31" max="31" width="17.85546875" style="3" bestFit="1" customWidth="1"/>
    <col min="32" max="32" width="60.5703125" style="3" bestFit="1" customWidth="1"/>
    <col min="33" max="33" width="10.85546875" style="3"/>
    <col min="34" max="34" width="17.42578125" style="3" bestFit="1" customWidth="1"/>
    <col min="35" max="16384" width="10.85546875" style="3"/>
  </cols>
  <sheetData>
    <row r="1" spans="1:37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7" ht="6.95" customHeight="1" thickBot="1" x14ac:dyDescent="0.3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2"/>
    </row>
    <row r="3" spans="1:37" x14ac:dyDescent="0.25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</row>
    <row r="4" spans="1:37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</row>
    <row r="5" spans="1:37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</row>
    <row r="6" spans="1:37" x14ac:dyDescent="0.25">
      <c r="A6" s="5"/>
      <c r="B6" s="5"/>
      <c r="C6" s="82"/>
      <c r="D6" s="5"/>
      <c r="E6" s="5"/>
      <c r="F6" s="5"/>
      <c r="G6" s="5"/>
      <c r="H6" s="407"/>
      <c r="I6" s="407"/>
      <c r="J6" s="15"/>
      <c r="K6" s="15"/>
      <c r="L6" s="5"/>
      <c r="M6" s="407"/>
      <c r="N6" s="407"/>
      <c r="O6" s="407"/>
      <c r="P6" s="407"/>
      <c r="Q6" s="5"/>
      <c r="R6" s="5"/>
      <c r="S6" s="408"/>
      <c r="T6" s="408"/>
      <c r="U6" s="408"/>
      <c r="V6" s="408"/>
      <c r="W6" s="408"/>
      <c r="X6" s="408"/>
      <c r="Y6" s="408"/>
      <c r="Z6" s="408"/>
      <c r="AA6" s="408"/>
      <c r="AB6" s="408"/>
      <c r="AC6" s="408"/>
      <c r="AD6" s="408"/>
      <c r="AE6" s="408"/>
      <c r="AF6" s="408"/>
      <c r="AG6" s="11"/>
      <c r="AH6" s="11"/>
      <c r="AI6" s="11"/>
      <c r="AJ6" s="11"/>
      <c r="AK6" s="83"/>
    </row>
    <row r="7" spans="1:37" ht="15.75" thickBot="1" x14ac:dyDescent="0.3">
      <c r="A7" s="5"/>
      <c r="B7" s="5"/>
      <c r="C7" s="82"/>
      <c r="AK7" s="83"/>
    </row>
    <row r="8" spans="1:37" ht="24" thickBot="1" x14ac:dyDescent="0.4">
      <c r="A8" s="5"/>
      <c r="B8" s="5"/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5"/>
      <c r="L8" s="5"/>
      <c r="M8" s="313" t="s">
        <v>70</v>
      </c>
      <c r="N8" s="314"/>
      <c r="O8" s="314"/>
      <c r="P8" s="314"/>
      <c r="Q8" s="315"/>
      <c r="R8" s="5"/>
      <c r="S8" s="307" t="s">
        <v>76</v>
      </c>
      <c r="T8" s="308"/>
      <c r="U8" s="309"/>
      <c r="V8" s="12"/>
      <c r="W8" s="310" t="s">
        <v>106</v>
      </c>
      <c r="X8" s="311"/>
      <c r="Y8" s="311"/>
      <c r="Z8" s="312"/>
      <c r="AA8" s="11"/>
      <c r="AB8" s="310" t="s">
        <v>83</v>
      </c>
      <c r="AC8" s="311"/>
      <c r="AD8" s="311"/>
      <c r="AE8" s="311"/>
      <c r="AF8" s="312"/>
      <c r="AG8" s="11"/>
      <c r="AH8" s="310"/>
      <c r="AI8" s="311"/>
      <c r="AJ8" s="312"/>
      <c r="AK8" s="83"/>
    </row>
    <row r="9" spans="1:37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6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155</v>
      </c>
      <c r="Y9" s="196" t="s">
        <v>156</v>
      </c>
      <c r="Z9" s="197" t="s">
        <v>157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/>
      <c r="AI9" s="174"/>
      <c r="AJ9" s="174"/>
      <c r="AK9" s="83"/>
    </row>
    <row r="10" spans="1:37" ht="18.75" x14ac:dyDescent="0.3">
      <c r="A10" s="5"/>
      <c r="B10" s="5"/>
      <c r="C10" s="82"/>
      <c r="D10" s="63" t="s">
        <v>1</v>
      </c>
      <c r="E10" s="64" t="s">
        <v>450</v>
      </c>
      <c r="F10" s="210" t="s">
        <v>176</v>
      </c>
      <c r="G10" s="5"/>
      <c r="H10" s="63" t="s">
        <v>2</v>
      </c>
      <c r="I10" s="64"/>
      <c r="J10" s="92" t="s">
        <v>176</v>
      </c>
      <c r="K10" s="17"/>
      <c r="L10" s="5"/>
      <c r="M10" s="63" t="s">
        <v>73</v>
      </c>
      <c r="N10" s="175">
        <f>3*2.5/10/1000</f>
        <v>7.5000000000000002E-4</v>
      </c>
      <c r="O10" s="175"/>
      <c r="P10" s="176"/>
      <c r="Q10" s="177"/>
      <c r="R10" s="5" t="s">
        <v>192</v>
      </c>
      <c r="S10" s="99">
        <v>4000</v>
      </c>
      <c r="T10" s="100" t="s">
        <v>275</v>
      </c>
      <c r="U10" s="101">
        <v>1</v>
      </c>
      <c r="V10" s="102"/>
      <c r="W10" s="134"/>
      <c r="X10" s="79">
        <v>4000</v>
      </c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</row>
    <row r="11" spans="1:37" ht="19.5" thickBot="1" x14ac:dyDescent="0.35">
      <c r="A11" s="5"/>
      <c r="B11" s="5"/>
      <c r="C11" s="82"/>
      <c r="D11" s="65" t="s">
        <v>3</v>
      </c>
      <c r="E11" s="66">
        <v>340</v>
      </c>
      <c r="F11" s="210" t="s">
        <v>176</v>
      </c>
      <c r="G11" s="5"/>
      <c r="H11" s="65" t="s">
        <v>65</v>
      </c>
      <c r="I11" s="101">
        <f>8000/1000000</f>
        <v>8.0000000000000002E-3</v>
      </c>
      <c r="J11" s="83" t="s">
        <v>185</v>
      </c>
      <c r="K11" s="75"/>
      <c r="L11" s="75"/>
      <c r="M11" s="72" t="s">
        <v>74</v>
      </c>
      <c r="N11" s="121" t="s">
        <v>12</v>
      </c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</row>
    <row r="12" spans="1:37" ht="18.75" x14ac:dyDescent="0.3">
      <c r="A12" s="5"/>
      <c r="B12" s="5"/>
      <c r="C12" s="82"/>
      <c r="D12" s="65" t="s">
        <v>40</v>
      </c>
      <c r="E12" s="255"/>
      <c r="F12" s="210" t="s">
        <v>176</v>
      </c>
      <c r="G12" s="5"/>
      <c r="H12" s="65" t="s">
        <v>66</v>
      </c>
      <c r="I12" s="101">
        <f>10/2.5</f>
        <v>4</v>
      </c>
      <c r="J12" s="83" t="str">
        <f>J15</f>
        <v>t/h</v>
      </c>
      <c r="K12" s="75"/>
      <c r="L12" s="75"/>
      <c r="M12" s="242" t="s">
        <v>75</v>
      </c>
      <c r="N12" s="250" t="s">
        <v>275</v>
      </c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</row>
    <row r="13" spans="1:37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83" t="s">
        <v>176</v>
      </c>
      <c r="K13" s="75"/>
      <c r="L13" s="75"/>
      <c r="M13" s="243"/>
      <c r="N13" s="122" t="s">
        <v>14</v>
      </c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</row>
    <row r="14" spans="1:37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75"/>
      <c r="L14" s="75"/>
      <c r="M14" s="244"/>
      <c r="N14" s="105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</row>
    <row r="15" spans="1:37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75"/>
      <c r="L15" s="75"/>
      <c r="M15" s="244"/>
      <c r="N15" s="105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</row>
    <row r="16" spans="1:37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275</v>
      </c>
      <c r="J16" s="213" t="s">
        <v>176</v>
      </c>
      <c r="K16" s="75"/>
      <c r="L16" s="75"/>
      <c r="M16" s="244"/>
      <c r="N16" s="10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</row>
    <row r="17" spans="1:37" ht="18.75" x14ac:dyDescent="0.3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</row>
    <row r="18" spans="1:37" ht="18.75" x14ac:dyDescent="0.3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</row>
    <row r="19" spans="1:37" ht="18.75" x14ac:dyDescent="0.3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</row>
    <row r="20" spans="1:37" ht="18.75" x14ac:dyDescent="0.3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</row>
    <row r="21" spans="1:37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</row>
    <row r="22" spans="1:37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</row>
    <row r="23" spans="1:37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</row>
    <row r="24" spans="1:37" ht="18.75" x14ac:dyDescent="0.3">
      <c r="A24" s="5"/>
      <c r="B24" s="5"/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</row>
    <row r="25" spans="1:37" ht="18.75" x14ac:dyDescent="0.3">
      <c r="A25" s="5"/>
      <c r="B25" s="5"/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</row>
    <row r="26" spans="1:37" ht="19.5" thickBot="1" x14ac:dyDescent="0.35">
      <c r="A26" s="5"/>
      <c r="B26" s="5"/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</row>
    <row r="27" spans="1:37" ht="19.5" thickBot="1" x14ac:dyDescent="0.35">
      <c r="A27" s="5"/>
      <c r="B27" s="5"/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</row>
    <row r="28" spans="1:37" x14ac:dyDescent="0.25">
      <c r="A28" s="5"/>
      <c r="B28" s="5"/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</row>
    <row r="29" spans="1:37" x14ac:dyDescent="0.25">
      <c r="A29" s="5"/>
      <c r="B29" s="5"/>
      <c r="C29" s="82"/>
      <c r="D29" s="5"/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</row>
    <row r="30" spans="1:37" x14ac:dyDescent="0.25">
      <c r="A30" s="5"/>
      <c r="B30" s="5"/>
      <c r="C30" s="82"/>
      <c r="D30" s="336" t="s">
        <v>357</v>
      </c>
      <c r="E30" s="5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</row>
    <row r="31" spans="1:37" x14ac:dyDescent="0.25">
      <c r="A31" s="5"/>
      <c r="B31" s="5"/>
      <c r="C31" s="82"/>
      <c r="E31" s="5"/>
      <c r="F31" s="5"/>
      <c r="G31" s="5"/>
      <c r="I31" s="5"/>
      <c r="J31" s="5"/>
      <c r="K31" s="5"/>
      <c r="L31" s="5"/>
      <c r="M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</row>
    <row r="32" spans="1:37" ht="15.75" x14ac:dyDescent="0.25">
      <c r="A32" s="5"/>
      <c r="B32" s="5"/>
      <c r="C32" s="82"/>
      <c r="D32" s="338" t="s">
        <v>51</v>
      </c>
      <c r="E32" s="5"/>
      <c r="F32" s="5"/>
      <c r="G32" s="5"/>
      <c r="I32" s="5"/>
      <c r="J32" s="5"/>
      <c r="K32" s="5"/>
      <c r="L32" s="5"/>
      <c r="M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</row>
    <row r="33" spans="1:37" x14ac:dyDescent="0.25">
      <c r="A33" s="5"/>
      <c r="B33" s="5"/>
      <c r="C33" s="82"/>
      <c r="D33" s="5" t="s">
        <v>354</v>
      </c>
      <c r="E33" s="5"/>
      <c r="F33" s="5"/>
      <c r="G33" s="5"/>
      <c r="H33" s="5"/>
      <c r="I33" s="5"/>
      <c r="J33" s="5"/>
      <c r="K33" s="5"/>
      <c r="L33" s="5"/>
      <c r="M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</row>
    <row r="34" spans="1:37" x14ac:dyDescent="0.25">
      <c r="A34" s="5"/>
      <c r="B34" s="5"/>
      <c r="C34" s="82"/>
      <c r="D34" s="326" t="s">
        <v>351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</row>
    <row r="35" spans="1:37" x14ac:dyDescent="0.25">
      <c r="A35" s="5"/>
      <c r="B35" s="5"/>
      <c r="C35" s="82"/>
      <c r="D35" s="5" t="s">
        <v>352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</row>
    <row r="36" spans="1:37" x14ac:dyDescent="0.25">
      <c r="A36" s="5"/>
      <c r="B36" s="5"/>
      <c r="C36" s="82"/>
      <c r="D36" s="5" t="s">
        <v>353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</row>
    <row r="37" spans="1:37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</row>
    <row r="38" spans="1:37" ht="15.75" x14ac:dyDescent="0.25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7" x14ac:dyDescent="0.25">
      <c r="A39" s="5"/>
      <c r="B39" s="5"/>
      <c r="C39" s="82"/>
      <c r="D39" s="5" t="s">
        <v>355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7" x14ac:dyDescent="0.25">
      <c r="A40" s="5"/>
      <c r="B40" s="5"/>
      <c r="C40" s="82"/>
      <c r="D40" s="5" t="s">
        <v>356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7" x14ac:dyDescent="0.25">
      <c r="A41" s="5"/>
      <c r="B41" s="5"/>
      <c r="C41" s="82"/>
      <c r="D41" s="326" t="s">
        <v>351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7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7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7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7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7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7" ht="18.75" x14ac:dyDescent="0.25">
      <c r="A47" s="5"/>
      <c r="B47" s="5"/>
      <c r="C47" s="82"/>
      <c r="D47" s="386"/>
      <c r="E47" s="386"/>
      <c r="F47" s="386"/>
      <c r="G47" s="386"/>
      <c r="H47" s="386"/>
      <c r="I47" s="386"/>
      <c r="J47" s="386"/>
      <c r="K47" s="386"/>
      <c r="L47" s="38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7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7">
    <mergeCell ref="S6:AF6"/>
    <mergeCell ref="D8:F8"/>
    <mergeCell ref="H8:J8"/>
    <mergeCell ref="D47:G47"/>
    <mergeCell ref="H47:L47"/>
    <mergeCell ref="H6:I6"/>
    <mergeCell ref="M6:P6"/>
  </mergeCells>
  <hyperlinks>
    <hyperlink ref="D34" r:id="rId1" display="https://kdmachine.en.made-in-china.com/product/wKameqxHHCpG/China-Polymerization-Photochemical-Phenol-Continuous-Stirred-Tank-Electric-Heating-Batch-Chemical-Stainless-Steel-Reactor-Price.html" xr:uid="{384871E6-BA4D-4A98-A16D-85CC8C628FA9}"/>
    <hyperlink ref="D41" r:id="rId2" display="https://kdmachine.en.made-in-china.com/product/wKameqxHHCpG/China-Polymerization-Photochemical-Phenol-Continuous-Stirred-Tank-Electric-Heating-Batch-Chemical-Stainless-Steel-Reactor-Price.html" xr:uid="{27DE89E4-7FC1-4A48-9BAC-DDAEE7A678FC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5E850F6-7B3F-4D0E-9F79-22DF784354EC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F910911B-D699-40FE-B56A-05CC8442042A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CB51BC34-C9D3-4A25-AEC1-B398C39B3826}">
          <x14:formula1>
            <xm:f>DataBank!$A$3:$A$11</xm:f>
          </x14:formula1>
          <xm:sqref>N11</xm:sqref>
        </x14:dataValidation>
        <x14:dataValidation type="list" allowBlank="1" showInputMessage="1" showErrorMessage="1" xr:uid="{50E1C45E-F1CC-43F3-84D8-85434C5EE69A}">
          <x14:formula1>
            <xm:f>Sources!$E$6:$O$6</xm:f>
          </x14:formula1>
          <xm:sqref>O13:Q13</xm:sqref>
        </x14:dataValidation>
        <x14:dataValidation type="list" allowBlank="1" showInputMessage="1" showErrorMessage="1" xr:uid="{C5369321-7596-4403-B97A-580A968A437B}">
          <x14:formula1>
            <xm:f>DataBank!$B$2:$B$3</xm:f>
          </x14:formula1>
          <xm:sqref>J15</xm:sqref>
        </x14:dataValidation>
        <x14:dataValidation type="list" allowBlank="1" showInputMessage="1" showErrorMessage="1" xr:uid="{CF161D47-A14C-440E-A162-DC61A1509D81}">
          <x14:formula1>
            <xm:f>Sources!$E$7:$O$7</xm:f>
          </x14:formula1>
          <xm:sqref>W10:W27</xm:sqref>
        </x14:dataValidation>
        <x14:dataValidation type="list" allowBlank="1" showInputMessage="1" showErrorMessage="1" xr:uid="{063E5B77-82DC-4AA3-88BE-084E2968015A}">
          <x14:formula1>
            <xm:f>DataBank!$K$17:$K$18</xm:f>
          </x14:formula1>
          <xm:sqref>E26</xm:sqref>
        </x14:dataValidation>
        <x14:dataValidation type="list" allowBlank="1" showInputMessage="1" showErrorMessage="1" xr:uid="{7BB60FD4-6390-402B-A598-65A5E08ADEA0}">
          <x14:formula1>
            <xm:f>DataBank!$A$3:$A$10</xm:f>
          </x14:formula1>
          <xm:sqref>O11:Q11</xm:sqref>
        </x14:dataValidation>
        <x14:dataValidation type="list" allowBlank="1" showInputMessage="1" showErrorMessage="1" xr:uid="{5C33F1A9-27B9-4F14-A54A-DE05C09B6EE5}">
          <x14:formula1>
            <xm:f>DataBank!$C$2:$C$7</xm:f>
          </x14:formula1>
          <xm:sqref>I15</xm:sqref>
        </x14:dataValidation>
        <x14:dataValidation type="list" allowBlank="1" showInputMessage="1" showErrorMessage="1" xr:uid="{0839F657-890B-4975-857C-C495BB3797E9}">
          <x14:formula1>
            <xm:f>DataBank!$A$3:$A$4</xm:f>
          </x14:formula1>
          <xm:sqref>AB10 AD10</xm:sqref>
        </x14:dataValidation>
        <x14:dataValidation type="whole" allowBlank="1" showInputMessage="1" showErrorMessage="1" xr:uid="{0415F761-0465-4951-955A-8EAD5EA05B46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zoomScale="75" zoomScaleNormal="47" workbookViewId="0">
      <selection activeCell="L37" sqref="L37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20.1406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387"/>
      <c r="E6" s="387"/>
      <c r="F6" s="5"/>
      <c r="G6" s="5"/>
      <c r="H6" s="387"/>
      <c r="I6" s="387"/>
      <c r="J6" s="15"/>
      <c r="K6" s="15"/>
      <c r="L6" s="5"/>
      <c r="M6" s="387"/>
      <c r="N6" s="387"/>
      <c r="O6" s="387"/>
      <c r="P6" s="387"/>
      <c r="Q6" s="5"/>
      <c r="R6" s="5"/>
      <c r="S6" s="394"/>
      <c r="T6" s="394"/>
      <c r="U6" s="394"/>
      <c r="V6" s="394"/>
      <c r="W6" s="394"/>
      <c r="X6" s="394"/>
      <c r="Y6" s="394"/>
      <c r="Z6" s="394"/>
      <c r="AA6" s="394"/>
      <c r="AB6" s="394"/>
      <c r="AC6" s="394"/>
      <c r="AD6" s="394"/>
      <c r="AE6" s="394"/>
      <c r="AF6" s="394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16"/>
      <c r="L8" s="5"/>
      <c r="M8" s="401" t="s">
        <v>70</v>
      </c>
      <c r="N8" s="402"/>
      <c r="O8" s="402"/>
      <c r="P8" s="402"/>
      <c r="Q8" s="403"/>
      <c r="R8" s="5"/>
      <c r="S8" s="395" t="s">
        <v>76</v>
      </c>
      <c r="T8" s="396"/>
      <c r="U8" s="397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210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/>
      <c r="P10" s="176"/>
      <c r="Q10" s="177"/>
      <c r="R10" s="5"/>
      <c r="S10" s="49">
        <v>220</v>
      </c>
      <c r="T10" s="100" t="s">
        <v>318</v>
      </c>
      <c r="U10" s="101">
        <v>1</v>
      </c>
      <c r="V10" s="80"/>
      <c r="W10" s="134"/>
      <c r="X10" s="79">
        <v>220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75" x14ac:dyDescent="0.3">
      <c r="A11" s="5"/>
      <c r="B11" s="5"/>
      <c r="C11" s="82"/>
      <c r="D11" s="65" t="s">
        <v>3</v>
      </c>
      <c r="E11" s="66">
        <v>999</v>
      </c>
      <c r="F11" s="210" t="s">
        <v>176</v>
      </c>
      <c r="G11" s="5"/>
      <c r="H11" s="65" t="s">
        <v>65</v>
      </c>
      <c r="I11" s="101">
        <v>0</v>
      </c>
      <c r="J11" s="210" t="s">
        <v>185</v>
      </c>
      <c r="K11" s="5"/>
      <c r="L11" s="5"/>
      <c r="M11" s="72" t="s">
        <v>74</v>
      </c>
      <c r="N11" s="121"/>
      <c r="O11" s="121"/>
      <c r="P11" s="75"/>
      <c r="Q11" s="123"/>
      <c r="R11" s="5"/>
      <c r="S11" s="49">
        <v>220</v>
      </c>
      <c r="T11" s="100" t="s">
        <v>170</v>
      </c>
      <c r="U11" s="101">
        <v>1</v>
      </c>
      <c r="V11" s="80"/>
      <c r="W11" s="105"/>
      <c r="X11" s="71">
        <v>230</v>
      </c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256"/>
      <c r="F12" s="210" t="s">
        <v>176</v>
      </c>
      <c r="G12" s="5"/>
      <c r="H12" s="65" t="s">
        <v>66</v>
      </c>
      <c r="I12" s="101">
        <v>1</v>
      </c>
      <c r="J12" s="210" t="str">
        <f>J15</f>
        <v>t/h</v>
      </c>
      <c r="K12" s="5"/>
      <c r="L12" s="5"/>
      <c r="M12" s="72" t="s">
        <v>75</v>
      </c>
      <c r="N12" s="121"/>
      <c r="O12" s="121"/>
      <c r="P12" s="75"/>
      <c r="Q12" s="123"/>
      <c r="R12" s="5"/>
      <c r="S12" s="105">
        <v>220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E13" s="66" t="s">
        <v>209</v>
      </c>
      <c r="F13" s="210" t="s">
        <v>176</v>
      </c>
      <c r="G13" s="5"/>
      <c r="H13" s="65" t="s">
        <v>67</v>
      </c>
      <c r="I13" s="101">
        <v>1</v>
      </c>
      <c r="J13" s="210" t="s">
        <v>176</v>
      </c>
      <c r="K13" s="5"/>
      <c r="L13" s="5"/>
      <c r="M13" s="72" t="s">
        <v>189</v>
      </c>
      <c r="N13" s="71"/>
      <c r="O13" s="71"/>
      <c r="P13" s="71"/>
      <c r="Q13" s="66"/>
      <c r="R13" s="5"/>
      <c r="S13" s="105">
        <v>220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75"/>
      <c r="O14" s="75"/>
      <c r="P14" s="75"/>
      <c r="Q14" s="78"/>
      <c r="R14" s="5"/>
      <c r="S14" s="105">
        <v>220</v>
      </c>
      <c r="T14" s="116" t="s">
        <v>320</v>
      </c>
      <c r="U14" s="117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75" x14ac:dyDescent="0.3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14" t="s">
        <v>69</v>
      </c>
      <c r="I15" s="66" t="s">
        <v>12</v>
      </c>
      <c r="J15" s="210" t="s">
        <v>186</v>
      </c>
      <c r="K15" s="5"/>
      <c r="L15" s="5"/>
      <c r="M15" s="73"/>
      <c r="N15" s="75"/>
      <c r="O15" s="75"/>
      <c r="P15" s="75"/>
      <c r="Q15" s="78"/>
      <c r="R15" s="5"/>
      <c r="S15" s="105">
        <v>220</v>
      </c>
      <c r="T15" s="116" t="s">
        <v>14</v>
      </c>
      <c r="U15" s="117">
        <v>1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75" x14ac:dyDescent="0.3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72" t="s">
        <v>53</v>
      </c>
      <c r="I16" s="66" t="s">
        <v>171</v>
      </c>
      <c r="J16" s="210" t="s">
        <v>176</v>
      </c>
      <c r="K16" s="5"/>
      <c r="L16" s="5"/>
      <c r="M16" s="73"/>
      <c r="N16" s="75"/>
      <c r="O16" s="75"/>
      <c r="P16" s="75"/>
      <c r="Q16" s="78"/>
      <c r="R16" s="5"/>
      <c r="S16" s="49">
        <v>230</v>
      </c>
      <c r="T16" s="71" t="s">
        <v>318</v>
      </c>
      <c r="U16" s="30">
        <v>1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214"/>
      <c r="I17" s="66"/>
      <c r="J17" s="210" t="s">
        <v>176</v>
      </c>
      <c r="K17" s="5"/>
      <c r="L17" s="5"/>
      <c r="M17" s="73"/>
      <c r="N17" s="75"/>
      <c r="O17" s="75"/>
      <c r="P17" s="75"/>
      <c r="Q17" s="78"/>
      <c r="R17" s="5"/>
      <c r="S17" s="49">
        <v>230</v>
      </c>
      <c r="T17" s="71" t="s">
        <v>170</v>
      </c>
      <c r="U17" s="30">
        <v>1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73"/>
      <c r="I18" s="66"/>
      <c r="J18" s="210"/>
      <c r="K18" s="5"/>
      <c r="L18" s="5"/>
      <c r="M18" s="73"/>
      <c r="N18" s="75"/>
      <c r="O18" s="75"/>
      <c r="P18" s="75"/>
      <c r="Q18" s="78"/>
      <c r="R18" s="5"/>
      <c r="S18" s="105">
        <v>230</v>
      </c>
      <c r="T18" s="71" t="s">
        <v>171</v>
      </c>
      <c r="U18" s="66">
        <v>1</v>
      </c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66"/>
      <c r="J19" s="210"/>
      <c r="K19" s="5"/>
      <c r="L19" s="5"/>
      <c r="M19" s="73"/>
      <c r="N19" s="75"/>
      <c r="O19" s="75"/>
      <c r="P19" s="75"/>
      <c r="Q19" s="78"/>
      <c r="R19" s="5"/>
      <c r="S19" s="105">
        <v>230</v>
      </c>
      <c r="T19" s="71" t="s">
        <v>168</v>
      </c>
      <c r="U19" s="66">
        <v>1</v>
      </c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66"/>
      <c r="J20" s="210"/>
      <c r="K20" s="5"/>
      <c r="L20" s="5"/>
      <c r="M20" s="106"/>
      <c r="N20" s="75"/>
      <c r="O20" s="75"/>
      <c r="P20" s="75"/>
      <c r="Q20" s="78"/>
      <c r="R20" s="5"/>
      <c r="S20" s="105">
        <v>230</v>
      </c>
      <c r="T20" s="71" t="s">
        <v>320</v>
      </c>
      <c r="U20" s="66">
        <v>1</v>
      </c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/>
      <c r="J21" s="210"/>
      <c r="K21" s="5"/>
      <c r="L21" s="5"/>
      <c r="M21" s="106"/>
      <c r="N21" s="75"/>
      <c r="O21" s="75"/>
      <c r="P21" s="75"/>
      <c r="Q21" s="78"/>
      <c r="R21" s="5"/>
      <c r="S21" s="105">
        <v>230</v>
      </c>
      <c r="T21" s="71" t="s">
        <v>14</v>
      </c>
      <c r="U21" s="66">
        <v>1</v>
      </c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5"/>
      <c r="L22" s="5"/>
      <c r="M22" s="106"/>
      <c r="N22" s="75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5"/>
      <c r="L23" s="5"/>
      <c r="M23" s="106"/>
      <c r="N23" s="75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78"/>
      <c r="J24" s="172"/>
      <c r="K24" s="11"/>
      <c r="L24" s="11"/>
      <c r="M24" s="106"/>
      <c r="N24" s="75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78"/>
      <c r="J25" s="172"/>
      <c r="K25" s="11"/>
      <c r="L25" s="11"/>
      <c r="M25" s="106"/>
      <c r="N25" s="75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78"/>
      <c r="J26" s="210"/>
      <c r="K26" s="5"/>
      <c r="L26" s="5"/>
      <c r="M26" s="106"/>
      <c r="N26" s="75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5"/>
      <c r="L27" s="5"/>
      <c r="M27" s="107"/>
      <c r="N27" s="76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386"/>
      <c r="E47" s="386"/>
      <c r="F47" s="386"/>
      <c r="G47" s="386"/>
      <c r="H47" s="386"/>
      <c r="I47" s="386"/>
      <c r="J47" s="386"/>
      <c r="K47" s="386"/>
      <c r="L47" s="38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AC10:AC27 AE10:AE27 T10:T27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zoomScale="75" zoomScaleNormal="47" workbookViewId="0">
      <selection activeCell="N43" sqref="N43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31.8554687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6" width="27.2851562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5.85546875" style="3" bestFit="1" customWidth="1"/>
    <col min="32" max="32" width="60.5703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387"/>
      <c r="E6" s="387"/>
      <c r="F6" s="5"/>
      <c r="G6" s="5"/>
      <c r="H6" s="387"/>
      <c r="I6" s="387"/>
      <c r="J6" s="15"/>
      <c r="K6" s="15"/>
      <c r="L6" s="5"/>
      <c r="M6" s="387"/>
      <c r="N6" s="387"/>
      <c r="O6" s="387"/>
      <c r="P6" s="387"/>
      <c r="Q6" s="5"/>
      <c r="R6" s="5"/>
      <c r="S6" s="394"/>
      <c r="T6" s="394"/>
      <c r="U6" s="394"/>
      <c r="V6" s="394"/>
      <c r="W6" s="394"/>
      <c r="X6" s="394"/>
      <c r="Y6" s="394"/>
      <c r="Z6" s="394"/>
      <c r="AA6" s="394"/>
      <c r="AB6" s="394"/>
      <c r="AC6" s="394"/>
      <c r="AD6" s="394"/>
      <c r="AE6" s="394"/>
      <c r="AF6" s="394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16"/>
      <c r="L8" s="5"/>
      <c r="M8" s="401" t="s">
        <v>70</v>
      </c>
      <c r="N8" s="402"/>
      <c r="O8" s="402"/>
      <c r="P8" s="402"/>
      <c r="Q8" s="403"/>
      <c r="R8" s="5"/>
      <c r="S8" s="395" t="s">
        <v>76</v>
      </c>
      <c r="T8" s="396"/>
      <c r="U8" s="397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385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354">
        <v>6.9637883008356549E-5</v>
      </c>
      <c r="O10" s="245"/>
      <c r="P10" s="176"/>
      <c r="Q10" s="177"/>
      <c r="R10" s="5" t="s">
        <v>349</v>
      </c>
      <c r="S10" s="99">
        <v>320</v>
      </c>
      <c r="T10" s="100" t="s">
        <v>168</v>
      </c>
      <c r="U10" s="101">
        <v>0.06</v>
      </c>
      <c r="V10" s="80"/>
      <c r="W10" s="134">
        <v>44</v>
      </c>
      <c r="X10" s="79">
        <v>320</v>
      </c>
      <c r="Y10" s="135"/>
      <c r="Z10" s="133"/>
      <c r="AA10" s="15"/>
      <c r="AB10" s="132" t="s">
        <v>12</v>
      </c>
      <c r="AC10" s="79" t="s">
        <v>170</v>
      </c>
      <c r="AD10" s="135" t="s">
        <v>12</v>
      </c>
      <c r="AE10" s="79" t="s">
        <v>224</v>
      </c>
      <c r="AF10" s="133">
        <v>0.1</v>
      </c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>
        <v>220</v>
      </c>
      <c r="F11" s="210" t="s">
        <v>176</v>
      </c>
      <c r="G11" s="5"/>
      <c r="H11" s="65" t="s">
        <v>65</v>
      </c>
      <c r="I11" s="350">
        <f xml:space="preserve"> 183628/1000000</f>
        <v>0.18362800000000001</v>
      </c>
      <c r="J11" s="210" t="s">
        <v>185</v>
      </c>
      <c r="K11" s="5"/>
      <c r="L11" s="5"/>
      <c r="M11" s="72" t="s">
        <v>74</v>
      </c>
      <c r="N11" s="246" t="s">
        <v>12</v>
      </c>
      <c r="O11" s="246"/>
      <c r="P11" s="75"/>
      <c r="Q11" s="123"/>
      <c r="R11" s="5" t="s">
        <v>186</v>
      </c>
      <c r="S11" s="99">
        <v>320</v>
      </c>
      <c r="T11" s="100" t="s">
        <v>224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171</v>
      </c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v>4.3079999999999998</v>
      </c>
      <c r="J12" s="210" t="str">
        <f>J15</f>
        <v>t/h</v>
      </c>
      <c r="K12" s="5"/>
      <c r="L12" s="5"/>
      <c r="M12" s="242" t="s">
        <v>75</v>
      </c>
      <c r="N12" s="245" t="s">
        <v>318</v>
      </c>
      <c r="O12" s="245"/>
      <c r="P12" s="176"/>
      <c r="Q12" s="177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168</v>
      </c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247" t="s">
        <v>170</v>
      </c>
      <c r="O13" s="239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318</v>
      </c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247" t="s">
        <v>171</v>
      </c>
      <c r="O14" s="240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320</v>
      </c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14" t="s">
        <v>69</v>
      </c>
      <c r="I15" s="66" t="s">
        <v>12</v>
      </c>
      <c r="J15" s="210" t="s">
        <v>186</v>
      </c>
      <c r="K15" s="5"/>
      <c r="L15" s="5"/>
      <c r="M15" s="244"/>
      <c r="N15" s="239" t="s">
        <v>168</v>
      </c>
      <c r="O15" s="240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 t="s">
        <v>14</v>
      </c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0" t="s">
        <v>176</v>
      </c>
      <c r="K16" s="5"/>
      <c r="L16" s="5"/>
      <c r="M16" s="244"/>
      <c r="N16" s="239" t="s">
        <v>320</v>
      </c>
      <c r="O16" s="240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214"/>
      <c r="I17" s="66" t="s">
        <v>168</v>
      </c>
      <c r="J17" s="210" t="s">
        <v>176</v>
      </c>
      <c r="K17" s="5"/>
      <c r="L17" s="5"/>
      <c r="M17" s="244"/>
      <c r="N17" s="239" t="s">
        <v>14</v>
      </c>
      <c r="O17" s="240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66" t="s">
        <v>318</v>
      </c>
      <c r="J18" s="210"/>
      <c r="K18" s="5"/>
      <c r="L18" s="5"/>
      <c r="M18" s="244"/>
      <c r="N18" s="239"/>
      <c r="O18" s="240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66" t="s">
        <v>170</v>
      </c>
      <c r="J19" s="210"/>
      <c r="K19" s="5"/>
      <c r="L19" s="5"/>
      <c r="M19" s="244"/>
      <c r="N19" s="239"/>
      <c r="O19" s="240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66" t="s">
        <v>320</v>
      </c>
      <c r="J20" s="210"/>
      <c r="K20" s="5"/>
      <c r="L20" s="5"/>
      <c r="M20" s="240"/>
      <c r="N20" s="239"/>
      <c r="O20" s="240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 t="s">
        <v>14</v>
      </c>
      <c r="J21" s="210"/>
      <c r="K21" s="5"/>
      <c r="L21" s="5"/>
      <c r="M21" s="240"/>
      <c r="N21" s="240"/>
      <c r="O21" s="240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5"/>
      <c r="L22" s="5"/>
      <c r="M22" s="240"/>
      <c r="N22" s="240"/>
      <c r="O22" s="240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5"/>
      <c r="L23" s="5"/>
      <c r="M23" s="240"/>
      <c r="N23" s="240"/>
      <c r="O23" s="240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78"/>
      <c r="J24" s="172"/>
      <c r="K24" s="11"/>
      <c r="L24" s="11"/>
      <c r="M24" s="240"/>
      <c r="N24" s="240"/>
      <c r="O24" s="240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78"/>
      <c r="J25" s="172"/>
      <c r="K25" s="11"/>
      <c r="L25" s="11"/>
      <c r="M25" s="240"/>
      <c r="N25" s="240"/>
      <c r="O25" s="240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78"/>
      <c r="J26" s="210"/>
      <c r="K26" s="5"/>
      <c r="L26" s="5"/>
      <c r="M26" s="240"/>
      <c r="N26" s="240"/>
      <c r="O26" s="240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5"/>
      <c r="L27" s="5"/>
      <c r="M27" s="241"/>
      <c r="N27" s="241"/>
      <c r="O27" s="241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336" t="s">
        <v>357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.75" x14ac:dyDescent="0.3">
      <c r="A33" s="5"/>
      <c r="B33" s="5"/>
      <c r="C33" s="82"/>
      <c r="D33" s="339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345" t="s">
        <v>392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349">
        <f xml:space="preserve"> 183628/1000000</f>
        <v>0.18362800000000001</v>
      </c>
      <c r="E35" s="5" t="s">
        <v>393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>
        <v>500</v>
      </c>
      <c r="E36" s="5" t="s">
        <v>394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352" t="s">
        <v>395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3">
        <v>718</v>
      </c>
      <c r="E38" s="5" t="s">
        <v>366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351" t="s">
        <v>396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3">
        <f>D38*D36/1000</f>
        <v>359</v>
      </c>
      <c r="E40" s="3" t="s">
        <v>397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3" t="s">
        <v>398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>
        <v>5</v>
      </c>
      <c r="E42" s="5" t="s">
        <v>391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3">
        <f>(D40/1000)/(D42/60)</f>
        <v>4.3079999999999998</v>
      </c>
      <c r="E43" s="5" t="s">
        <v>186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ht="18.75" x14ac:dyDescent="0.3">
      <c r="A46" s="5"/>
      <c r="B46" s="5"/>
      <c r="C46" s="82"/>
      <c r="D46" s="339" t="s">
        <v>70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5" t="str">
        <f>D34</f>
        <v>https://doi.org/10.1007/s12247-022-09676-4</v>
      </c>
      <c r="E47" s="5"/>
      <c r="F47" s="6"/>
      <c r="G47" s="6"/>
      <c r="H47" s="386"/>
      <c r="I47" s="386"/>
      <c r="J47" s="386"/>
      <c r="K47" s="386"/>
      <c r="L47" s="38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5">
        <v>2.5000000000000001E-2</v>
      </c>
      <c r="E48" s="5" t="s">
        <v>399</v>
      </c>
      <c r="F48" s="93">
        <f>530*3/60</f>
        <v>26.5</v>
      </c>
      <c r="G48" s="93" t="s">
        <v>400</v>
      </c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353">
        <f>D48/D40</f>
        <v>6.9637883008356549E-5</v>
      </c>
      <c r="E49" s="3" t="s">
        <v>401</v>
      </c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8.75" x14ac:dyDescent="0.3">
      <c r="A52" s="5"/>
      <c r="B52" s="5"/>
      <c r="C52" s="82"/>
      <c r="D52" s="339" t="s">
        <v>387</v>
      </c>
      <c r="E52" s="5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326" t="s">
        <v>389</v>
      </c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5">
        <v>2.1</v>
      </c>
      <c r="E54" s="5" t="s">
        <v>388</v>
      </c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>
        <v>9.6</v>
      </c>
      <c r="E55" s="5" t="s">
        <v>388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3">
        <f>AVERAGE(D54:D55)</f>
        <v>5.85</v>
      </c>
      <c r="E56" s="3" t="s">
        <v>375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349">
        <f>_xlfn.STDEV.P(D54:D55)/AVERAGE(D54:D55)*100</f>
        <v>64.102564102564102</v>
      </c>
      <c r="E57" s="5" t="s">
        <v>373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 t="s">
        <v>376</v>
      </c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>
        <f>(1.02 + 2.92)/(2*100)</f>
        <v>1.9699999999999999E-2</v>
      </c>
      <c r="E60" s="5" t="s">
        <v>377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3" t="s">
        <v>390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>
        <f>D60/0.2</f>
        <v>9.849999999999999E-2</v>
      </c>
      <c r="E62" s="5" t="s">
        <v>378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 t="s">
        <v>379</v>
      </c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3">
        <f>(D56/1000)/D62</f>
        <v>5.9390862944162438E-2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3">
        <f>D64*100</f>
        <v>5.9390862944162439</v>
      </c>
      <c r="E65" s="3" t="s">
        <v>380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53" r:id="rId1" location="t0030" display="https://www.sciencedirect.com/science/article/pii/S0308814611010983 - t0030" xr:uid="{097B9D8F-E388-4968-8BD1-B85EE3E43595}"/>
    <hyperlink ref="D34" r:id="rId2" xr:uid="{2E1FDEC5-F85F-43DC-A219-BEA096C3162F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AE10:AE27 AC10:AC15 AC17:AC27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zoomScale="75" zoomScaleNormal="47" workbookViewId="0">
      <selection activeCell="O39" sqref="O39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6" width="25.85546875" style="3" bestFit="1" customWidth="1"/>
    <col min="17" max="17" width="15.28515625" style="3" customWidth="1"/>
    <col min="18" max="18" width="18.140625" style="3" bestFit="1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387"/>
      <c r="E6" s="387"/>
      <c r="F6" s="5"/>
      <c r="G6" s="5"/>
      <c r="H6" s="387"/>
      <c r="I6" s="387"/>
      <c r="J6" s="15"/>
      <c r="K6" s="15"/>
      <c r="L6" s="5"/>
      <c r="M6" s="387"/>
      <c r="N6" s="387"/>
      <c r="O6" s="387"/>
      <c r="P6" s="387"/>
      <c r="Q6" s="5"/>
      <c r="R6" s="5"/>
      <c r="S6" s="394"/>
      <c r="T6" s="394"/>
      <c r="U6" s="394"/>
      <c r="V6" s="394"/>
      <c r="W6" s="394"/>
      <c r="X6" s="394"/>
      <c r="Y6" s="394"/>
      <c r="Z6" s="394"/>
      <c r="AA6" s="394"/>
      <c r="AB6" s="394"/>
      <c r="AC6" s="394"/>
      <c r="AD6" s="394"/>
      <c r="AE6" s="394"/>
      <c r="AF6" s="394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16"/>
      <c r="L8" s="5"/>
      <c r="M8" s="401" t="s">
        <v>70</v>
      </c>
      <c r="N8" s="402"/>
      <c r="O8" s="402"/>
      <c r="P8" s="402"/>
      <c r="Q8" s="403"/>
      <c r="R8" s="5"/>
      <c r="S8" s="395" t="s">
        <v>76</v>
      </c>
      <c r="T8" s="396"/>
      <c r="U8" s="397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386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342">
        <f>D51</f>
        <v>0.11966666666666666</v>
      </c>
      <c r="O10" s="175"/>
      <c r="P10" s="176"/>
      <c r="Q10" s="177"/>
      <c r="R10" s="5" t="s">
        <v>349</v>
      </c>
      <c r="S10" s="99">
        <v>330</v>
      </c>
      <c r="T10" s="100" t="s">
        <v>168</v>
      </c>
      <c r="U10" s="101">
        <v>0.08</v>
      </c>
      <c r="V10" s="80"/>
      <c r="W10" s="134">
        <v>44</v>
      </c>
      <c r="X10" s="79">
        <v>330</v>
      </c>
      <c r="Y10" s="135"/>
      <c r="Z10" s="133"/>
      <c r="AA10" s="15"/>
      <c r="AB10" s="132" t="s">
        <v>12</v>
      </c>
      <c r="AC10" s="79" t="s">
        <v>170</v>
      </c>
      <c r="AD10" s="135" t="s">
        <v>12</v>
      </c>
      <c r="AE10" s="79" t="s">
        <v>224</v>
      </c>
      <c r="AF10" s="133">
        <v>10</v>
      </c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>
        <v>230</v>
      </c>
      <c r="F11" s="210" t="s">
        <v>176</v>
      </c>
      <c r="G11" s="5"/>
      <c r="H11" s="65" t="s">
        <v>65</v>
      </c>
      <c r="I11" s="343">
        <f>D35/1000000</f>
        <v>3.0238130000000001</v>
      </c>
      <c r="J11" s="210" t="s">
        <v>185</v>
      </c>
      <c r="K11" s="5"/>
      <c r="L11" s="5"/>
      <c r="M11" s="72" t="s">
        <v>74</v>
      </c>
      <c r="N11" s="252" t="s">
        <v>12</v>
      </c>
      <c r="O11" s="341"/>
      <c r="P11" s="76"/>
      <c r="Q11" s="253"/>
      <c r="R11" s="5" t="s">
        <v>186</v>
      </c>
      <c r="S11" s="99">
        <v>330</v>
      </c>
      <c r="T11" s="100" t="s">
        <v>224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171</v>
      </c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343">
        <f>(D39/1000)/(100/60)</f>
        <v>0.43079999999999996</v>
      </c>
      <c r="J12" s="210" t="str">
        <f>J15</f>
        <v>t/h</v>
      </c>
      <c r="K12" s="5"/>
      <c r="L12" s="5"/>
      <c r="M12" s="340" t="s">
        <v>75</v>
      </c>
      <c r="N12" s="122" t="s">
        <v>318</v>
      </c>
      <c r="O12" s="121"/>
      <c r="P12" s="75"/>
      <c r="Q12" s="123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168</v>
      </c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72"/>
      <c r="N13" s="122" t="s">
        <v>170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318</v>
      </c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122" t="s">
        <v>171</v>
      </c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320</v>
      </c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73"/>
      <c r="N15" s="105" t="s">
        <v>168</v>
      </c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3" t="s">
        <v>176</v>
      </c>
      <c r="K16" s="5"/>
      <c r="L16" s="5"/>
      <c r="M16" s="73"/>
      <c r="N16" s="105" t="s">
        <v>320</v>
      </c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242"/>
      <c r="I17" s="66" t="s">
        <v>168</v>
      </c>
      <c r="J17" s="210" t="s">
        <v>176</v>
      </c>
      <c r="K17" s="5"/>
      <c r="L17" s="5"/>
      <c r="M17" s="73"/>
      <c r="N17" s="105" t="s">
        <v>14</v>
      </c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244"/>
      <c r="I18" s="66" t="s">
        <v>318</v>
      </c>
      <c r="J18" s="210" t="s">
        <v>176</v>
      </c>
      <c r="K18" s="5"/>
      <c r="L18" s="5"/>
      <c r="M18" s="73"/>
      <c r="N18" s="105" t="s">
        <v>317</v>
      </c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244"/>
      <c r="I19" s="66" t="s">
        <v>170</v>
      </c>
      <c r="J19" s="210" t="s">
        <v>176</v>
      </c>
      <c r="K19" s="5"/>
      <c r="L19" s="5"/>
      <c r="M19" s="73"/>
      <c r="N19" s="105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244"/>
      <c r="I20" s="66" t="s">
        <v>320</v>
      </c>
      <c r="J20" s="210" t="s">
        <v>176</v>
      </c>
      <c r="K20" s="5"/>
      <c r="L20" s="5"/>
      <c r="M20" s="106"/>
      <c r="N20" s="105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240"/>
      <c r="I21" s="66" t="s">
        <v>14</v>
      </c>
      <c r="J21" s="210" t="s">
        <v>176</v>
      </c>
      <c r="K21" s="5"/>
      <c r="L21" s="5"/>
      <c r="M21" s="106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240"/>
      <c r="I22" s="66"/>
      <c r="J22" s="210" t="s">
        <v>176</v>
      </c>
      <c r="K22" s="5"/>
      <c r="L22" s="5"/>
      <c r="M22" s="106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240"/>
      <c r="I23" s="78"/>
      <c r="J23" s="210" t="s">
        <v>176</v>
      </c>
      <c r="K23" s="5"/>
      <c r="L23" s="5"/>
      <c r="M23" s="106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240"/>
      <c r="I24" s="78"/>
      <c r="J24" s="210" t="s">
        <v>176</v>
      </c>
      <c r="K24" s="11"/>
      <c r="L24" s="11"/>
      <c r="M24" s="106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240"/>
      <c r="I25" s="78"/>
      <c r="J25" s="210" t="s">
        <v>176</v>
      </c>
      <c r="K25" s="11"/>
      <c r="L25" s="11"/>
      <c r="M25" s="106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240"/>
      <c r="I26" s="78"/>
      <c r="J26" s="210" t="s">
        <v>176</v>
      </c>
      <c r="K26" s="5"/>
      <c r="L26" s="5"/>
      <c r="M26" s="106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241"/>
      <c r="I27" s="77"/>
      <c r="J27" s="211" t="s">
        <v>176</v>
      </c>
      <c r="K27" s="5"/>
      <c r="L27" s="5"/>
      <c r="M27" s="107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336" t="s">
        <v>357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.75" x14ac:dyDescent="0.3">
      <c r="A33" s="5"/>
      <c r="B33" s="5"/>
      <c r="C33" s="82"/>
      <c r="D33" s="339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345" t="s">
        <v>364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5">
        <v>3023813</v>
      </c>
      <c r="E35" s="5" t="s">
        <v>365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 t="s">
        <v>402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3">
        <v>718</v>
      </c>
      <c r="E37" s="5" t="s">
        <v>366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3" t="s">
        <v>367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3">
        <v>718</v>
      </c>
      <c r="E39" s="3" t="s">
        <v>368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3">
        <v>100</v>
      </c>
      <c r="E40" s="3" t="s">
        <v>362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3">
        <f>(D39/1000)/(100/60)</f>
        <v>0.43079999999999996</v>
      </c>
      <c r="E42" s="3" t="s">
        <v>186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ht="18.75" x14ac:dyDescent="0.3">
      <c r="A44" s="5"/>
      <c r="B44" s="5"/>
      <c r="C44" s="82"/>
      <c r="D44" s="339" t="s">
        <v>70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345" t="s">
        <v>359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>
        <v>0.1</v>
      </c>
      <c r="E46" s="5" t="s">
        <v>361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345" t="s">
        <v>360</v>
      </c>
      <c r="E47" s="5"/>
      <c r="F47" s="6"/>
      <c r="G47" s="6"/>
      <c r="H47" s="386"/>
      <c r="I47" s="386"/>
      <c r="J47" s="386"/>
      <c r="K47" s="386"/>
      <c r="L47" s="38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5">
        <v>100</v>
      </c>
      <c r="E48" s="5" t="s">
        <v>362</v>
      </c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3">
        <f>0.1*100/(60)</f>
        <v>0.16666666666666666</v>
      </c>
      <c r="E50" s="3" t="s">
        <v>403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3">
        <f>D50*D37/1000</f>
        <v>0.11966666666666666</v>
      </c>
      <c r="E51" s="3" t="s">
        <v>349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8.75" x14ac:dyDescent="0.25">
      <c r="A53" s="5"/>
      <c r="B53" s="5"/>
      <c r="C53" s="82"/>
      <c r="D53" s="347" t="s">
        <v>370</v>
      </c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t="s">
        <v>369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ht="15.75" x14ac:dyDescent="0.25">
      <c r="A55" s="5"/>
      <c r="B55" s="5"/>
      <c r="C55" s="82"/>
      <c r="D55" s="9" t="s">
        <v>371</v>
      </c>
      <c r="E55" s="9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 t="s">
        <v>372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>
        <v>6.3</v>
      </c>
      <c r="E57" s="5" t="s">
        <v>374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>
        <v>9.3000000000000007</v>
      </c>
      <c r="E58" s="5" t="s">
        <v>374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3">
        <f>AVERAGE(D57:D58)</f>
        <v>7.8000000000000007</v>
      </c>
      <c r="E59" s="3" t="s">
        <v>375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349">
        <f>_xlfn.STDEV.P(D57:D58)/AVERAGE(D57:D58)*100</f>
        <v>19.230769230769198</v>
      </c>
      <c r="E60" s="5" t="s">
        <v>373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 t="s">
        <v>376</v>
      </c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>
        <f>(1.02 + 2.92)/(2*100)</f>
        <v>1.9699999999999999E-2</v>
      </c>
      <c r="E63" s="5" t="s">
        <v>377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3" t="s">
        <v>390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>
        <f>D63/0.2</f>
        <v>9.849999999999999E-2</v>
      </c>
      <c r="E65" s="5" t="s">
        <v>378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 t="s">
        <v>379</v>
      </c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3">
        <f>(D59/1000)/D65</f>
        <v>7.9187817258883256E-2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3">
        <f>D67*100</f>
        <v>7.9187817258883255</v>
      </c>
      <c r="E68" s="3" t="s">
        <v>380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5"/>
      <c r="D69" s="5" t="s">
        <v>381</v>
      </c>
      <c r="E69" s="5"/>
      <c r="F69" s="5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5"/>
      <c r="D70" s="5"/>
      <c r="E70" s="5"/>
      <c r="F70" s="5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ht="18.75" x14ac:dyDescent="0.3">
      <c r="A71" s="5"/>
      <c r="B71" s="5"/>
      <c r="C71" s="5"/>
      <c r="D71" s="339" t="s">
        <v>83</v>
      </c>
      <c r="E71" s="339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ht="18.75" x14ac:dyDescent="0.3">
      <c r="A72" s="5"/>
      <c r="B72" s="5"/>
      <c r="C72" s="5"/>
      <c r="D72" s="339"/>
      <c r="E72" s="339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ht="18.75" x14ac:dyDescent="0.3">
      <c r="A73" s="5"/>
      <c r="B73" s="5"/>
      <c r="C73" s="5"/>
      <c r="D73" s="339"/>
      <c r="E73" s="339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hyperlinks>
    <hyperlink ref="D45" r:id="rId1" xr:uid="{77AD8BEE-F12B-4CD7-90B2-33040B7FD8D6}"/>
    <hyperlink ref="D47" r:id="rId2" xr:uid="{A3BBA102-768D-409E-B36F-E85381CDEB89}"/>
    <hyperlink ref="D34" r:id="rId3" xr:uid="{6BBE215B-2FE7-4EEE-BB37-4607DE37F9FD}"/>
  </hyperlinks>
  <pageMargins left="0.7" right="0.7" top="0.78740157499999996" bottom="0.78740157499999996" header="0.3" footer="0.3"/>
  <pageSetup paperSize="0" orientation="portrait" r:id="rId4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topLeftCell="A3" zoomScale="75" zoomScaleNormal="47" workbookViewId="0">
      <selection activeCell="E10" sqref="E10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17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387"/>
      <c r="E6" s="387"/>
      <c r="F6" s="5"/>
      <c r="G6" s="5"/>
      <c r="H6" s="387"/>
      <c r="I6" s="387"/>
      <c r="J6" s="15"/>
      <c r="K6" s="15"/>
      <c r="L6" s="5"/>
      <c r="M6" s="387"/>
      <c r="N6" s="387"/>
      <c r="O6" s="387"/>
      <c r="P6" s="387"/>
      <c r="Q6" s="5"/>
      <c r="R6" s="5"/>
      <c r="S6" s="394"/>
      <c r="T6" s="394"/>
      <c r="U6" s="394"/>
      <c r="V6" s="394"/>
      <c r="W6" s="394"/>
      <c r="X6" s="394"/>
      <c r="Y6" s="394"/>
      <c r="Z6" s="394"/>
      <c r="AA6" s="394"/>
      <c r="AB6" s="394"/>
      <c r="AC6" s="394"/>
      <c r="AD6" s="394"/>
      <c r="AE6" s="394"/>
      <c r="AF6" s="394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16"/>
      <c r="L8" s="5"/>
      <c r="M8" s="401" t="s">
        <v>70</v>
      </c>
      <c r="N8" s="402"/>
      <c r="O8" s="402"/>
      <c r="P8" s="402"/>
      <c r="Q8" s="403"/>
      <c r="R8" s="5"/>
      <c r="S8" s="395" t="s">
        <v>76</v>
      </c>
      <c r="T8" s="396"/>
      <c r="U8" s="397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456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>
        <v>0.1</v>
      </c>
      <c r="P10" s="176"/>
      <c r="Q10" s="177"/>
      <c r="R10" s="5" t="s">
        <v>192</v>
      </c>
      <c r="S10" s="99">
        <v>3000</v>
      </c>
      <c r="T10" s="100" t="s">
        <v>168</v>
      </c>
      <c r="U10" s="101">
        <v>1</v>
      </c>
      <c r="V10" s="80"/>
      <c r="W10" s="134"/>
      <c r="X10" s="79">
        <v>3000</v>
      </c>
      <c r="Y10" s="135">
        <v>220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>
        <v>320</v>
      </c>
      <c r="F11" s="210" t="s">
        <v>176</v>
      </c>
      <c r="G11" s="5"/>
      <c r="H11" s="65" t="s">
        <v>65</v>
      </c>
      <c r="I11" s="101">
        <f>50000/1000000</f>
        <v>0.05</v>
      </c>
      <c r="J11" s="210" t="s">
        <v>185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186</v>
      </c>
      <c r="S11" s="99">
        <v>220</v>
      </c>
      <c r="T11" s="100" t="s">
        <v>224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224</v>
      </c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210" t="s">
        <v>176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224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168</v>
      </c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60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336" t="s">
        <v>357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 t="s">
        <v>405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5" t="s">
        <v>363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D33" s="345" t="s">
        <v>404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3" t="s">
        <v>406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>
        <v>20</v>
      </c>
      <c r="E36" s="5" t="s">
        <v>181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>
        <v>100</v>
      </c>
      <c r="E37" s="5" t="s">
        <v>181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5" t="s">
        <v>407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 t="s">
        <v>410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ht="17.25" x14ac:dyDescent="0.25">
      <c r="A40" s="5"/>
      <c r="B40" s="5"/>
      <c r="C40" s="82"/>
      <c r="D40" s="355">
        <v>4.1859999999999999</v>
      </c>
      <c r="E40" s="5" t="s">
        <v>408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5">
        <f>D40*(100-25)</f>
        <v>313.95</v>
      </c>
      <c r="E41" s="5" t="s">
        <v>409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 t="s">
        <v>411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356">
        <v>2257</v>
      </c>
      <c r="E43" s="5" t="s">
        <v>409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 t="s">
        <v>412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>
        <f>D43 + D41</f>
        <v>2570.9499999999998</v>
      </c>
      <c r="E46" s="5" t="s">
        <v>409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6" t="s">
        <v>414</v>
      </c>
      <c r="E47" s="6"/>
      <c r="F47" s="6"/>
      <c r="G47" s="6"/>
      <c r="H47" s="386"/>
      <c r="I47" s="386"/>
      <c r="J47" s="386"/>
      <c r="K47" s="386"/>
      <c r="L47" s="38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 t="s">
        <v>415</v>
      </c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>
        <f>D46/(8*3600)</f>
        <v>8.9269097222222218E-2</v>
      </c>
      <c r="E50" s="346" t="s">
        <v>416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>
        <f>D50</f>
        <v>8.9269097222222218E-2</v>
      </c>
      <c r="E51" s="3" t="s">
        <v>349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04D922C5-1FA7-4603-A476-8C147C6038BB}"/>
  </hyperlinks>
  <pageMargins left="0.7" right="0.7" top="0.78740157499999996" bottom="0.78740157499999996" header="0.3" footer="0.3"/>
  <pageSetup paperSize="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P13:Q13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N13:O13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topLeftCell="P1" zoomScale="75" zoomScaleNormal="47" workbookViewId="0">
      <selection activeCell="E11" sqref="E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4.85546875" style="3" customWidth="1"/>
    <col min="5" max="5" width="16.4257812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387"/>
      <c r="E6" s="387"/>
      <c r="F6" s="5"/>
      <c r="G6" s="5"/>
      <c r="H6" s="387"/>
      <c r="I6" s="387"/>
      <c r="J6" s="15"/>
      <c r="K6" s="15"/>
      <c r="L6" s="5"/>
      <c r="M6" s="387"/>
      <c r="N6" s="387"/>
      <c r="O6" s="387"/>
      <c r="P6" s="387"/>
      <c r="Q6" s="5"/>
      <c r="R6" s="5"/>
      <c r="S6" s="394"/>
      <c r="T6" s="394"/>
      <c r="U6" s="394"/>
      <c r="V6" s="394"/>
      <c r="W6" s="394"/>
      <c r="X6" s="394"/>
      <c r="Y6" s="394"/>
      <c r="Z6" s="394"/>
      <c r="AA6" s="394"/>
      <c r="AB6" s="394"/>
      <c r="AC6" s="394"/>
      <c r="AD6" s="394"/>
      <c r="AE6" s="394"/>
      <c r="AF6" s="394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16"/>
      <c r="L8" s="5"/>
      <c r="M8" s="401" t="s">
        <v>70</v>
      </c>
      <c r="N8" s="402"/>
      <c r="O8" s="402"/>
      <c r="P8" s="402"/>
      <c r="Q8" s="403"/>
      <c r="R8" s="5"/>
      <c r="S8" s="395" t="s">
        <v>76</v>
      </c>
      <c r="T8" s="396"/>
      <c r="U8" s="397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457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248" t="s">
        <v>73</v>
      </c>
      <c r="N10" s="175"/>
      <c r="O10" s="175">
        <v>0.1</v>
      </c>
      <c r="P10" s="176"/>
      <c r="Q10" s="177"/>
      <c r="R10" s="5" t="s">
        <v>192</v>
      </c>
      <c r="S10" s="99">
        <v>3000</v>
      </c>
      <c r="T10" s="100" t="s">
        <v>168</v>
      </c>
      <c r="U10" s="101">
        <v>1</v>
      </c>
      <c r="V10" s="80"/>
      <c r="W10" s="134"/>
      <c r="X10" s="79">
        <v>3000</v>
      </c>
      <c r="Y10" s="135">
        <v>230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>
        <v>330</v>
      </c>
      <c r="F11" s="210" t="s">
        <v>176</v>
      </c>
      <c r="G11" s="5"/>
      <c r="H11" s="65" t="s">
        <v>65</v>
      </c>
      <c r="I11" s="101">
        <f>50000/1000000</f>
        <v>0.05</v>
      </c>
      <c r="J11" s="210" t="s">
        <v>185</v>
      </c>
      <c r="K11" s="5"/>
      <c r="L11" s="5"/>
      <c r="M11" s="249" t="s">
        <v>74</v>
      </c>
      <c r="N11" s="121"/>
      <c r="O11" s="121" t="s">
        <v>12</v>
      </c>
      <c r="P11" s="75"/>
      <c r="Q11" s="123"/>
      <c r="R11" s="5" t="s">
        <v>186</v>
      </c>
      <c r="S11" s="99">
        <v>230</v>
      </c>
      <c r="T11" s="100" t="s">
        <v>224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224</v>
      </c>
      <c r="P12" s="79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210" t="s">
        <v>176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5"/>
      <c r="O14" s="71"/>
      <c r="P14" s="71"/>
      <c r="Q14" s="66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5"/>
      <c r="O15" s="71"/>
      <c r="P15" s="71"/>
      <c r="Q15" s="66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224</v>
      </c>
      <c r="J16" s="213" t="s">
        <v>176</v>
      </c>
      <c r="K16" s="5"/>
      <c r="L16" s="5"/>
      <c r="M16" s="244"/>
      <c r="N16" s="105"/>
      <c r="O16" s="71"/>
      <c r="P16" s="71"/>
      <c r="Q16" s="66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168</v>
      </c>
      <c r="J17" s="210" t="s">
        <v>176</v>
      </c>
      <c r="K17" s="5"/>
      <c r="L17" s="5"/>
      <c r="M17" s="244"/>
      <c r="N17" s="105"/>
      <c r="O17" s="71"/>
      <c r="P17" s="71"/>
      <c r="Q17" s="66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65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5"/>
      <c r="O18" s="71"/>
      <c r="P18" s="71"/>
      <c r="Q18" s="66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5"/>
      <c r="O19" s="71"/>
      <c r="P19" s="71"/>
      <c r="Q19" s="66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5"/>
      <c r="O20" s="71"/>
      <c r="P20" s="71"/>
      <c r="Q20" s="66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5"/>
      <c r="O21" s="71"/>
      <c r="P21" s="71"/>
      <c r="Q21" s="66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5"/>
      <c r="O22" s="71"/>
      <c r="P22" s="71"/>
      <c r="Q22" s="66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5"/>
      <c r="O23" s="71"/>
      <c r="P23" s="71"/>
      <c r="Q23" s="66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5"/>
      <c r="O24" s="71"/>
      <c r="P24" s="71"/>
      <c r="Q24" s="66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5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5"/>
      <c r="O26" s="71"/>
      <c r="P26" s="71"/>
      <c r="Q26" s="66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8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336" t="s">
        <v>357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5" t="s">
        <v>417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386"/>
      <c r="E47" s="386"/>
      <c r="F47" s="386"/>
      <c r="G47" s="386"/>
      <c r="H47" s="386"/>
      <c r="I47" s="386"/>
      <c r="J47" s="386"/>
      <c r="K47" s="386"/>
      <c r="L47" s="38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P13:Q13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3B62653E-B9B7-4D83-81E0-3917F0515141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N13:O13 T10:T27 AE10:AE27 N14:Q27 N12:Q12 AC10:AC27 I16:I27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topLeftCell="U6" zoomScale="70" zoomScaleNormal="70" workbookViewId="0">
      <selection activeCell="AL28" sqref="AL28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6.4257812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6" width="20" style="3" bestFit="1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>
        <f>1-(AJ12+AJ13)</f>
        <v>0.39</v>
      </c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07"/>
      <c r="E6" s="407"/>
      <c r="F6" s="5"/>
      <c r="G6" s="5"/>
      <c r="H6" s="407"/>
      <c r="I6" s="407"/>
      <c r="J6" s="15"/>
      <c r="K6" s="15"/>
      <c r="L6" s="5"/>
      <c r="M6" s="407"/>
      <c r="N6" s="407"/>
      <c r="O6" s="407"/>
      <c r="P6" s="407"/>
      <c r="Q6" s="5"/>
      <c r="R6" s="5"/>
      <c r="S6" s="408"/>
      <c r="T6" s="408"/>
      <c r="U6" s="408"/>
      <c r="V6" s="408"/>
      <c r="W6" s="408"/>
      <c r="X6" s="408"/>
      <c r="Y6" s="408"/>
      <c r="Z6" s="408"/>
      <c r="AA6" s="408"/>
      <c r="AB6" s="408"/>
      <c r="AC6" s="408"/>
      <c r="AD6" s="408"/>
      <c r="AE6" s="408"/>
      <c r="AF6" s="40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16"/>
      <c r="L8" s="5"/>
      <c r="M8" s="401" t="s">
        <v>70</v>
      </c>
      <c r="N8" s="402"/>
      <c r="O8" s="402"/>
      <c r="P8" s="402"/>
      <c r="Q8" s="403"/>
      <c r="R8" s="5"/>
      <c r="S8" s="395" t="s">
        <v>76</v>
      </c>
      <c r="T8" s="396"/>
      <c r="U8" s="397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11"/>
      <c r="AH8" s="404" t="s">
        <v>5</v>
      </c>
      <c r="AI8" s="405"/>
      <c r="AJ8" s="406"/>
      <c r="AK8" s="94"/>
      <c r="AL8" s="404" t="s">
        <v>6</v>
      </c>
      <c r="AM8" s="405"/>
      <c r="AN8" s="406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 t="s">
        <v>200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>
        <v>1E-3</v>
      </c>
      <c r="O10" s="175"/>
      <c r="P10" s="251"/>
      <c r="Q10" s="177"/>
      <c r="R10" s="5" t="s">
        <v>192</v>
      </c>
      <c r="S10" s="99">
        <v>2000</v>
      </c>
      <c r="T10" s="100" t="s">
        <v>194</v>
      </c>
      <c r="U10" s="101">
        <v>0.99</v>
      </c>
      <c r="V10" s="102"/>
      <c r="W10" s="134">
        <v>22</v>
      </c>
      <c r="X10" s="79">
        <v>2000</v>
      </c>
      <c r="Y10" s="135">
        <v>1000</v>
      </c>
      <c r="Z10" s="133"/>
      <c r="AA10" s="71"/>
      <c r="AB10" s="132" t="s">
        <v>12</v>
      </c>
      <c r="AC10" s="79" t="s">
        <v>14</v>
      </c>
      <c r="AD10" s="135" t="s">
        <v>12</v>
      </c>
      <c r="AE10" s="79" t="s">
        <v>171</v>
      </c>
      <c r="AF10" s="133">
        <v>10</v>
      </c>
      <c r="AG10" s="116"/>
      <c r="AH10" s="122" t="s">
        <v>171</v>
      </c>
      <c r="AI10" s="121">
        <v>1</v>
      </c>
      <c r="AJ10" s="123">
        <v>-1</v>
      </c>
      <c r="AK10" s="111"/>
      <c r="AL10" s="124">
        <v>1</v>
      </c>
      <c r="AM10" s="125" t="s">
        <v>171</v>
      </c>
      <c r="AN10" s="126">
        <v>0.95</v>
      </c>
      <c r="AO10" s="83"/>
    </row>
    <row r="11" spans="3:41" ht="19.5" thickBot="1" x14ac:dyDescent="0.35">
      <c r="C11" s="82"/>
      <c r="D11" s="65" t="s">
        <v>3</v>
      </c>
      <c r="E11" s="66">
        <v>210</v>
      </c>
      <c r="F11" s="210" t="s">
        <v>176</v>
      </c>
      <c r="G11" s="5"/>
      <c r="H11" s="65" t="s">
        <v>65</v>
      </c>
      <c r="I11" s="101">
        <v>0.2</v>
      </c>
      <c r="J11" s="210" t="s">
        <v>185</v>
      </c>
      <c r="K11" s="75"/>
      <c r="L11" s="75"/>
      <c r="M11" s="249" t="s">
        <v>74</v>
      </c>
      <c r="N11" s="121" t="s">
        <v>13</v>
      </c>
      <c r="O11" s="121"/>
      <c r="P11" s="252"/>
      <c r="Q11" s="253"/>
      <c r="R11" s="5" t="s">
        <v>186</v>
      </c>
      <c r="S11" s="99">
        <v>2000</v>
      </c>
      <c r="T11" s="100" t="s">
        <v>14</v>
      </c>
      <c r="U11" s="101">
        <v>5.0000000000000001E-3</v>
      </c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1</v>
      </c>
      <c r="AJ11" s="123">
        <v>0.39</v>
      </c>
      <c r="AK11" s="111"/>
      <c r="AL11" s="112">
        <v>8</v>
      </c>
      <c r="AM11" s="6" t="s">
        <v>320</v>
      </c>
      <c r="AN11" s="127">
        <v>0.6</v>
      </c>
      <c r="AO11" s="83"/>
    </row>
    <row r="12" spans="3:41" ht="18.75" x14ac:dyDescent="0.3">
      <c r="C12" s="82"/>
      <c r="D12" s="65" t="s">
        <v>40</v>
      </c>
      <c r="E12" s="255" t="s">
        <v>220</v>
      </c>
      <c r="F12" s="210" t="s">
        <v>176</v>
      </c>
      <c r="G12" s="5"/>
      <c r="H12" s="65" t="s">
        <v>66</v>
      </c>
      <c r="I12" s="343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245"/>
      <c r="P12" s="176"/>
      <c r="Q12" s="177"/>
      <c r="R12" s="110"/>
      <c r="S12" s="99">
        <v>1000</v>
      </c>
      <c r="T12" s="100" t="s">
        <v>174</v>
      </c>
      <c r="U12" s="101">
        <v>1</v>
      </c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194</v>
      </c>
      <c r="AI12" s="121">
        <v>1</v>
      </c>
      <c r="AJ12" s="123">
        <v>0.36</v>
      </c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243"/>
      <c r="N13" s="247"/>
      <c r="O13" s="247"/>
      <c r="P13" s="71"/>
      <c r="Q13" s="66"/>
      <c r="R13" s="110"/>
      <c r="S13" s="99"/>
      <c r="T13" s="100"/>
      <c r="U13" s="101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174</v>
      </c>
      <c r="AI13" s="102">
        <v>1</v>
      </c>
      <c r="AJ13" s="104">
        <v>0.25</v>
      </c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244"/>
      <c r="N14" s="247"/>
      <c r="O14" s="247"/>
      <c r="P14" s="75"/>
      <c r="Q14" s="78"/>
      <c r="R14" s="110"/>
      <c r="S14" s="99"/>
      <c r="T14" s="71"/>
      <c r="U14" s="101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320</v>
      </c>
      <c r="AI14" s="102">
        <v>8</v>
      </c>
      <c r="AJ14" s="104">
        <v>-1</v>
      </c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244"/>
      <c r="N15" s="239"/>
      <c r="O15" s="239"/>
      <c r="P15" s="75"/>
      <c r="Q15" s="78"/>
      <c r="R15" s="110"/>
      <c r="S15" s="99"/>
      <c r="T15" s="71"/>
      <c r="U15" s="101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22" t="s">
        <v>15</v>
      </c>
      <c r="AI15" s="102">
        <v>8</v>
      </c>
      <c r="AJ15" s="123">
        <v>0.39</v>
      </c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238" t="s">
        <v>320</v>
      </c>
      <c r="J16" s="210" t="s">
        <v>176</v>
      </c>
      <c r="K16" s="75"/>
      <c r="L16" s="75"/>
      <c r="M16" s="244"/>
      <c r="N16" s="240"/>
      <c r="O16" s="240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22" t="s">
        <v>194</v>
      </c>
      <c r="AI16" s="102">
        <v>8</v>
      </c>
      <c r="AJ16" s="123">
        <v>0.36</v>
      </c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>
        <v>25</v>
      </c>
      <c r="F17" s="210" t="s">
        <v>180</v>
      </c>
      <c r="G17" s="5"/>
      <c r="H17" s="214"/>
      <c r="I17" s="239" t="s">
        <v>171</v>
      </c>
      <c r="J17" s="210" t="s">
        <v>176</v>
      </c>
      <c r="K17" s="75"/>
      <c r="L17" s="75"/>
      <c r="M17" s="244"/>
      <c r="N17" s="240"/>
      <c r="O17" s="240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174</v>
      </c>
      <c r="AI17" s="102">
        <v>8</v>
      </c>
      <c r="AJ17" s="104">
        <v>0.25</v>
      </c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>
        <v>30</v>
      </c>
      <c r="F18" s="210" t="s">
        <v>180</v>
      </c>
      <c r="G18" s="5"/>
      <c r="H18" s="73"/>
      <c r="I18" s="239" t="s">
        <v>14</v>
      </c>
      <c r="J18" s="210"/>
      <c r="K18" s="75"/>
      <c r="L18" s="75"/>
      <c r="M18" s="244"/>
      <c r="N18" s="240"/>
      <c r="O18" s="240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180</v>
      </c>
      <c r="G19" s="5"/>
      <c r="H19" s="73"/>
      <c r="I19" s="239" t="s">
        <v>318</v>
      </c>
      <c r="J19" s="210"/>
      <c r="K19" s="75"/>
      <c r="L19" s="75"/>
      <c r="M19" s="244"/>
      <c r="N19" s="240"/>
      <c r="O19" s="240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180</v>
      </c>
      <c r="G20" s="5"/>
      <c r="H20" s="73"/>
      <c r="I20" s="239" t="s">
        <v>168</v>
      </c>
      <c r="J20" s="210"/>
      <c r="K20" s="75"/>
      <c r="L20" s="75"/>
      <c r="M20" s="240"/>
      <c r="N20" s="240"/>
      <c r="O20" s="240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170</v>
      </c>
      <c r="J21" s="210"/>
      <c r="K21" s="75"/>
      <c r="L21" s="75"/>
      <c r="M21" s="240"/>
      <c r="N21" s="240"/>
      <c r="O21" s="240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75"/>
      <c r="L22" s="75"/>
      <c r="M22" s="240"/>
      <c r="N22" s="240"/>
      <c r="O22" s="240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75"/>
      <c r="L23" s="75"/>
      <c r="M23" s="240"/>
      <c r="N23" s="240"/>
      <c r="O23" s="240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78"/>
      <c r="J24" s="172"/>
      <c r="K24" s="75"/>
      <c r="L24" s="75"/>
      <c r="M24" s="240"/>
      <c r="N24" s="240"/>
      <c r="O24" s="240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78"/>
      <c r="J25" s="172"/>
      <c r="K25" s="75"/>
      <c r="L25" s="75"/>
      <c r="M25" s="240"/>
      <c r="N25" s="240"/>
      <c r="O25" s="240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78"/>
      <c r="J26" s="210"/>
      <c r="K26" s="75"/>
      <c r="L26" s="75"/>
      <c r="M26" s="240"/>
      <c r="N26" s="240"/>
      <c r="O26" s="240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75"/>
      <c r="L27" s="75"/>
      <c r="M27" s="241"/>
      <c r="N27" s="241"/>
      <c r="O27" s="241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336" t="s">
        <v>357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335" t="s">
        <v>51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345" t="s">
        <v>418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357" t="s">
        <v>336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357" t="s">
        <v>337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357" t="s">
        <v>338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358" t="s">
        <v>339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358" t="s">
        <v>340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357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ht="18.75" x14ac:dyDescent="0.3">
      <c r="C42" s="82"/>
      <c r="D42" s="339" t="s">
        <v>5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359" t="s">
        <v>420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 t="s">
        <v>421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326" t="s">
        <v>422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 t="s">
        <v>423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3">
        <f>AVERAGE(0.46, 0.26)</f>
        <v>0.36</v>
      </c>
      <c r="E47" s="5" t="s">
        <v>424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349">
        <f>_xlfn.STDEV.P(0.46, 0.26)/D47</f>
        <v>0.2777777777777779</v>
      </c>
      <c r="E48" s="5" t="s">
        <v>425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ht="18.75" x14ac:dyDescent="0.3">
      <c r="C52" s="82"/>
      <c r="D52" s="339" t="s">
        <v>70</v>
      </c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11" t="s">
        <v>344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326" t="s">
        <v>350</v>
      </c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 t="s">
        <v>345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>
        <v>5</v>
      </c>
      <c r="E57" s="5" t="s">
        <v>346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>
        <v>4</v>
      </c>
      <c r="E58" s="5" t="s">
        <v>347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>
        <f>5/(4*3600)</f>
        <v>3.4722222222222224E-4</v>
      </c>
      <c r="E59" s="5" t="s">
        <v>348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>
        <f>D59*D58</f>
        <v>1.3888888888888889E-3</v>
      </c>
      <c r="E60" s="5" t="s">
        <v>349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4CB2F91C-8F16-4F4E-86E0-3D801C40CC8D}"/>
    <hyperlink ref="D43" r:id="rId2" xr:uid="{735DA10A-ECAC-4024-9CAC-BF96E45E8A6F}"/>
    <hyperlink ref="D45" r:id="rId3" xr:uid="{931BC11F-0DCB-4BC5-B8DD-9E63F83D5527}"/>
    <hyperlink ref="D55" r:id="rId4" display="https://www.sciencedirect.com/science/article/pii/0376738894000611" xr:uid="{84406160-0525-4B02-8FF2-FB0C47AE5672}"/>
  </hyperlinks>
  <pageMargins left="0.7" right="0.7" top="0.78740157499999996" bottom="0.78740157499999996" header="0.3" footer="0.3"/>
  <pageSetup paperSize="0" orientation="portrait" r:id="rId5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0D84E79C-45E3-4730-88AB-1BADB4862E06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N12:Q12 P14:Q27 AH10:AH27 T10:T27 AC10:AC27 I16:I27 N13:O27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zoomScale="70" zoomScaleNormal="70" workbookViewId="0">
      <selection activeCell="E11" sqref="E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20.140625" style="3" bestFit="1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6" width="19.85546875" style="3" bestFit="1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07"/>
      <c r="E6" s="407"/>
      <c r="F6" s="5"/>
      <c r="G6" s="5"/>
      <c r="H6" s="407"/>
      <c r="I6" s="407"/>
      <c r="J6" s="15"/>
      <c r="K6" s="15"/>
      <c r="L6" s="5"/>
      <c r="M6" s="407"/>
      <c r="N6" s="407"/>
      <c r="O6" s="407"/>
      <c r="P6" s="407"/>
      <c r="Q6" s="5"/>
      <c r="R6" s="5"/>
      <c r="S6" s="408"/>
      <c r="T6" s="408"/>
      <c r="U6" s="408"/>
      <c r="V6" s="408"/>
      <c r="W6" s="408"/>
      <c r="X6" s="408"/>
      <c r="Y6" s="408"/>
      <c r="Z6" s="408"/>
      <c r="AA6" s="408"/>
      <c r="AB6" s="408"/>
      <c r="AC6" s="408"/>
      <c r="AD6" s="408"/>
      <c r="AE6" s="408"/>
      <c r="AF6" s="40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16"/>
      <c r="L8" s="5"/>
      <c r="M8" s="401" t="s">
        <v>70</v>
      </c>
      <c r="N8" s="402"/>
      <c r="O8" s="402"/>
      <c r="P8" s="402"/>
      <c r="Q8" s="403"/>
      <c r="R8" s="5"/>
      <c r="S8" s="395" t="s">
        <v>76</v>
      </c>
      <c r="T8" s="396"/>
      <c r="U8" s="397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11"/>
      <c r="AH8" s="404" t="s">
        <v>5</v>
      </c>
      <c r="AI8" s="405"/>
      <c r="AJ8" s="406"/>
      <c r="AK8" s="94"/>
      <c r="AL8" s="404" t="s">
        <v>6</v>
      </c>
      <c r="AM8" s="405"/>
      <c r="AN8" s="406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257" t="s">
        <v>448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63" t="s">
        <v>73</v>
      </c>
      <c r="N10" s="360">
        <f>E55</f>
        <v>1.0153846153846154E-2</v>
      </c>
      <c r="O10" s="360">
        <f>E56</f>
        <v>0.12692307692307692</v>
      </c>
      <c r="P10" s="176"/>
      <c r="Q10" s="177"/>
      <c r="R10" s="5" t="s">
        <v>349</v>
      </c>
      <c r="S10" s="122">
        <v>777</v>
      </c>
      <c r="T10" s="121" t="s">
        <v>173</v>
      </c>
      <c r="U10" s="123">
        <v>1</v>
      </c>
      <c r="V10" s="102"/>
      <c r="W10" s="134"/>
      <c r="X10" s="79">
        <v>777</v>
      </c>
      <c r="Y10" s="135">
        <v>1000</v>
      </c>
      <c r="Z10" s="30">
        <v>1100</v>
      </c>
      <c r="AA10" s="71"/>
      <c r="AB10" s="132"/>
      <c r="AC10" s="79"/>
      <c r="AD10" s="135"/>
      <c r="AE10" s="79"/>
      <c r="AF10" s="133"/>
      <c r="AG10" s="116"/>
      <c r="AH10" s="122" t="s">
        <v>171</v>
      </c>
      <c r="AI10" s="121">
        <v>2</v>
      </c>
      <c r="AJ10" s="123">
        <v>-1</v>
      </c>
      <c r="AK10" s="111"/>
      <c r="AL10" s="124">
        <v>2</v>
      </c>
      <c r="AM10" s="125" t="s">
        <v>171</v>
      </c>
      <c r="AN10" s="126">
        <v>0.99</v>
      </c>
      <c r="AO10" s="83"/>
    </row>
    <row r="11" spans="3:41" ht="18.75" x14ac:dyDescent="0.3">
      <c r="C11" s="82"/>
      <c r="D11" s="65" t="s">
        <v>3</v>
      </c>
      <c r="E11" s="66">
        <v>200</v>
      </c>
      <c r="F11" s="210" t="s">
        <v>176</v>
      </c>
      <c r="G11" s="5"/>
      <c r="H11" s="65" t="s">
        <v>65</v>
      </c>
      <c r="I11" s="101">
        <v>0.7</v>
      </c>
      <c r="J11" s="210" t="s">
        <v>185</v>
      </c>
      <c r="K11" s="75"/>
      <c r="L11" s="75"/>
      <c r="M11" s="72" t="s">
        <v>74</v>
      </c>
      <c r="N11" s="121" t="s">
        <v>12</v>
      </c>
      <c r="O11" s="121" t="s">
        <v>12</v>
      </c>
      <c r="P11" s="121"/>
      <c r="Q11" s="123"/>
      <c r="R11" s="5" t="s">
        <v>186</v>
      </c>
      <c r="S11" s="49">
        <v>1000</v>
      </c>
      <c r="T11" s="71" t="s">
        <v>174</v>
      </c>
      <c r="U11" s="30">
        <v>1</v>
      </c>
      <c r="V11" s="102"/>
      <c r="W11" s="105"/>
      <c r="Y11" s="102"/>
      <c r="Z11" s="30"/>
      <c r="AA11" s="71"/>
      <c r="AB11" s="103"/>
      <c r="AC11" s="71"/>
      <c r="AD11" s="102"/>
      <c r="AE11" s="71"/>
      <c r="AF11" s="104"/>
      <c r="AG11" s="116"/>
      <c r="AH11" s="122" t="s">
        <v>173</v>
      </c>
      <c r="AI11" s="121">
        <v>2</v>
      </c>
      <c r="AJ11" s="123">
        <v>0.14000000000000001</v>
      </c>
      <c r="AK11" s="111"/>
      <c r="AL11" s="112">
        <v>3</v>
      </c>
      <c r="AM11" s="6" t="s">
        <v>170</v>
      </c>
      <c r="AN11" s="127">
        <v>0.5</v>
      </c>
      <c r="AO11" s="83"/>
    </row>
    <row r="12" spans="3:41" ht="18.75" x14ac:dyDescent="0.3">
      <c r="C12" s="82"/>
      <c r="D12" s="65" t="s">
        <v>40</v>
      </c>
      <c r="E12" s="255" t="s">
        <v>220</v>
      </c>
      <c r="F12" s="210" t="s">
        <v>176</v>
      </c>
      <c r="G12" s="5"/>
      <c r="H12" s="65" t="s">
        <v>66</v>
      </c>
      <c r="I12" s="344">
        <f>260/(55*24)</f>
        <v>0.19696969696969696</v>
      </c>
      <c r="J12" s="210" t="str">
        <f>J15</f>
        <v>t/h</v>
      </c>
      <c r="K12" s="75"/>
      <c r="L12" s="75"/>
      <c r="M12" s="72" t="s">
        <v>75</v>
      </c>
      <c r="N12" s="121" t="s">
        <v>171</v>
      </c>
      <c r="O12" s="121" t="s">
        <v>171</v>
      </c>
      <c r="P12" s="75"/>
      <c r="Q12" s="123"/>
      <c r="R12" s="110"/>
      <c r="S12" s="49"/>
      <c r="T12" s="71"/>
      <c r="U12" s="30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174</v>
      </c>
      <c r="AI12" s="121">
        <v>2</v>
      </c>
      <c r="AJ12" s="123">
        <v>0.86</v>
      </c>
      <c r="AK12" s="111"/>
      <c r="AL12" s="112">
        <v>4</v>
      </c>
      <c r="AM12" s="6" t="s">
        <v>318</v>
      </c>
      <c r="AN12" s="127">
        <v>0.6</v>
      </c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72"/>
      <c r="N13" s="121" t="s">
        <v>318</v>
      </c>
      <c r="O13" s="121" t="s">
        <v>318</v>
      </c>
      <c r="P13" s="71"/>
      <c r="Q13" s="66"/>
      <c r="R13" s="110"/>
      <c r="S13" s="49"/>
      <c r="T13" s="71"/>
      <c r="U13" s="30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170</v>
      </c>
      <c r="AI13" s="102">
        <v>3</v>
      </c>
      <c r="AJ13" s="104">
        <v>-1</v>
      </c>
      <c r="AK13" s="111"/>
      <c r="AL13" s="113">
        <v>8</v>
      </c>
      <c r="AM13" s="6" t="s">
        <v>320</v>
      </c>
      <c r="AN13" s="114">
        <v>0.2</v>
      </c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73"/>
      <c r="N14" s="71" t="s">
        <v>170</v>
      </c>
      <c r="O14" s="71" t="s">
        <v>170</v>
      </c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173</v>
      </c>
      <c r="AI14" s="102">
        <v>3</v>
      </c>
      <c r="AJ14" s="123">
        <v>0.14000000000000001</v>
      </c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73"/>
      <c r="N15" s="71" t="s">
        <v>168</v>
      </c>
      <c r="O15" s="71" t="s">
        <v>168</v>
      </c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174</v>
      </c>
      <c r="AI15" s="102">
        <v>3</v>
      </c>
      <c r="AJ15" s="123">
        <v>0.86</v>
      </c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0" t="s">
        <v>176</v>
      </c>
      <c r="K16" s="75"/>
      <c r="L16" s="75"/>
      <c r="M16" s="73"/>
      <c r="N16" s="71" t="s">
        <v>320</v>
      </c>
      <c r="O16" s="71" t="s">
        <v>320</v>
      </c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 t="s">
        <v>318</v>
      </c>
      <c r="AI16" s="71">
        <v>4</v>
      </c>
      <c r="AJ16" s="104">
        <v>-1</v>
      </c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>
        <v>20</v>
      </c>
      <c r="F17" s="210" t="s">
        <v>180</v>
      </c>
      <c r="G17" s="5"/>
      <c r="H17" s="214"/>
      <c r="I17" s="66" t="s">
        <v>168</v>
      </c>
      <c r="J17" s="210" t="s">
        <v>176</v>
      </c>
      <c r="K17" s="75"/>
      <c r="L17" s="75"/>
      <c r="M17" s="73"/>
      <c r="N17" s="71" t="s">
        <v>14</v>
      </c>
      <c r="O17" s="71" t="s">
        <v>14</v>
      </c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173</v>
      </c>
      <c r="AI17" s="71">
        <v>4</v>
      </c>
      <c r="AJ17" s="123">
        <v>0.14000000000000001</v>
      </c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>
        <v>35</v>
      </c>
      <c r="F18" s="210" t="s">
        <v>180</v>
      </c>
      <c r="G18" s="5"/>
      <c r="H18" s="73"/>
      <c r="I18" s="66" t="s">
        <v>318</v>
      </c>
      <c r="J18" s="210"/>
      <c r="K18" s="75"/>
      <c r="L18" s="75"/>
      <c r="M18" s="73"/>
      <c r="N18" s="71"/>
      <c r="O18" s="71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 t="s">
        <v>174</v>
      </c>
      <c r="AI18" s="71">
        <v>4</v>
      </c>
      <c r="AJ18" s="123">
        <v>0.86</v>
      </c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180</v>
      </c>
      <c r="G19" s="5"/>
      <c r="H19" s="73"/>
      <c r="I19" s="66" t="s">
        <v>170</v>
      </c>
      <c r="J19" s="210"/>
      <c r="K19" s="75"/>
      <c r="L19" s="75"/>
      <c r="M19" s="73"/>
      <c r="N19" s="75"/>
      <c r="O19" s="71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 t="s">
        <v>320</v>
      </c>
      <c r="AI19" s="71">
        <v>8</v>
      </c>
      <c r="AJ19" s="123">
        <v>-1</v>
      </c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180</v>
      </c>
      <c r="G20" s="5"/>
      <c r="H20" s="73"/>
      <c r="I20" s="66"/>
      <c r="J20" s="210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 t="s">
        <v>174</v>
      </c>
      <c r="AI20" s="71">
        <v>8</v>
      </c>
      <c r="AJ20" s="123">
        <v>0.14000000000000001</v>
      </c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/>
      <c r="J21" s="210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 t="s">
        <v>173</v>
      </c>
      <c r="AI21" s="71">
        <v>8</v>
      </c>
      <c r="AJ21" s="123">
        <v>0.86</v>
      </c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78"/>
      <c r="J24" s="172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78"/>
      <c r="J25" s="172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78"/>
      <c r="J26" s="210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77"/>
      <c r="J27" s="21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5" t="s">
        <v>427</v>
      </c>
      <c r="E45" s="361">
        <v>100</v>
      </c>
      <c r="F45" s="5" t="s">
        <v>328</v>
      </c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 t="s">
        <v>426</v>
      </c>
      <c r="E46" s="361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 t="s">
        <v>428</v>
      </c>
      <c r="E47" s="361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 t="s">
        <v>429</v>
      </c>
      <c r="E49" s="5">
        <f>55*24</f>
        <v>1320</v>
      </c>
      <c r="F49" s="5" t="s">
        <v>178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 t="s">
        <v>433</v>
      </c>
      <c r="E50" s="5">
        <v>260</v>
      </c>
      <c r="F50" s="5" t="s">
        <v>434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 t="s">
        <v>430</v>
      </c>
      <c r="E52" s="5">
        <f>E49*(E45*E46)</f>
        <v>2640</v>
      </c>
      <c r="F52" s="5" t="s">
        <v>399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 t="s">
        <v>431</v>
      </c>
      <c r="E53" s="5">
        <f>E49*(E45*E47)</f>
        <v>33000</v>
      </c>
      <c r="F53" s="5" t="s">
        <v>399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 t="s">
        <v>432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 t="s">
        <v>430</v>
      </c>
      <c r="E55" s="348">
        <f>E52/260/1000</f>
        <v>1.0153846153846154E-2</v>
      </c>
      <c r="F55" s="5" t="s">
        <v>435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 t="s">
        <v>431</v>
      </c>
      <c r="E56" s="362">
        <f>E53/E50/1000</f>
        <v>0.12692307692307692</v>
      </c>
      <c r="F56" s="5" t="s">
        <v>435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6" spans="3:41" x14ac:dyDescent="0.25">
      <c r="D76" s="337" t="s">
        <v>436</v>
      </c>
    </row>
    <row r="77" spans="3:41" x14ac:dyDescent="0.25">
      <c r="D77" s="3" t="s">
        <v>443</v>
      </c>
    </row>
    <row r="95" spans="4:6" x14ac:dyDescent="0.25">
      <c r="D95" s="3" t="s">
        <v>413</v>
      </c>
    </row>
    <row r="96" spans="4:6" x14ac:dyDescent="0.25">
      <c r="D96" s="3" t="s">
        <v>437</v>
      </c>
      <c r="E96" s="3">
        <v>7.1699999999999997E-4</v>
      </c>
      <c r="F96" s="3" t="s">
        <v>438</v>
      </c>
    </row>
    <row r="97" spans="4:6" x14ac:dyDescent="0.25">
      <c r="D97" s="3" t="s">
        <v>439</v>
      </c>
      <c r="E97" s="3">
        <v>190</v>
      </c>
      <c r="F97" s="3" t="s">
        <v>440</v>
      </c>
    </row>
    <row r="98" spans="4:6" x14ac:dyDescent="0.25">
      <c r="D98" s="3" t="s">
        <v>441</v>
      </c>
      <c r="E98" s="3">
        <f>E97*E96</f>
        <v>0.13622999999999999</v>
      </c>
      <c r="F98" s="3" t="s">
        <v>442</v>
      </c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O12:Q12 AH10:AH27 Q11 I16:I27 AC10:AC27 N12:N27 P14:Q27 O13:O27 T10:T27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zoomScale="58" zoomScaleNormal="58" workbookViewId="0">
      <selection activeCell="O47" sqref="O47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1" width="10.85546875" style="3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3.4257812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07"/>
      <c r="E6" s="407"/>
      <c r="F6" s="5"/>
      <c r="G6" s="5"/>
      <c r="H6" s="407"/>
      <c r="I6" s="407"/>
      <c r="J6" s="15"/>
      <c r="K6" s="15"/>
      <c r="L6" s="5"/>
      <c r="M6" s="407"/>
      <c r="N6" s="407"/>
      <c r="O6" s="407"/>
      <c r="P6" s="407"/>
      <c r="Q6" s="5"/>
      <c r="R6" s="5"/>
      <c r="S6" s="408"/>
      <c r="T6" s="408"/>
      <c r="U6" s="408"/>
      <c r="V6" s="408"/>
      <c r="W6" s="408"/>
      <c r="X6" s="408"/>
      <c r="Y6" s="408"/>
      <c r="Z6" s="408"/>
      <c r="AA6" s="408"/>
      <c r="AB6" s="408"/>
      <c r="AC6" s="408"/>
      <c r="AD6" s="408"/>
      <c r="AE6" s="408"/>
      <c r="AF6" s="40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16"/>
      <c r="L8" s="5"/>
      <c r="M8" s="401" t="s">
        <v>70</v>
      </c>
      <c r="N8" s="402"/>
      <c r="O8" s="402"/>
      <c r="P8" s="402"/>
      <c r="Q8" s="403"/>
      <c r="R8" s="5"/>
      <c r="S8" s="395" t="s">
        <v>76</v>
      </c>
      <c r="T8" s="396"/>
      <c r="U8" s="397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11"/>
      <c r="AH8" s="404" t="s">
        <v>5</v>
      </c>
      <c r="AI8" s="405"/>
      <c r="AJ8" s="406"/>
      <c r="AK8" s="94"/>
      <c r="AL8" s="404" t="s">
        <v>6</v>
      </c>
      <c r="AM8" s="405"/>
      <c r="AN8" s="406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 t="s">
        <v>201</v>
      </c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110"/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173</v>
      </c>
      <c r="AI10" s="121">
        <v>5</v>
      </c>
      <c r="AJ10" s="123">
        <v>-1</v>
      </c>
      <c r="AK10" s="111"/>
      <c r="AL10" s="124">
        <v>5</v>
      </c>
      <c r="AM10" s="125" t="s">
        <v>173</v>
      </c>
      <c r="AN10" s="126">
        <v>1</v>
      </c>
      <c r="AO10" s="83"/>
    </row>
    <row r="11" spans="3:41" ht="18.75" x14ac:dyDescent="0.3">
      <c r="C11" s="82"/>
      <c r="D11" s="65" t="s">
        <v>3</v>
      </c>
      <c r="E11" s="66">
        <v>300</v>
      </c>
      <c r="F11" s="210" t="s">
        <v>176</v>
      </c>
      <c r="G11" s="5"/>
      <c r="H11" s="65" t="s">
        <v>65</v>
      </c>
      <c r="I11" s="101">
        <v>2</v>
      </c>
      <c r="J11" s="83" t="s">
        <v>185</v>
      </c>
      <c r="K11" s="75"/>
      <c r="L11" s="75"/>
      <c r="M11" s="72" t="s">
        <v>74</v>
      </c>
      <c r="N11" s="121"/>
      <c r="O11" s="121"/>
      <c r="P11" s="121"/>
      <c r="Q11" s="121"/>
      <c r="R11" s="110"/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.75" x14ac:dyDescent="0.3">
      <c r="C12" s="82"/>
      <c r="D12" s="65" t="s">
        <v>40</v>
      </c>
      <c r="E12" s="201" t="s">
        <v>161</v>
      </c>
      <c r="F12" s="210" t="s">
        <v>176</v>
      </c>
      <c r="G12" s="5"/>
      <c r="H12" s="65" t="s">
        <v>66</v>
      </c>
      <c r="I12" s="101">
        <v>10</v>
      </c>
      <c r="J12" s="83" t="str">
        <f>J15</f>
        <v>t/h</v>
      </c>
      <c r="K12" s="75"/>
      <c r="L12" s="75"/>
      <c r="M12" s="72" t="s">
        <v>75</v>
      </c>
      <c r="N12" s="121"/>
      <c r="O12" s="121"/>
      <c r="P12" s="75"/>
      <c r="Q12" s="123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E13" s="3" t="s">
        <v>202</v>
      </c>
      <c r="F13" s="210" t="s">
        <v>176</v>
      </c>
      <c r="G13" s="5"/>
      <c r="H13" s="65" t="s">
        <v>67</v>
      </c>
      <c r="I13" s="101">
        <v>0.1</v>
      </c>
      <c r="J13" s="83" t="s">
        <v>176</v>
      </c>
      <c r="K13" s="75"/>
      <c r="L13" s="75"/>
      <c r="M13" s="72" t="s">
        <v>189</v>
      </c>
      <c r="N13" s="71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75"/>
      <c r="L14" s="75"/>
      <c r="M14" s="73"/>
      <c r="N14" s="75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8.75" x14ac:dyDescent="0.3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75"/>
      <c r="L15" s="75"/>
      <c r="M15" s="73"/>
      <c r="N15" s="75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8.75" x14ac:dyDescent="0.3">
      <c r="C16" s="82"/>
      <c r="D16" s="65" t="s">
        <v>57</v>
      </c>
      <c r="E16" s="66">
        <v>1.44</v>
      </c>
      <c r="F16" s="210" t="s">
        <v>176</v>
      </c>
      <c r="G16" s="5"/>
      <c r="H16" s="72" t="s">
        <v>53</v>
      </c>
      <c r="I16" s="66" t="s">
        <v>173</v>
      </c>
      <c r="J16" s="83" t="s">
        <v>176</v>
      </c>
      <c r="K16" s="75"/>
      <c r="L16" s="75"/>
      <c r="M16" s="73"/>
      <c r="N16" s="7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/>
      <c r="F17" s="210" t="s">
        <v>191</v>
      </c>
      <c r="G17" s="5"/>
      <c r="H17" s="72" t="s">
        <v>189</v>
      </c>
      <c r="I17" s="66"/>
      <c r="J17" s="83" t="s">
        <v>176</v>
      </c>
      <c r="K17" s="75"/>
      <c r="L17" s="75"/>
      <c r="M17" s="73"/>
      <c r="N17" s="7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/>
      <c r="F18" s="210" t="s">
        <v>191</v>
      </c>
      <c r="G18" s="5"/>
      <c r="H18" s="73"/>
      <c r="I18" s="66"/>
      <c r="J18" s="83"/>
      <c r="K18" s="75"/>
      <c r="L18" s="75"/>
      <c r="M18" s="73"/>
      <c r="N18" s="75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191</v>
      </c>
      <c r="G19" s="5"/>
      <c r="H19" s="73"/>
      <c r="I19" s="66"/>
      <c r="J19" s="83"/>
      <c r="K19" s="75"/>
      <c r="L19" s="75"/>
      <c r="M19" s="73"/>
      <c r="N19" s="75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191</v>
      </c>
      <c r="G20" s="5"/>
      <c r="H20" s="73"/>
      <c r="I20" s="66"/>
      <c r="J20" s="83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>
        <v>0.57999999999999996</v>
      </c>
      <c r="F21" s="210" t="s">
        <v>176</v>
      </c>
      <c r="G21" s="5"/>
      <c r="H21" s="106"/>
      <c r="I21" s="66"/>
      <c r="J21" s="83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66"/>
      <c r="J22" s="83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78"/>
      <c r="J23" s="83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78"/>
      <c r="J24" s="88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78"/>
      <c r="J25" s="88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78"/>
      <c r="J26" s="83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77"/>
      <c r="J27" s="6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E11" sqref="E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19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20.5703125" style="3" bestFit="1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18.42578125" style="3" bestFit="1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07"/>
      <c r="E6" s="407"/>
      <c r="F6" s="5"/>
      <c r="G6" s="5"/>
      <c r="H6" s="407"/>
      <c r="I6" s="407"/>
      <c r="J6" s="15"/>
      <c r="K6" s="15"/>
      <c r="L6" s="5"/>
      <c r="M6" s="407"/>
      <c r="N6" s="407"/>
      <c r="O6" s="407"/>
      <c r="P6" s="407"/>
      <c r="Q6" s="5"/>
      <c r="R6" s="5"/>
      <c r="S6" s="408"/>
      <c r="T6" s="408"/>
      <c r="U6" s="408"/>
      <c r="V6" s="408"/>
      <c r="W6" s="408"/>
      <c r="X6" s="408"/>
      <c r="Y6" s="408"/>
      <c r="Z6" s="408"/>
      <c r="AA6" s="408"/>
      <c r="AB6" s="408"/>
      <c r="AC6" s="408"/>
      <c r="AD6" s="408"/>
      <c r="AE6" s="408"/>
      <c r="AF6" s="40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5"/>
      <c r="L8" s="5"/>
      <c r="M8" s="401" t="s">
        <v>70</v>
      </c>
      <c r="N8" s="402"/>
      <c r="O8" s="402"/>
      <c r="P8" s="402"/>
      <c r="Q8" s="403"/>
      <c r="R8" s="5"/>
      <c r="S8" s="395" t="s">
        <v>76</v>
      </c>
      <c r="T8" s="396"/>
      <c r="U8" s="397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11"/>
      <c r="AH8" s="404" t="s">
        <v>5</v>
      </c>
      <c r="AI8" s="405"/>
      <c r="AJ8" s="406"/>
      <c r="AK8" s="94"/>
      <c r="AL8" s="404" t="s">
        <v>6</v>
      </c>
      <c r="AM8" s="405"/>
      <c r="AN8" s="406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 t="s">
        <v>447</v>
      </c>
      <c r="F10" s="210" t="s">
        <v>176</v>
      </c>
      <c r="G10" s="5"/>
      <c r="H10" s="63" t="s">
        <v>2</v>
      </c>
      <c r="I10" s="64"/>
      <c r="J10" s="92" t="s">
        <v>176</v>
      </c>
      <c r="K10" s="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173</v>
      </c>
      <c r="AI10" s="121">
        <v>5</v>
      </c>
      <c r="AJ10" s="123">
        <v>-1</v>
      </c>
      <c r="AK10" s="111"/>
      <c r="AL10" s="124">
        <v>5</v>
      </c>
      <c r="AM10" s="125" t="s">
        <v>173</v>
      </c>
      <c r="AN10" s="126">
        <v>1</v>
      </c>
      <c r="AO10" s="83"/>
    </row>
    <row r="11" spans="3:41" ht="19.5" thickBot="1" x14ac:dyDescent="0.35">
      <c r="C11" s="82"/>
      <c r="D11" s="65" t="s">
        <v>3</v>
      </c>
      <c r="E11" s="66">
        <v>310</v>
      </c>
      <c r="F11" s="210" t="s">
        <v>176</v>
      </c>
      <c r="G11" s="5"/>
      <c r="H11" s="65" t="s">
        <v>65</v>
      </c>
      <c r="I11" s="101">
        <v>2</v>
      </c>
      <c r="J11" s="83" t="s">
        <v>185</v>
      </c>
      <c r="K11" s="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.75" x14ac:dyDescent="0.3">
      <c r="C12" s="82"/>
      <c r="D12" s="65" t="s">
        <v>40</v>
      </c>
      <c r="E12" s="201" t="s">
        <v>23</v>
      </c>
      <c r="F12" s="210" t="s">
        <v>176</v>
      </c>
      <c r="G12" s="5"/>
      <c r="H12" s="65" t="s">
        <v>66</v>
      </c>
      <c r="I12" s="101">
        <v>10</v>
      </c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83" t="s">
        <v>176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238" t="s">
        <v>173</v>
      </c>
      <c r="J16" s="92" t="s">
        <v>176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/>
      <c r="F17" s="210" t="s">
        <v>191</v>
      </c>
      <c r="G17" s="5"/>
      <c r="H17" s="72"/>
      <c r="I17" s="239"/>
      <c r="J17" s="83" t="s">
        <v>176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/>
      <c r="F18" s="210" t="s">
        <v>191</v>
      </c>
      <c r="G18" s="5"/>
      <c r="H18" s="73"/>
      <c r="I18" s="239"/>
      <c r="J18" s="83" t="s">
        <v>176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191</v>
      </c>
      <c r="G19" s="5"/>
      <c r="H19" s="73"/>
      <c r="I19" s="239"/>
      <c r="J19" s="83" t="s">
        <v>176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191</v>
      </c>
      <c r="G20" s="5"/>
      <c r="H20" s="73"/>
      <c r="I20" s="239"/>
      <c r="J20" s="83" t="s">
        <v>176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>
        <v>0.83</v>
      </c>
      <c r="F21" s="210" t="s">
        <v>176</v>
      </c>
      <c r="G21" s="5"/>
      <c r="H21" s="106"/>
      <c r="I21" s="239"/>
      <c r="J21" s="83" t="s">
        <v>176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239"/>
      <c r="J22" s="83" t="s">
        <v>176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240"/>
      <c r="J23" s="83" t="s">
        <v>176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240"/>
      <c r="J24" s="83" t="s">
        <v>176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240"/>
      <c r="J25" s="83" t="s">
        <v>176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240"/>
      <c r="J26" s="83" t="s">
        <v>176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61" t="s">
        <v>176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26</vt:i4>
      </vt:variant>
    </vt:vector>
  </HeadingPairs>
  <TitlesOfParts>
    <vt:vector size="26" baseType="lpstr">
      <vt:lpstr>Systemblatt</vt:lpstr>
      <vt:lpstr>DataBank</vt:lpstr>
      <vt:lpstr>Template_PhysicalProcess</vt:lpstr>
      <vt:lpstr>Template_StoichReactor</vt:lpstr>
      <vt:lpstr>Template_YieldReactor</vt:lpstr>
      <vt:lpstr>Template_ElGenerator</vt:lpstr>
      <vt:lpstr>Template_SteamGenerator</vt:lpstr>
      <vt:lpstr>Pools</vt:lpstr>
      <vt:lpstr>Sources</vt:lpstr>
      <vt:lpstr>Uncertainty_test_idea</vt:lpstr>
      <vt:lpstr>Distributor</vt:lpstr>
      <vt:lpstr>Uncertainty</vt:lpstr>
      <vt:lpstr>Grind_and_starch_decantation</vt:lpstr>
      <vt:lpstr>Drying</vt:lpstr>
      <vt:lpstr>Starch_processing</vt:lpstr>
      <vt:lpstr>Lactic Acid fermentation </vt:lpstr>
      <vt:lpstr>Polymerisation</vt:lpstr>
      <vt:lpstr>help_unit</vt:lpstr>
      <vt:lpstr>Microwave assisted extraction</vt:lpstr>
      <vt:lpstr>ultra sound assisted extraction</vt:lpstr>
      <vt:lpstr>Solvent recovery</vt:lpstr>
      <vt:lpstr>Solvent Recovery 2</vt:lpstr>
      <vt:lpstr>Yeast Fermentation</vt:lpstr>
      <vt:lpstr>Anaerobic Digestor</vt:lpstr>
      <vt:lpstr>elek Generator</vt:lpstr>
      <vt:lpstr>steam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2023-12-01T14:55:16Z</dcterms:modified>
</cp:coreProperties>
</file>