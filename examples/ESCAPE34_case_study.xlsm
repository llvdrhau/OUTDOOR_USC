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E681D537-11A2-44DC-84B3-81859CC14517}" xr6:coauthVersionLast="47" xr6:coauthVersionMax="47" xr10:uidLastSave="{00000000-0000-0000-0000-000000000000}"/>
  <bookViews>
    <workbookView xWindow="28680" yWindow="-885" windowWidth="29040" windowHeight="17520" tabRatio="816" firstSheet="11" activeTab="11" xr2:uid="{F0922C42-4112-4628-95FA-9F15DE1E480B}"/>
  </bookViews>
  <sheets>
    <sheet name="Systemblatt" sheetId="14" r:id="rId1"/>
    <sheet name="DataBank" sheetId="12" state="hidden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Grind_and_starch_decantation" sheetId="124" r:id="rId13"/>
    <sheet name="Drying" sheetId="140" r:id="rId14"/>
    <sheet name="Starch_processing" sheetId="141" r:id="rId15"/>
    <sheet name="Lactic Acid fermentation " sheetId="142" r:id="rId16"/>
    <sheet name="Polymerisation" sheetId="143" r:id="rId17"/>
    <sheet name="help_unit" sheetId="129" r:id="rId18"/>
    <sheet name="Microwave assisted extraction" sheetId="125" r:id="rId19"/>
    <sheet name="ultra sound assisted extraction" sheetId="133" r:id="rId20"/>
    <sheet name="Solvent recovery" sheetId="132" r:id="rId21"/>
    <sheet name="Solvent Recovery 2" sheetId="134" r:id="rId22"/>
    <sheet name="Yeast Fermentation" sheetId="127" r:id="rId23"/>
    <sheet name="Anaerobic Digestor" sheetId="126" r:id="rId24"/>
    <sheet name="elek Generator" sheetId="128" r:id="rId25"/>
    <sheet name="steam generator" sheetId="131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114" l="1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sharedStrings.xml><?xml version="1.0" encoding="utf-8"?>
<sst xmlns="http://schemas.openxmlformats.org/spreadsheetml/2006/main" count="2742" uniqueCount="465">
  <si>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</si>
  <si>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</si>
  <si>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</si>
  <si>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</si>
  <si>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</si>
  <si>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</si>
  <si>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</si>
  <si>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</si>
  <si>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</si>
  <si>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</si>
  <si>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</si>
  <si>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</si>
  <si>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</si>
  <si>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</si>
  <si>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</si>
  <si>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</si>
  <si>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</si>
  <si>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</si>
  <si>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</si>
  <si>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</si>
  <si>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</si>
  <si>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</si>
  <si>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</si>
  <si>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</si>
  <si>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</si>
  <si>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</si>
  <si>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</si>
  <si>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</si>
  <si>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</si>
  <si>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</si>
  <si>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</si>
  <si>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</si>
  <si>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</si>
  <si>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</si>
  <si>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</si>
  <si>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</si>
  <si>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</si>
  <si>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</si>
  <si>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</si>
  <si>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</si>
  <si>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</si>
  <si>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</si>
  <si>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</si>
  <si>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</si>
  <si>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</si>
  <si>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</si>
  <si>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</si>
  <si>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</si>
  <si>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</si>
  <si>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</si>
  <si>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</si>
  <si>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</si>
  <si>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</si>
  <si>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</si>
  <si>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</si>
  <si>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</si>
  <si>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</si>
  <si>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</si>
  <si>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</si>
  <si>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</si>
  <si>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</si>
  <si>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</si>
  <si>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</si>
  <si>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</si>
  <si>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</si>
  <si>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</si>
  <si>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</si>
  <si>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</si>
  <si>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</si>
  <si>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</si>
  <si>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</si>
  <si>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</si>
  <si>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</si>
  <si>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</si>
  <si>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</si>
  <si>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</si>
  <si>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</si>
  <si>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</si>
  <si>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</si>
  <si>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</si>
  <si>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</si>
  <si>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</si>
  <si>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</si>
  <si>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</si>
  <si>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</si>
  <si>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</si>
  <si>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</si>
  <si>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</si>
  <si>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</si>
  <si>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</si>
  <si>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</si>
  <si>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</si>
  <si>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</si>
  <si>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</si>
  <si>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</si>
  <si>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</si>
  <si>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</si>
  <si>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</si>
  <si>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</si>
  <si>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</si>
  <si>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</si>
  <si>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</si>
  <si>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</si>
  <si>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</si>
  <si>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</si>
  <si>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</si>
  <si>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</si>
  <si>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</si>
  <si>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</si>
  <si>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</si>
  <si>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</si>
  <si>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</si>
  <si>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</si>
  <si>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</si>
  <si>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</si>
  <si>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</si>
  <si>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</si>
  <si>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</si>
  <si>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</si>
  <si>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</si>
  <si>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</si>
  <si>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</si>
  <si>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</si>
  <si>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</si>
  <si>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</si>
  <si>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</si>
  <si>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</si>
  <si>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</si>
  <si>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</si>
  <si>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</si>
  <si>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</si>
  <si>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</si>
  <si>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</si>
  <si>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</si>
  <si>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</si>
  <si>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</si>
  <si>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</si>
  <si>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</si>
  <si>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</si>
  <si>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</si>
  <si>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</si>
  <si>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</si>
  <si>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</si>
  <si>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</si>
  <si>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</si>
  <si>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</si>
  <si>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</si>
  <si>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</si>
  <si>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</si>
  <si>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</si>
  <si>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</si>
  <si>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</si>
  <si>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</si>
  <si>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</si>
  <si>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</si>
  <si>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</si>
  <si>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</si>
  <si>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</si>
  <si>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</si>
  <si>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</si>
  <si>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</si>
  <si>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</si>
  <si>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</si>
  <si>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</si>
  <si>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</si>
  <si>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</si>
  <si>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</si>
  <si>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</si>
  <si>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</si>
  <si>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</si>
  <si>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</si>
  <si>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</si>
  <si>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</si>
  <si>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</si>
  <si>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</si>
  <si>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</si>
  <si>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</si>
  <si>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</si>
  <si>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</si>
  <si>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</si>
  <si>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</si>
  <si>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</si>
  <si>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</si>
  <si>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</si>
  <si>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</si>
  <si>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</si>
  <si>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</si>
  <si>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</si>
  <si>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</si>
  <si>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</si>
  <si>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</si>
  <si>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</si>
  <si>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</si>
  <si>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</si>
  <si>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</si>
  <si>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</si>
  <si>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</si>
  <si>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</si>
  <si>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</si>
  <si>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</si>
  <si>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</si>
  <si>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</si>
  <si>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</si>
  <si>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</si>
  <si>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</si>
  <si>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</si>
  <si>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</si>
  <si>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</si>
  <si>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</si>
  <si>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</si>
  <si>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</si>
  <si>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</si>
  <si>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</si>
  <si>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</si>
  <si>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</si>
  <si>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</si>
  <si>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</si>
  <si>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</si>
  <si>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</si>
  <si>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</si>
  <si>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</si>
  <si>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</si>
  <si>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</si>
  <si>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</si>
  <si>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</si>
  <si>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</si>
  <si>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</si>
  <si>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</si>
  <si>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</si>
  <si>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</si>
  <si>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</si>
  <si>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</si>
  <si>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</si>
  <si>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</si>
  <si>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</si>
  <si>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</si>
  <si>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</si>
  <si>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</si>
  <si>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</si>
  <si>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</si>
  <si>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</si>
  <si>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</si>
  <si>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</si>
  <si>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</si>
  <si>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</si>
  <si>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</si>
  <si>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</si>
  <si>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</si>
  <si>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</si>
  <si>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</si>
  <si>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</si>
  <si>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</si>
  <si>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</si>
  <si>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</si>
  <si>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</si>
  <si>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</si>
  <si>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</si>
  <si>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</si>
  <si>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</si>
  <si>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</si>
  <si>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</si>
  <si>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</si>
  <si>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</si>
  <si>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</si>
  <si>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</si>
  <si>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</si>
  <si>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</si>
  <si>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</si>
  <si>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</si>
  <si>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</si>
  <si>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</si>
  <si>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</si>
  <si>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</si>
  <si>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</si>
  <si>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</si>
  <si>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</si>
  <si>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</si>
  <si>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</si>
  <si>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</si>
  <si>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</si>
  <si>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</si>
  <si>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</si>
  <si>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</si>
  <si>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</si>
  <si>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</si>
  <si>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</si>
  <si>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</si>
  <si>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</si>
  <si>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</si>
  <si>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</si>
  <si>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</si>
  <si>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</si>
  <si>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</si>
  <si>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</si>
  <si>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</si>
  <si>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</si>
  <si>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</si>
  <si>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</si>
  <si>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</si>
  <si>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</si>
  <si>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</si>
  <si>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</si>
  <si>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</si>
  <si>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</si>
  <si>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</si>
  <si>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</si>
  <si>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</si>
  <si>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</si>
  <si>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</si>
  <si>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</si>
  <si>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odds</t>
  </si>
  <si>
    <t>[0.1, 0.8, 0.1}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</si>
  <si>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</si>
  <si>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</si>
  <si>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</si>
  <si>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</si>
  <si>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</si>
  <si>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</si>
  <si>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</si>
  <si>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</si>
  <si>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</si>
  <si>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</si>
  <si>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</si>
  <si>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</si>
  <si>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</si>
  <si>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</si>
  <si>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</si>
  <si>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</si>
  <si>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</si>
  <si>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</si>
  <si>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</si>
  <si>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</si>
  <si>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</si>
  <si>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</si>
  <si>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</si>
  <si>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</si>
  <si>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</si>
  <si>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</si>
  <si>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</si>
  <si>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</si>
  <si>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</si>
  <si>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</si>
  <si>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</si>
  <si>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</si>
  <si>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</si>
  <si>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</si>
  <si>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</si>
  <si>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</si>
  <si>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</si>
  <si>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</si>
  <si>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</si>
  <si>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</si>
  <si>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</si>
  <si>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</si>
  <si>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</si>
  <si>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</si>
  <si>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</si>
  <si>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</si>
  <si>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</si>
  <si>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</si>
  <si>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</si>
  <si>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</si>
  <si>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</si>
  <si>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</si>
  <si>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</si>
  <si>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</si>
  <si>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</si>
  <si>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</si>
  <si>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</si>
  <si>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</si>
  <si>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</si>
  <si>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</si>
  <si>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</si>
  <si>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</si>
  <si>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</si>
  <si>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</si>
  <si>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</si>
  <si>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</si>
  <si>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</si>
  <si>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</si>
  <si>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</si>
  <si>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</si>
  <si>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</si>
  <si>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</si>
  <si>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</si>
  <si>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</si>
  <si>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</si>
  <si>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</si>
  <si>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</si>
  <si>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</si>
  <si>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</si>
  <si>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</si>
  <si>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</si>
  <si>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</si>
  <si>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</si>
  <si>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</si>
  <si>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</si>
  <si>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</si>
  <si>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</si>
  <si>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</si>
  <si>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</si>
  <si>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</si>
  <si>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</si>
  <si>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</si>
  <si>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</si>
  <si>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</si>
  <si>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</si>
  <si>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</si>
  <si>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</si>
  <si>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</si>
  <si>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</si>
  <si>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</si>
  <si>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</si>
  <si>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</si>
  <si>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</si>
  <si>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</si>
  <si>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</si>
  <si>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</si>
  <si>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</si>
  <si>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</si>
  <si>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</si>
  <si>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</si>
  <si>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</si>
  <si>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</si>
  <si>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</si>
  <si>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</si>
  <si>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</si>
  <si>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</si>
  <si>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</si>
  <si>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</si>
  <si>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</si>
  <si>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</si>
  <si>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</si>
  <si>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</si>
  <si>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</si>
  <si>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</si>
  <si>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</si>
  <si>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</si>
  <si>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</si>
  <si>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</si>
  <si>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</si>
  <si>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</si>
  <si>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</si>
  <si>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</si>
  <si>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</si>
  <si>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</si>
  <si>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</si>
  <si>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</si>
  <si>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</si>
  <si>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</si>
  <si>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</si>
  <si>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</si>
  <si>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ESCAPE34</t>
  </si>
  <si>
    <t>Product prices</t>
  </si>
  <si>
    <t xml:space="preserve">Theta 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</si>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</sst>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30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23" fillId="17" borderId="5" xfId="0" applyFont="1" applyFill="1" applyBorder="1" applyAlignment="1">
      <alignment horizontal="center"/>
    </xf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</cellXfs>
  <cellStyles count="9">
    <cellStyle name="Hipervínculo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180975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104775</xdr:rowOff>
        </xdr:from>
        <xdr:to>
          <xdr:col>2</xdr:col>
          <xdr:colOff>866775</xdr:colOff>
          <xdr:row>37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1362075</xdr:colOff>
          <xdr:row>39</xdr:row>
          <xdr:rowOff>104775</xdr:rowOff>
        </xdr:from>
        <xdr:to>
          <xdr:col>2</xdr:col>
          <xdr:colOff>847725</xdr:colOff>
          <xdr:row>42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847725</xdr:colOff>
          <xdr:row>47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752475</xdr:colOff>
          <xdr:row>51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16</xdr:col>
      <xdr:colOff>160916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328084</xdr:colOff>
      <xdr:row>24</xdr:row>
      <xdr:rowOff>169333</xdr:rowOff>
    </xdr:from>
    <xdr:to>
      <xdr:col>19</xdr:col>
      <xdr:colOff>116416</xdr:colOff>
      <xdr:row>34</xdr:row>
      <xdr:rowOff>158750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5165917" y="4614333"/>
          <a:ext cx="3164416" cy="18203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</a:t>
          </a:r>
          <a:r>
            <a:rPr lang="en-US" sz="1100" baseline="0"/>
            <a:t> to self,</a:t>
          </a:r>
        </a:p>
        <a:p>
          <a:endParaRPr lang="en-US" sz="1100" baseline="0"/>
        </a:p>
        <a:p>
          <a:r>
            <a:rPr lang="en-US" sz="1100" baseline="0"/>
            <a:t>I could speciefe individually what the ods are as a vecotr, of eavh value occuring! </a:t>
          </a:r>
        </a:p>
        <a:p>
          <a:endParaRPr lang="en-US" sz="1100" baseline="0"/>
        </a:p>
        <a:p>
          <a:r>
            <a:rPr lang="en-US" sz="1100" baseline="0"/>
            <a:t>the odds of a scenario then happening is the product of all the odds of each uncertain parameter of that scenario!! todo I want to put this in the code!!! </a:t>
          </a:r>
          <a:endParaRPr lang="en-US" sz="1100"/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408349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24</xdr:col>
      <xdr:colOff>105833</xdr:colOff>
      <xdr:row>9</xdr:row>
      <xdr:rowOff>179917</xdr:rowOff>
    </xdr:from>
    <xdr:to>
      <xdr:col>28</xdr:col>
      <xdr:colOff>451907</xdr:colOff>
      <xdr:row>19</xdr:row>
      <xdr:rowOff>172509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23241000" y="1873250"/>
          <a:ext cx="3394074" cy="18235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doi.org/10.1007/s13399-021-01860-9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17.bin"/><Relationship Id="rId4" Type="http://schemas.openxmlformats.org/officeDocument/2006/relationships/hyperlink" Target="https://www.sciencedirect.com/science/article/pii/0376738894000611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D25" sqref="D25"/>
    </sheetView>
  </sheetViews>
  <sheetFormatPr baseColWidth="10" defaultColWidth="10.85546875" defaultRowHeight="15.75" x14ac:dyDescent="0.25"/>
  <cols>
    <col min="1" max="1" width="19.42578125" style="2" customWidth="1"/>
    <col min="2" max="2" width="41.28515625" style="2" customWidth="1"/>
    <col min="3" max="3" width="26" style="2" bestFit="1" customWidth="1"/>
    <col min="4" max="4" width="13.85546875" style="2" customWidth="1"/>
    <col min="5" max="6" width="21.28515625" style="2" customWidth="1"/>
    <col min="7" max="7" width="17.7109375" style="2" customWidth="1"/>
    <col min="8" max="8" width="22.7109375" style="2" bestFit="1" customWidth="1"/>
    <col min="9" max="9" width="21.85546875" style="2" bestFit="1" customWidth="1"/>
    <col min="10" max="10" width="21" style="2" bestFit="1" customWidth="1"/>
    <col min="11" max="11" width="19.28515625" style="2" customWidth="1"/>
    <col min="12" max="13" width="20.140625" style="2" customWidth="1"/>
    <col min="14" max="14" width="28.85546875" style="2" bestFit="1" customWidth="1"/>
    <col min="15" max="15" width="32.5703125" style="2" bestFit="1" customWidth="1"/>
    <col min="16" max="16" width="21.140625" style="2" bestFit="1" customWidth="1"/>
    <col min="17" max="17" width="16" style="2" bestFit="1" customWidth="1"/>
    <col min="18" max="18" width="22.85546875" style="2" bestFit="1" customWidth="1"/>
    <col min="19" max="19" width="23.85546875" style="2" bestFit="1" customWidth="1"/>
    <col min="20" max="20" width="19.85546875" style="2" bestFit="1" customWidth="1"/>
    <col min="21" max="21" width="19.28515625" style="2" customWidth="1"/>
    <col min="22" max="22" width="23.28515625" style="2" bestFit="1" customWidth="1"/>
    <col min="23" max="23" width="20.140625" style="2" bestFit="1" customWidth="1"/>
    <col min="24" max="24" width="10.85546875" style="2"/>
    <col min="25" max="25" width="10.85546875" style="2" customWidth="1"/>
    <col min="26" max="16384" width="10.85546875" style="2"/>
  </cols>
  <sheetData>
    <row r="1" spans="1:29" ht="21.75" thickBot="1" x14ac:dyDescent="0.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5" thickBot="1" x14ac:dyDescent="0.3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">
      <c r="A3" s="37"/>
      <c r="B3" s="369" t="s">
        <v>29</v>
      </c>
      <c r="C3" s="370"/>
      <c r="D3" s="371"/>
      <c r="F3" s="320" t="s">
        <v>32</v>
      </c>
      <c r="G3" s="321"/>
      <c r="H3" s="321"/>
      <c r="I3" s="321"/>
      <c r="J3" s="321"/>
      <c r="K3" s="322"/>
      <c r="L3" s="14"/>
      <c r="M3" s="14"/>
      <c r="N3" s="375" t="s">
        <v>35</v>
      </c>
      <c r="O3" s="376"/>
      <c r="P3" s="377"/>
      <c r="Q3" s="14"/>
      <c r="R3" s="14"/>
      <c r="S3" s="378" t="s">
        <v>39</v>
      </c>
      <c r="T3" s="379"/>
      <c r="U3" s="379"/>
      <c r="V3" s="380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">
      <c r="A4" s="37"/>
      <c r="B4" s="185" t="s">
        <v>30</v>
      </c>
      <c r="C4" s="186" t="s">
        <v>0</v>
      </c>
      <c r="D4" s="230" t="s">
        <v>175</v>
      </c>
      <c r="E4" s="14"/>
      <c r="F4" s="181" t="s">
        <v>33</v>
      </c>
      <c r="G4" s="182" t="s">
        <v>184</v>
      </c>
      <c r="H4" s="182" t="s">
        <v>182</v>
      </c>
      <c r="I4" s="182" t="s">
        <v>183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75" x14ac:dyDescent="0.3">
      <c r="A5" s="59"/>
      <c r="B5" s="26" t="s">
        <v>27</v>
      </c>
      <c r="C5" s="28" t="s">
        <v>452</v>
      </c>
      <c r="D5" s="231" t="s">
        <v>176</v>
      </c>
      <c r="E5" s="14"/>
      <c r="F5" s="24" t="s">
        <v>319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193</v>
      </c>
      <c r="P5" s="28" t="s">
        <v>171</v>
      </c>
      <c r="Q5" s="14"/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.75" x14ac:dyDescent="0.3">
      <c r="A6" s="37"/>
      <c r="B6" s="24" t="s">
        <v>28</v>
      </c>
      <c r="C6" s="30" t="s">
        <v>167</v>
      </c>
      <c r="D6" s="232" t="s">
        <v>176</v>
      </c>
      <c r="E6" s="14"/>
      <c r="F6" s="24" t="s">
        <v>170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196</v>
      </c>
      <c r="P6" s="30" t="s">
        <v>171</v>
      </c>
      <c r="Q6" s="14"/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9.5" thickBot="1" x14ac:dyDescent="0.35">
      <c r="A7" s="37"/>
      <c r="B7" s="187" t="s">
        <v>130</v>
      </c>
      <c r="C7" s="188" t="s">
        <v>225</v>
      </c>
      <c r="D7" s="232" t="s">
        <v>176</v>
      </c>
      <c r="E7" s="14"/>
      <c r="F7" s="24" t="s">
        <v>171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197</v>
      </c>
      <c r="P7" s="30" t="s">
        <v>170</v>
      </c>
      <c r="Q7" s="14"/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.75" x14ac:dyDescent="0.3">
      <c r="A8" s="37"/>
      <c r="B8" s="228" t="s">
        <v>217</v>
      </c>
      <c r="C8" s="229" t="s">
        <v>216</v>
      </c>
      <c r="D8" s="232" t="s">
        <v>176</v>
      </c>
      <c r="E8" s="14"/>
      <c r="F8" s="24" t="s">
        <v>168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198</v>
      </c>
      <c r="P8" s="30" t="s">
        <v>319</v>
      </c>
      <c r="Q8" s="14"/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75" x14ac:dyDescent="0.3">
      <c r="A9" s="37"/>
      <c r="B9" s="21" t="s">
        <v>289</v>
      </c>
      <c r="C9" s="30"/>
      <c r="D9" s="232" t="s">
        <v>176</v>
      </c>
      <c r="E9" s="14"/>
      <c r="F9" s="24" t="s">
        <v>173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199</v>
      </c>
      <c r="P9" s="30" t="s">
        <v>173</v>
      </c>
      <c r="Q9" s="14"/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.5" thickBot="1" x14ac:dyDescent="0.35">
      <c r="A10" s="37"/>
      <c r="B10" s="27" t="s">
        <v>290</v>
      </c>
      <c r="C10" s="29"/>
      <c r="D10" s="232" t="s">
        <v>177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343</v>
      </c>
      <c r="P10" s="30" t="s">
        <v>321</v>
      </c>
      <c r="Q10" s="14"/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75" x14ac:dyDescent="0.3">
      <c r="A11" s="37"/>
      <c r="B11" s="20" t="s">
        <v>166</v>
      </c>
      <c r="C11" s="28">
        <v>8000</v>
      </c>
      <c r="D11" s="232" t="s">
        <v>292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344</v>
      </c>
      <c r="P11" s="30" t="s">
        <v>171</v>
      </c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.5" thickBot="1" x14ac:dyDescent="0.35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420</v>
      </c>
      <c r="P12" s="30" t="s">
        <v>321</v>
      </c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 x14ac:dyDescent="0.35">
      <c r="A13" s="37"/>
      <c r="B13" s="21" t="s">
        <v>131</v>
      </c>
      <c r="C13" s="30">
        <v>0.05</v>
      </c>
      <c r="D13" s="233"/>
      <c r="E13" s="14"/>
      <c r="F13" s="24" t="s">
        <v>174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75" x14ac:dyDescent="0.3">
      <c r="A14" s="37"/>
      <c r="B14" s="23" t="s">
        <v>132</v>
      </c>
      <c r="C14" s="30" t="s">
        <v>214</v>
      </c>
      <c r="D14" s="233"/>
      <c r="E14" s="14"/>
      <c r="F14" s="24" t="s">
        <v>194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.5" thickBot="1" x14ac:dyDescent="0.35">
      <c r="A15" s="37"/>
      <c r="B15" s="27" t="s">
        <v>165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75" x14ac:dyDescent="0.3">
      <c r="A16" s="37"/>
      <c r="B16" s="26" t="s">
        <v>93</v>
      </c>
      <c r="C16" s="28" t="s">
        <v>94</v>
      </c>
      <c r="D16" s="233"/>
      <c r="E16" s="14"/>
      <c r="F16" s="24" t="s">
        <v>224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75" x14ac:dyDescent="0.3">
      <c r="A17" s="60"/>
      <c r="B17" s="140" t="s">
        <v>95</v>
      </c>
      <c r="C17" s="141">
        <v>2.5</v>
      </c>
      <c r="D17" s="233"/>
      <c r="E17" s="14"/>
      <c r="F17" s="24" t="s">
        <v>275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.5" thickBot="1" x14ac:dyDescent="0.35">
      <c r="A18" s="37"/>
      <c r="B18" s="24" t="s">
        <v>96</v>
      </c>
      <c r="C18" s="30">
        <v>450</v>
      </c>
      <c r="D18" s="233"/>
      <c r="E18" s="14"/>
      <c r="F18" s="24" t="s">
        <v>318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4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384"/>
      <c r="X18" s="384"/>
      <c r="Y18" s="384"/>
      <c r="Z18" s="385"/>
      <c r="AA18" s="14"/>
      <c r="AB18" s="14"/>
      <c r="AC18" s="14"/>
    </row>
    <row r="19" spans="1:29" ht="18.75" x14ac:dyDescent="0.3">
      <c r="A19" s="37"/>
      <c r="B19" s="24" t="s">
        <v>55</v>
      </c>
      <c r="C19" s="30">
        <v>15</v>
      </c>
      <c r="D19" s="232" t="s">
        <v>179</v>
      </c>
      <c r="E19" s="14"/>
      <c r="F19" s="24" t="s">
        <v>321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382"/>
      <c r="Z19" s="383"/>
      <c r="AA19" s="14"/>
      <c r="AB19" s="14"/>
      <c r="AC19" s="14"/>
    </row>
    <row r="20" spans="1:29" ht="18.75" x14ac:dyDescent="0.3">
      <c r="A20" s="37"/>
      <c r="B20" s="24" t="s">
        <v>97</v>
      </c>
      <c r="C20" s="30">
        <v>20</v>
      </c>
      <c r="D20" s="232" t="s">
        <v>181</v>
      </c>
      <c r="E20" s="14"/>
      <c r="F20" s="24" t="s">
        <v>342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82"/>
      <c r="Z20" s="383"/>
      <c r="AA20" s="14"/>
      <c r="AB20" s="14"/>
      <c r="AC20" s="14"/>
    </row>
    <row r="21" spans="1:29" ht="19.5" thickBot="1" x14ac:dyDescent="0.35">
      <c r="A21" s="37"/>
      <c r="B21" s="25" t="s">
        <v>98</v>
      </c>
      <c r="C21" s="29">
        <v>35</v>
      </c>
      <c r="D21" s="234" t="s">
        <v>181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82"/>
      <c r="Z21" s="383"/>
      <c r="AA21" s="14"/>
      <c r="AB21" s="14"/>
      <c r="AC21" s="14"/>
    </row>
    <row r="22" spans="1:29" ht="18.75" x14ac:dyDescent="0.3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82"/>
      <c r="Z22" s="383"/>
      <c r="AA22" s="14"/>
      <c r="AB22" s="14"/>
      <c r="AC22" s="14"/>
    </row>
    <row r="23" spans="1:29" ht="18.75" x14ac:dyDescent="0.3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81"/>
      <c r="U23" s="381"/>
      <c r="V23" s="8"/>
      <c r="W23" s="8"/>
      <c r="X23" s="8"/>
      <c r="Y23" s="8"/>
      <c r="Z23" s="22"/>
      <c r="AA23" s="14"/>
      <c r="AB23" s="14"/>
      <c r="AC23" s="14"/>
    </row>
    <row r="24" spans="1:29" ht="18.75" x14ac:dyDescent="0.3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75" x14ac:dyDescent="0.3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2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2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2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.5" thickBot="1" x14ac:dyDescent="0.3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75" thickBot="1" x14ac:dyDescent="0.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72" t="s">
        <v>133</v>
      </c>
      <c r="O30" s="373"/>
      <c r="P30" s="374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75" thickBot="1" x14ac:dyDescent="0.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134</v>
      </c>
      <c r="O31" s="192" t="s">
        <v>135</v>
      </c>
      <c r="P31" s="192" t="s">
        <v>136</v>
      </c>
      <c r="Q31" s="14"/>
      <c r="R31" s="14"/>
      <c r="S31" s="372" t="s">
        <v>140</v>
      </c>
      <c r="T31" s="373"/>
      <c r="U31" s="373"/>
      <c r="V31" s="373"/>
      <c r="W31" s="374"/>
      <c r="X31" s="14"/>
      <c r="Y31" s="14"/>
      <c r="Z31" s="36"/>
      <c r="AA31" s="14"/>
      <c r="AB31" s="14"/>
      <c r="AC31" s="14"/>
    </row>
    <row r="32" spans="1:29" ht="21.75" thickBot="1" x14ac:dyDescent="0.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141</v>
      </c>
      <c r="T32" s="194" t="s">
        <v>142</v>
      </c>
      <c r="U32" s="194" t="s">
        <v>143</v>
      </c>
      <c r="V32" s="194" t="s">
        <v>144</v>
      </c>
      <c r="W32" s="195" t="s">
        <v>145</v>
      </c>
      <c r="X32" s="14"/>
      <c r="Y32" s="14"/>
      <c r="Z32" s="36"/>
      <c r="AA32" s="14"/>
      <c r="AB32" s="14"/>
      <c r="AC32" s="14"/>
    </row>
    <row r="33" spans="1:29" ht="18.75" x14ac:dyDescent="0.3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0">
        <v>0.58599999999999997</v>
      </c>
      <c r="Q33" s="14"/>
      <c r="R33" s="14"/>
      <c r="S33" s="26" t="s">
        <v>164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.5" thickBot="1" x14ac:dyDescent="0.3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75" x14ac:dyDescent="0.3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 x14ac:dyDescent="0.3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75" x14ac:dyDescent="0.3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.5" thickBot="1" x14ac:dyDescent="0.35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75" x14ac:dyDescent="0.3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75" x14ac:dyDescent="0.3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.5" thickBot="1" x14ac:dyDescent="0.3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75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75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75" x14ac:dyDescent="0.3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75" x14ac:dyDescent="0.3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75" x14ac:dyDescent="0.3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75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75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75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75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75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75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25">
      <c r="H67" s="319" t="s">
        <v>22</v>
      </c>
    </row>
    <row r="72" spans="1:29" x14ac:dyDescent="0.25">
      <c r="A72" s="2" t="s">
        <v>22</v>
      </c>
    </row>
    <row r="79" spans="1:29" x14ac:dyDescent="0.2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104775</xdr:rowOff>
                  </from>
                  <to>
                    <xdr:col>2</xdr:col>
                    <xdr:colOff>866775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1362075</xdr:colOff>
                    <xdr:row>39</xdr:row>
                    <xdr:rowOff>104775</xdr:rowOff>
                  </from>
                  <to>
                    <xdr:col>2</xdr:col>
                    <xdr:colOff>847725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847725</xdr:colOff>
                    <xdr:row>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752475</xdr:colOff>
                    <xdr:row>51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P2" sqref="P2"/>
    </sheetView>
  </sheetViews>
  <sheetFormatPr baseColWidth="10" defaultColWidth="10.85546875" defaultRowHeight="15" x14ac:dyDescent="0.25"/>
  <cols>
    <col min="7" max="8" width="24.140625" bestFit="1" customWidth="1"/>
  </cols>
  <sheetData>
    <row r="1" spans="1:21" ht="15.75" x14ac:dyDescent="0.25">
      <c r="A1" t="s">
        <v>26</v>
      </c>
      <c r="B1" t="s">
        <v>187</v>
      </c>
      <c r="F1" s="1" t="s">
        <v>16</v>
      </c>
      <c r="L1" t="s">
        <v>138</v>
      </c>
      <c r="P1" t="s">
        <v>327</v>
      </c>
    </row>
    <row r="2" spans="1:21" ht="15.75" x14ac:dyDescent="0.25">
      <c r="A2" t="s">
        <v>25</v>
      </c>
      <c r="B2" t="s">
        <v>187</v>
      </c>
      <c r="C2" t="s">
        <v>25</v>
      </c>
      <c r="F2" s="180" t="s">
        <v>116</v>
      </c>
      <c r="L2" t="s">
        <v>122</v>
      </c>
      <c r="P2" t="s">
        <v>327</v>
      </c>
    </row>
    <row r="3" spans="1:21" ht="15.75" x14ac:dyDescent="0.25">
      <c r="A3" t="s">
        <v>12</v>
      </c>
      <c r="B3" t="s">
        <v>186</v>
      </c>
      <c r="C3" t="s">
        <v>12</v>
      </c>
      <c r="F3" s="227" t="s">
        <v>213</v>
      </c>
      <c r="L3" t="s">
        <v>139</v>
      </c>
    </row>
    <row r="4" spans="1:21" ht="15.75" x14ac:dyDescent="0.25">
      <c r="A4" t="s">
        <v>13</v>
      </c>
      <c r="B4" t="s">
        <v>186</v>
      </c>
      <c r="C4" t="s">
        <v>13</v>
      </c>
      <c r="F4" s="227" t="s">
        <v>214</v>
      </c>
      <c r="L4" t="s">
        <v>126</v>
      </c>
    </row>
    <row r="5" spans="1:21" ht="15.75" x14ac:dyDescent="0.25">
      <c r="A5" t="s">
        <v>20</v>
      </c>
      <c r="C5" t="s">
        <v>20</v>
      </c>
      <c r="F5" s="227" t="s">
        <v>215</v>
      </c>
      <c r="L5" t="s">
        <v>124</v>
      </c>
    </row>
    <row r="6" spans="1:21" x14ac:dyDescent="0.25">
      <c r="A6" t="s">
        <v>24</v>
      </c>
      <c r="C6" t="s">
        <v>24</v>
      </c>
      <c r="L6" t="s">
        <v>125</v>
      </c>
    </row>
    <row r="7" spans="1:21" x14ac:dyDescent="0.25">
      <c r="A7" t="s">
        <v>109</v>
      </c>
      <c r="L7" t="s">
        <v>123</v>
      </c>
    </row>
    <row r="8" spans="1:21" x14ac:dyDescent="0.25">
      <c r="A8" t="s">
        <v>110</v>
      </c>
      <c r="L8" t="s">
        <v>162</v>
      </c>
    </row>
    <row r="9" spans="1:21" x14ac:dyDescent="0.25">
      <c r="A9" t="s">
        <v>119</v>
      </c>
      <c r="L9" t="s">
        <v>163</v>
      </c>
    </row>
    <row r="10" spans="1:21" x14ac:dyDescent="0.25">
      <c r="A10" t="s">
        <v>120</v>
      </c>
      <c r="L10" t="s">
        <v>164</v>
      </c>
    </row>
    <row r="14" spans="1:21" x14ac:dyDescent="0.25">
      <c r="A14" t="s">
        <v>218</v>
      </c>
    </row>
    <row r="15" spans="1:21" x14ac:dyDescent="0.25">
      <c r="A15" t="s">
        <v>216</v>
      </c>
    </row>
    <row r="16" spans="1:21" x14ac:dyDescent="0.25">
      <c r="G16" s="323" t="s">
        <v>127</v>
      </c>
      <c r="H16" s="323" t="s">
        <v>149</v>
      </c>
      <c r="I16" t="s">
        <v>150</v>
      </c>
      <c r="J16" t="s">
        <v>152</v>
      </c>
      <c r="K16" t="s">
        <v>153</v>
      </c>
      <c r="M16" t="s">
        <v>244</v>
      </c>
      <c r="O16" t="s">
        <v>251</v>
      </c>
      <c r="R16" t="s">
        <v>253</v>
      </c>
      <c r="U16" t="s">
        <v>252</v>
      </c>
    </row>
    <row r="17" spans="7:21" x14ac:dyDescent="0.2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58">
        <v>2</v>
      </c>
      <c r="O17" t="s">
        <v>286</v>
      </c>
      <c r="R17" t="s">
        <v>240</v>
      </c>
      <c r="U17" t="s">
        <v>267</v>
      </c>
    </row>
    <row r="18" spans="7:21" x14ac:dyDescent="0.2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58">
        <v>3</v>
      </c>
      <c r="O18" t="s">
        <v>281</v>
      </c>
      <c r="R18" t="s">
        <v>245</v>
      </c>
      <c r="U18" t="s">
        <v>269</v>
      </c>
    </row>
    <row r="19" spans="7:21" x14ac:dyDescent="0.25">
      <c r="G19" t="s">
        <v>146</v>
      </c>
      <c r="H19" t="s">
        <v>148</v>
      </c>
      <c r="M19" s="258" t="s">
        <v>281</v>
      </c>
      <c r="R19" t="s">
        <v>246</v>
      </c>
      <c r="U19" t="s">
        <v>268</v>
      </c>
    </row>
    <row r="20" spans="7:21" x14ac:dyDescent="0.25">
      <c r="G20" t="s">
        <v>129</v>
      </c>
      <c r="H20" t="s">
        <v>137</v>
      </c>
      <c r="R20" t="s">
        <v>247</v>
      </c>
    </row>
    <row r="21" spans="7:21" x14ac:dyDescent="0.25">
      <c r="G21" t="s">
        <v>225</v>
      </c>
      <c r="H21" t="s">
        <v>288</v>
      </c>
    </row>
    <row r="22" spans="7:21" x14ac:dyDescent="0.25">
      <c r="G22" t="s">
        <v>291</v>
      </c>
    </row>
    <row r="35" spans="2:2" x14ac:dyDescent="0.25">
      <c r="B35" t="s">
        <v>219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86"/>
      <c r="E47" s="386"/>
      <c r="F47" s="386"/>
      <c r="G47" s="38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7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404" t="s">
        <v>5</v>
      </c>
      <c r="AI8" s="405"/>
      <c r="AJ8" s="406"/>
      <c r="AK8" s="94"/>
      <c r="AL8" s="404" t="s">
        <v>6</v>
      </c>
      <c r="AM8" s="405"/>
      <c r="AN8" s="406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/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.5" thickBot="1" x14ac:dyDescent="0.3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75"/>
      <c r="L11" s="75"/>
      <c r="M11" s="249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25">
      <c r="A6" s="5"/>
      <c r="B6" s="5"/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83"/>
      <c r="AL6" s="5"/>
      <c r="AM6" s="5"/>
      <c r="AN6" s="5"/>
      <c r="AO6" s="5"/>
    </row>
    <row r="7" spans="1:41" ht="15.75" thickBot="1" x14ac:dyDescent="0.3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8" t="s">
        <v>76</v>
      </c>
      <c r="T8" s="399"/>
      <c r="U8" s="400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398" t="s">
        <v>7</v>
      </c>
      <c r="AI8" s="399"/>
      <c r="AJ8" s="400"/>
      <c r="AK8" s="83"/>
      <c r="AL8" s="5"/>
      <c r="AM8" s="5"/>
      <c r="AN8" s="5"/>
      <c r="AO8" s="5"/>
    </row>
    <row r="9" spans="1:41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75" x14ac:dyDescent="0.3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.5" thickBot="1" x14ac:dyDescent="0.3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75" x14ac:dyDescent="0.3">
      <c r="A12" s="5"/>
      <c r="B12" s="5"/>
      <c r="C12" s="82"/>
      <c r="D12" s="65" t="s">
        <v>40</v>
      </c>
      <c r="E12" s="255" t="s">
        <v>221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75" x14ac:dyDescent="0.3">
      <c r="A17" s="5"/>
      <c r="B17" s="5"/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75" x14ac:dyDescent="0.3">
      <c r="A18" s="5"/>
      <c r="B18" s="5"/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75" x14ac:dyDescent="0.3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75" x14ac:dyDescent="0.3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.5" thickBot="1" x14ac:dyDescent="0.3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.5" thickBot="1" x14ac:dyDescent="0.3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2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2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75" x14ac:dyDescent="0.2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75" x14ac:dyDescent="0.2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75" x14ac:dyDescent="0.2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75" x14ac:dyDescent="0.2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75" x14ac:dyDescent="0.2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75" x14ac:dyDescent="0.2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75" x14ac:dyDescent="0.2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75" x14ac:dyDescent="0.2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2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.75" thickBot="1" x14ac:dyDescent="0.3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22</v>
      </c>
    </row>
    <row r="137" spans="18:18" x14ac:dyDescent="0.2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404" t="s">
        <v>5</v>
      </c>
      <c r="AI8" s="405"/>
      <c r="AJ8" s="406"/>
      <c r="AK8" s="94"/>
      <c r="AL8" s="404" t="s">
        <v>6</v>
      </c>
      <c r="AM8" s="405"/>
      <c r="AN8" s="406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.5" thickBot="1" x14ac:dyDescent="0.3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5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404" t="s">
        <v>5</v>
      </c>
      <c r="AI8" s="405"/>
      <c r="AJ8" s="406"/>
      <c r="AK8" s="94"/>
      <c r="AL8" s="404" t="s">
        <v>6</v>
      </c>
      <c r="AM8" s="405"/>
      <c r="AN8" s="406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.5" thickBot="1" x14ac:dyDescent="0.3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210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O25" sqref="O25"/>
    </sheetView>
  </sheetViews>
  <sheetFormatPr baseColWidth="10" defaultColWidth="10.85546875" defaultRowHeight="15" x14ac:dyDescent="0.25"/>
  <cols>
    <col min="3" max="3" width="16.42578125" bestFit="1" customWidth="1"/>
    <col min="4" max="4" width="13.28515625" bestFit="1" customWidth="1"/>
    <col min="5" max="5" width="14.5703125" bestFit="1" customWidth="1"/>
    <col min="6" max="6" width="13.7109375" bestFit="1" customWidth="1"/>
    <col min="7" max="9" width="14.140625" bestFit="1" customWidth="1"/>
  </cols>
  <sheetData>
    <row r="1" spans="2:18" x14ac:dyDescent="0.25">
      <c r="L1" s="11"/>
    </row>
    <row r="2" spans="2:18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2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.75" thickBot="1" x14ac:dyDescent="0.3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4">
      <c r="B5" s="324" t="s">
        <v>293</v>
      </c>
      <c r="C5" s="409" t="s">
        <v>99</v>
      </c>
      <c r="D5" s="410"/>
      <c r="E5" s="410"/>
      <c r="F5" s="410"/>
      <c r="G5" s="410"/>
      <c r="H5" s="410"/>
      <c r="I5" s="410"/>
      <c r="J5" s="410"/>
      <c r="K5" s="410"/>
      <c r="L5" s="410"/>
      <c r="M5" s="410"/>
      <c r="N5" s="410"/>
      <c r="O5" s="410"/>
      <c r="P5" s="410"/>
      <c r="Q5" s="411"/>
      <c r="R5" t="s">
        <v>22</v>
      </c>
    </row>
    <row r="6" spans="2:18" ht="18.75" x14ac:dyDescent="0.3">
      <c r="B6" s="295"/>
      <c r="C6" s="169" t="s">
        <v>1</v>
      </c>
      <c r="D6" s="165" t="s">
        <v>195</v>
      </c>
      <c r="E6" s="165" t="s">
        <v>190</v>
      </c>
      <c r="F6" s="165" t="s">
        <v>168</v>
      </c>
      <c r="G6" s="165" t="s">
        <v>222</v>
      </c>
      <c r="H6" s="165" t="s">
        <v>315</v>
      </c>
      <c r="I6" s="165" t="s">
        <v>321</v>
      </c>
      <c r="J6" s="165"/>
      <c r="K6" s="165"/>
      <c r="L6" s="165"/>
      <c r="M6" s="165"/>
      <c r="N6" s="165"/>
      <c r="O6" s="165"/>
      <c r="P6" s="165"/>
      <c r="Q6" s="328"/>
    </row>
    <row r="7" spans="2:18" ht="18.75" x14ac:dyDescent="0.3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/>
      <c r="K7" s="116"/>
      <c r="L7" s="116"/>
      <c r="M7" s="116"/>
      <c r="N7" s="116"/>
      <c r="O7" s="116"/>
      <c r="P7" s="116"/>
      <c r="Q7" s="117"/>
    </row>
    <row r="8" spans="2:18" ht="18.75" x14ac:dyDescent="0.3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/>
      <c r="K8" s="116"/>
      <c r="L8" s="116"/>
      <c r="M8" s="116"/>
      <c r="N8" s="116"/>
      <c r="O8" s="116"/>
      <c r="P8" s="116"/>
      <c r="Q8" s="117"/>
    </row>
    <row r="9" spans="2:18" ht="18.75" x14ac:dyDescent="0.3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75" x14ac:dyDescent="0.3">
      <c r="B10" s="297"/>
      <c r="C10" s="166" t="s">
        <v>203</v>
      </c>
      <c r="D10" s="116">
        <v>0</v>
      </c>
      <c r="E10" s="367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/>
      <c r="K10" s="116"/>
      <c r="L10" s="116"/>
      <c r="M10" s="116"/>
      <c r="N10" s="116"/>
      <c r="O10" s="116"/>
      <c r="P10" s="116"/>
      <c r="Q10" s="117"/>
    </row>
    <row r="11" spans="2:18" ht="18.75" x14ac:dyDescent="0.3">
      <c r="B11" s="297"/>
      <c r="C11" s="166" t="s">
        <v>9</v>
      </c>
      <c r="D11" s="116" t="s">
        <v>8</v>
      </c>
      <c r="E11" s="116" t="s">
        <v>8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/>
      <c r="K11" s="116"/>
      <c r="L11" s="116"/>
      <c r="M11" s="116"/>
      <c r="N11" s="116"/>
      <c r="O11" s="116"/>
      <c r="P11" s="116"/>
      <c r="Q11" s="117"/>
    </row>
    <row r="12" spans="2:18" ht="18.75" x14ac:dyDescent="0.3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4</v>
      </c>
      <c r="H12" s="116">
        <v>0</v>
      </c>
      <c r="I12" s="116">
        <v>0</v>
      </c>
      <c r="J12" s="116"/>
      <c r="K12" s="116"/>
      <c r="L12" s="116"/>
      <c r="M12" s="116"/>
      <c r="N12" s="116"/>
      <c r="O12" s="116"/>
      <c r="P12" s="116"/>
      <c r="Q12" s="117"/>
    </row>
    <row r="13" spans="2:18" ht="18.75" x14ac:dyDescent="0.3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75" x14ac:dyDescent="0.3">
      <c r="B14" s="297" t="s">
        <v>186</v>
      </c>
      <c r="C14" s="128" t="s">
        <v>294</v>
      </c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.5" thickBot="1" x14ac:dyDescent="0.35">
      <c r="B15" s="298" t="s">
        <v>186</v>
      </c>
      <c r="C15" s="171" t="s">
        <v>295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 x14ac:dyDescent="0.25">
      <c r="I16" s="11"/>
      <c r="J16" s="11"/>
      <c r="K16" s="11"/>
      <c r="L16" s="11"/>
    </row>
    <row r="19" spans="2:11" x14ac:dyDescent="0.25">
      <c r="B19" t="s">
        <v>297</v>
      </c>
    </row>
    <row r="20" spans="2:11" x14ac:dyDescent="0.25">
      <c r="B20" s="326" t="s">
        <v>300</v>
      </c>
      <c r="F20">
        <v>3000</v>
      </c>
    </row>
    <row r="21" spans="2:11" x14ac:dyDescent="0.25">
      <c r="B21" t="s">
        <v>298</v>
      </c>
      <c r="C21">
        <v>76</v>
      </c>
      <c r="D21" t="s">
        <v>301</v>
      </c>
    </row>
    <row r="22" spans="2:11" x14ac:dyDescent="0.25">
      <c r="B22" t="s">
        <v>299</v>
      </c>
      <c r="C22">
        <v>182</v>
      </c>
      <c r="D22" t="s">
        <v>301</v>
      </c>
    </row>
    <row r="23" spans="2:11" x14ac:dyDescent="0.25">
      <c r="B23" t="s">
        <v>460</v>
      </c>
      <c r="C23">
        <f xml:space="preserve"> (C21+C22)/2 * 1000</f>
        <v>129000</v>
      </c>
    </row>
    <row r="24" spans="2:11" x14ac:dyDescent="0.25">
      <c r="B24" t="s">
        <v>308</v>
      </c>
      <c r="C24">
        <f>_xlfn.STDEV.P(C21:C22)/AVERAGE(C21:C22)</f>
        <v>0.41085271317829458</v>
      </c>
    </row>
    <row r="25" spans="2:11" x14ac:dyDescent="0.25">
      <c r="C25">
        <f>F10 - F10*C24</f>
        <v>44775.193798449611</v>
      </c>
    </row>
    <row r="26" spans="2:11" x14ac:dyDescent="0.25">
      <c r="C26">
        <f>F10 + F10*C24</f>
        <v>107224.80620155038</v>
      </c>
      <c r="K26" t="s">
        <v>22</v>
      </c>
    </row>
    <row r="29" spans="2:11" x14ac:dyDescent="0.25">
      <c r="B29" s="326" t="s">
        <v>302</v>
      </c>
      <c r="F29">
        <v>2000</v>
      </c>
    </row>
    <row r="30" spans="2:11" x14ac:dyDescent="0.25">
      <c r="B30" t="s">
        <v>303</v>
      </c>
      <c r="C30">
        <v>1.04</v>
      </c>
      <c r="D30" t="s">
        <v>305</v>
      </c>
    </row>
    <row r="31" spans="2:11" x14ac:dyDescent="0.25">
      <c r="B31" t="s">
        <v>304</v>
      </c>
      <c r="C31">
        <v>0.9</v>
      </c>
      <c r="D31" t="s">
        <v>305</v>
      </c>
    </row>
    <row r="33" spans="2:6" x14ac:dyDescent="0.25">
      <c r="B33" t="s">
        <v>306</v>
      </c>
      <c r="C33">
        <v>0.78900000000000003</v>
      </c>
      <c r="D33" t="s">
        <v>307</v>
      </c>
    </row>
    <row r="35" spans="2:6" x14ac:dyDescent="0.25">
      <c r="B35" t="s">
        <v>303</v>
      </c>
      <c r="C35">
        <f>C30*C33 *1000</f>
        <v>820.56000000000006</v>
      </c>
      <c r="D35" t="s">
        <v>309</v>
      </c>
    </row>
    <row r="36" spans="2:6" x14ac:dyDescent="0.25">
      <c r="B36" t="s">
        <v>304</v>
      </c>
      <c r="C36">
        <f>C31*C33*1000</f>
        <v>710.1</v>
      </c>
      <c r="D36" t="s">
        <v>309</v>
      </c>
    </row>
    <row r="37" spans="2:6" ht="18.75" x14ac:dyDescent="0.3">
      <c r="B37" t="s">
        <v>460</v>
      </c>
      <c r="C37" s="116">
        <f>(C35+C36)/2</f>
        <v>765.33</v>
      </c>
      <c r="D37" t="s">
        <v>309</v>
      </c>
      <c r="E37" s="366"/>
    </row>
    <row r="38" spans="2:6" x14ac:dyDescent="0.25">
      <c r="B38" t="s">
        <v>308</v>
      </c>
      <c r="C38" s="329">
        <f>_xlfn.STDEV.P(C35:C36)/AVERAGE(C35:C36)</f>
        <v>7.2164948453608269E-2</v>
      </c>
      <c r="E38" t="s">
        <v>461</v>
      </c>
    </row>
    <row r="39" spans="2:6" x14ac:dyDescent="0.25">
      <c r="C39">
        <f>C37 + C37*C38</f>
        <v>820.56000000000006</v>
      </c>
    </row>
    <row r="40" spans="2:6" x14ac:dyDescent="0.25">
      <c r="C40">
        <f>C37 - C37*C38</f>
        <v>710.1</v>
      </c>
    </row>
    <row r="43" spans="2:6" x14ac:dyDescent="0.25">
      <c r="B43" s="326" t="s">
        <v>312</v>
      </c>
      <c r="F43">
        <v>4000</v>
      </c>
    </row>
    <row r="44" spans="2:6" x14ac:dyDescent="0.25">
      <c r="B44" t="s">
        <v>303</v>
      </c>
      <c r="C44">
        <v>2.4</v>
      </c>
      <c r="D44" t="s">
        <v>313</v>
      </c>
    </row>
    <row r="45" spans="2:6" x14ac:dyDescent="0.25">
      <c r="B45" t="s">
        <v>304</v>
      </c>
      <c r="C45">
        <v>3.03</v>
      </c>
      <c r="D45" t="s">
        <v>313</v>
      </c>
    </row>
    <row r="47" spans="2:6" x14ac:dyDescent="0.25">
      <c r="B47" t="s">
        <v>314</v>
      </c>
      <c r="C47">
        <f>_xlfn.STDEV.P(C44:C45)/AVERAGE(C44:C45)</f>
        <v>0.11602209944751414</v>
      </c>
    </row>
    <row r="48" spans="2:6" x14ac:dyDescent="0.25">
      <c r="B48" t="s">
        <v>303</v>
      </c>
      <c r="C48">
        <f>H10 - C47*H10</f>
        <v>2399.9999999999991</v>
      </c>
      <c r="D48" t="s">
        <v>309</v>
      </c>
    </row>
    <row r="49" spans="2:6" x14ac:dyDescent="0.25">
      <c r="B49" t="s">
        <v>304</v>
      </c>
      <c r="C49">
        <f>H10 + C47*H10</f>
        <v>3030.0000000000009</v>
      </c>
      <c r="D49" t="s">
        <v>309</v>
      </c>
    </row>
    <row r="53" spans="2:6" x14ac:dyDescent="0.25">
      <c r="B53" s="326" t="s">
        <v>320</v>
      </c>
      <c r="F53">
        <v>5000</v>
      </c>
    </row>
    <row r="54" spans="2:6" x14ac:dyDescent="0.25">
      <c r="B54" t="s">
        <v>303</v>
      </c>
      <c r="C54">
        <v>1000</v>
      </c>
      <c r="D54" t="s">
        <v>309</v>
      </c>
    </row>
    <row r="55" spans="2:6" x14ac:dyDescent="0.25">
      <c r="B55" t="s">
        <v>304</v>
      </c>
      <c r="C55">
        <v>1300</v>
      </c>
      <c r="D55" t="s">
        <v>309</v>
      </c>
    </row>
    <row r="57" spans="2:6" x14ac:dyDescent="0.25">
      <c r="C57">
        <f>_xlfn.STDEV.P(C54:C55) / 1150</f>
        <v>0.13043478260869565</v>
      </c>
    </row>
    <row r="58" spans="2:6" x14ac:dyDescent="0.2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topLeftCell="A4" zoomScale="83" zoomScaleNormal="83" workbookViewId="0">
      <selection activeCell="E17" sqref="E17"/>
    </sheetView>
  </sheetViews>
  <sheetFormatPr baseColWidth="10" defaultColWidth="10.85546875" defaultRowHeight="15" x14ac:dyDescent="0.25"/>
  <cols>
    <col min="4" max="4" width="21.2851562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217" t="s">
        <v>204</v>
      </c>
      <c r="D5" s="412" t="s">
        <v>102</v>
      </c>
      <c r="E5" s="413"/>
      <c r="F5" s="413"/>
      <c r="G5" s="413"/>
      <c r="H5" s="413"/>
      <c r="I5" s="413"/>
      <c r="J5" s="413"/>
      <c r="K5" s="413"/>
      <c r="L5" s="413"/>
      <c r="M5" s="413"/>
      <c r="N5" s="413"/>
      <c r="O5" s="414"/>
      <c r="P5" s="11"/>
      <c r="Q5" s="11"/>
    </row>
    <row r="6" spans="3:17" ht="18.75" x14ac:dyDescent="0.3">
      <c r="C6" s="218" t="s">
        <v>176</v>
      </c>
      <c r="D6" s="143" t="s">
        <v>1</v>
      </c>
      <c r="E6" s="206" t="s">
        <v>169</v>
      </c>
      <c r="F6" s="207" t="s">
        <v>172</v>
      </c>
      <c r="G6" s="207" t="s">
        <v>108</v>
      </c>
      <c r="H6" s="207" t="s">
        <v>223</v>
      </c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75" x14ac:dyDescent="0.3">
      <c r="C7" s="219" t="s">
        <v>176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7" ht="18.75" x14ac:dyDescent="0.3">
      <c r="C8" s="220" t="s">
        <v>205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</row>
    <row r="9" spans="3:17" ht="18.75" x14ac:dyDescent="0.3">
      <c r="C9" s="220" t="s">
        <v>186</v>
      </c>
      <c r="D9" s="143" t="s">
        <v>207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75" x14ac:dyDescent="0.3">
      <c r="C10" s="220" t="s">
        <v>186</v>
      </c>
      <c r="D10" s="143" t="s">
        <v>208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75" x14ac:dyDescent="0.3">
      <c r="C11" s="219" t="s">
        <v>176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75" x14ac:dyDescent="0.3">
      <c r="C12" s="219" t="s">
        <v>176</v>
      </c>
      <c r="D12" s="143" t="s">
        <v>206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7" ht="19.5" thickBot="1" x14ac:dyDescent="0.35">
      <c r="C13" s="221" t="s">
        <v>176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7" ht="18.75" x14ac:dyDescent="0.3">
      <c r="C14" s="222"/>
      <c r="D14" s="148" t="s">
        <v>319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7" ht="18.75" x14ac:dyDescent="0.3">
      <c r="C15" s="172"/>
      <c r="D15" s="149" t="s">
        <v>170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7" ht="18.75" x14ac:dyDescent="0.3">
      <c r="C16" s="172"/>
      <c r="D16" s="149" t="s">
        <v>171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75" x14ac:dyDescent="0.3">
      <c r="C17" s="172"/>
      <c r="D17" s="149" t="s">
        <v>168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75" x14ac:dyDescent="0.3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75" x14ac:dyDescent="0.3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75" x14ac:dyDescent="0.3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75" x14ac:dyDescent="0.3">
      <c r="C21" s="172"/>
      <c r="D21" s="149" t="s">
        <v>224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75" x14ac:dyDescent="0.3">
      <c r="C22" s="172"/>
      <c r="D22" s="149" t="s">
        <v>318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75" x14ac:dyDescent="0.3">
      <c r="C23" s="172"/>
      <c r="D23" s="149" t="s">
        <v>321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75" x14ac:dyDescent="0.3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75" x14ac:dyDescent="0.3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 x14ac:dyDescent="0.25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 x14ac:dyDescent="0.25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 x14ac:dyDescent="0.25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 x14ac:dyDescent="0.25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 x14ac:dyDescent="0.25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 x14ac:dyDescent="0.25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 x14ac:dyDescent="0.25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 x14ac:dyDescent="0.25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 x14ac:dyDescent="0.25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 x14ac:dyDescent="0.25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 x14ac:dyDescent="0.25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.75" thickBot="1" x14ac:dyDescent="0.3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25">
      <c r="C42" t="s">
        <v>316</v>
      </c>
    </row>
    <row r="43" spans="2:17" x14ac:dyDescent="0.25">
      <c r="C43" t="s">
        <v>317</v>
      </c>
    </row>
    <row r="44" spans="2:17" x14ac:dyDescent="0.25">
      <c r="C44" s="332" t="s">
        <v>322</v>
      </c>
    </row>
    <row r="45" spans="2:17" x14ac:dyDescent="0.25">
      <c r="C45">
        <f>E17*100</f>
        <v>1.97</v>
      </c>
      <c r="N45" s="11" t="s">
        <v>22</v>
      </c>
    </row>
    <row r="46" spans="2:17" x14ac:dyDescent="0.25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ColWidth="10.85546875" defaultRowHeight="15" x14ac:dyDescent="0.25"/>
  <cols>
    <col min="4" max="4" width="21.5703125" bestFit="1" customWidth="1"/>
    <col min="5" max="5" width="11.85546875" bestFit="1" customWidth="1"/>
    <col min="6" max="7" width="23" bestFit="1" customWidth="1"/>
    <col min="8" max="8" width="11.85546875" bestFit="1" customWidth="1"/>
    <col min="9" max="9" width="8.42578125" customWidth="1"/>
    <col min="10" max="10" width="11.85546875" bestFit="1" customWidth="1"/>
    <col min="11" max="11" width="23" bestFit="1" customWidth="1"/>
    <col min="12" max="12" width="11" bestFit="1" customWidth="1"/>
    <col min="14" max="14" width="11.85546875" bestFit="1" customWidth="1"/>
    <col min="15" max="15" width="22.140625" bestFit="1" customWidth="1"/>
    <col min="16" max="16" width="11" bestFit="1" customWidth="1"/>
  </cols>
  <sheetData>
    <row r="3" spans="3:20" x14ac:dyDescent="0.2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2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.75" thickBot="1" x14ac:dyDescent="0.3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.75" thickBot="1" x14ac:dyDescent="0.3">
      <c r="C6" s="264" t="s">
        <v>234</v>
      </c>
      <c r="D6" s="267" t="s">
        <v>238</v>
      </c>
      <c r="E6" s="204"/>
      <c r="F6" s="272" t="s">
        <v>235</v>
      </c>
      <c r="G6" s="272" t="s">
        <v>239</v>
      </c>
      <c r="H6" s="272" t="s">
        <v>237</v>
      </c>
      <c r="I6" s="204"/>
      <c r="J6" s="262" t="s">
        <v>235</v>
      </c>
      <c r="K6" s="262" t="s">
        <v>239</v>
      </c>
      <c r="L6" s="262" t="s">
        <v>237</v>
      </c>
      <c r="M6" s="258"/>
      <c r="N6" s="262" t="s">
        <v>235</v>
      </c>
      <c r="O6" s="266" t="s">
        <v>236</v>
      </c>
      <c r="P6" s="262" t="s">
        <v>237</v>
      </c>
      <c r="Q6" s="204"/>
      <c r="R6" s="11"/>
      <c r="S6" s="11"/>
      <c r="T6" s="11"/>
    </row>
    <row r="7" spans="3:20" x14ac:dyDescent="0.25">
      <c r="C7" s="276" t="s">
        <v>226</v>
      </c>
      <c r="D7" s="277">
        <f>1/8</f>
        <v>0.125</v>
      </c>
      <c r="E7" s="204"/>
      <c r="F7" s="278">
        <v>11</v>
      </c>
      <c r="G7" s="273">
        <v>0.15</v>
      </c>
      <c r="H7" s="279" t="s">
        <v>171</v>
      </c>
      <c r="I7" s="204"/>
      <c r="J7" s="276">
        <v>11</v>
      </c>
      <c r="K7" s="287"/>
      <c r="L7" s="291" t="s">
        <v>168</v>
      </c>
      <c r="M7" s="204"/>
      <c r="N7" s="204"/>
      <c r="O7" s="204"/>
      <c r="P7" s="204"/>
      <c r="Q7" s="204"/>
      <c r="R7" s="11"/>
      <c r="S7" s="11"/>
      <c r="T7" s="11"/>
    </row>
    <row r="8" spans="3:20" x14ac:dyDescent="0.25">
      <c r="C8" s="178" t="s">
        <v>227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171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 x14ac:dyDescent="0.25">
      <c r="C9" s="178" t="s">
        <v>228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171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 x14ac:dyDescent="0.25">
      <c r="C10" s="178" t="s">
        <v>229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171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 x14ac:dyDescent="0.25">
      <c r="C11" s="178" t="s">
        <v>230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171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 x14ac:dyDescent="0.25">
      <c r="C12" s="178" t="s">
        <v>231</v>
      </c>
      <c r="D12" s="280">
        <f>1/8</f>
        <v>0.125</v>
      </c>
      <c r="E12" s="204"/>
      <c r="F12" s="281">
        <v>11</v>
      </c>
      <c r="G12" s="274">
        <v>0.15</v>
      </c>
      <c r="H12" s="282" t="s">
        <v>171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 x14ac:dyDescent="0.25">
      <c r="C13" s="178" t="s">
        <v>232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171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.75" thickBot="1" x14ac:dyDescent="0.3">
      <c r="C14" s="283" t="s">
        <v>233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171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 x14ac:dyDescent="0.25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 x14ac:dyDescent="0.25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 x14ac:dyDescent="0.2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2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2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2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.75" thickBot="1" x14ac:dyDescent="0.3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.75" thickBot="1" x14ac:dyDescent="0.3">
      <c r="C22" s="415" t="s">
        <v>240</v>
      </c>
      <c r="D22" s="416"/>
      <c r="E22" s="416"/>
      <c r="F22" s="417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.75" thickBot="1" x14ac:dyDescent="0.3">
      <c r="C23" s="268" t="s">
        <v>241</v>
      </c>
      <c r="D23" s="269" t="s">
        <v>242</v>
      </c>
      <c r="E23" s="268" t="s">
        <v>243</v>
      </c>
      <c r="F23" s="261" t="s">
        <v>238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25">
      <c r="C24" s="292">
        <v>11</v>
      </c>
      <c r="D24" s="293" t="s">
        <v>171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25">
      <c r="C25" s="89"/>
      <c r="D25" s="270" t="s">
        <v>168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25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25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25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25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25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25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25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25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25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25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.75" thickBot="1" x14ac:dyDescent="0.3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baseColWidth="10" defaultColWidth="10.85546875" defaultRowHeight="15" x14ac:dyDescent="0.25"/>
  <cols>
    <col min="4" max="4" width="17.7109375" bestFit="1" customWidth="1"/>
    <col min="5" max="5" width="17" bestFit="1" customWidth="1"/>
    <col min="6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418" t="s">
        <v>111</v>
      </c>
      <c r="E5" s="419"/>
      <c r="F5" s="419"/>
      <c r="G5" s="419"/>
      <c r="H5" s="419"/>
      <c r="I5" s="419"/>
      <c r="J5" s="419"/>
      <c r="K5" s="419"/>
      <c r="L5" s="419"/>
      <c r="M5" s="419"/>
      <c r="N5" s="419"/>
      <c r="O5" s="420"/>
      <c r="P5" s="11"/>
      <c r="Q5" s="11"/>
    </row>
    <row r="6" spans="3:17" ht="18.75" x14ac:dyDescent="0.3">
      <c r="C6" s="11"/>
      <c r="D6" s="216" t="s">
        <v>1</v>
      </c>
      <c r="E6" s="207" t="s">
        <v>211</v>
      </c>
      <c r="F6" s="207" t="s">
        <v>450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75" x14ac:dyDescent="0.3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.75" thickBot="1" x14ac:dyDescent="0.3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75" x14ac:dyDescent="0.3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75" x14ac:dyDescent="0.3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75" x14ac:dyDescent="0.3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75" x14ac:dyDescent="0.3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75" x14ac:dyDescent="0.3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75" x14ac:dyDescent="0.3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75" x14ac:dyDescent="0.3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75" x14ac:dyDescent="0.3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75" x14ac:dyDescent="0.3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75" x14ac:dyDescent="0.3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75" x14ac:dyDescent="0.3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75" x14ac:dyDescent="0.3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75" x14ac:dyDescent="0.3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75" x14ac:dyDescent="0.3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.5" thickBot="1" x14ac:dyDescent="0.35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 x14ac:dyDescent="0.2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2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2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73"/>
  <sheetViews>
    <sheetView tabSelected="1" zoomScale="90" zoomScaleNormal="90" workbookViewId="0">
      <selection activeCell="E30" sqref="E30"/>
    </sheetView>
  </sheetViews>
  <sheetFormatPr baseColWidth="10" defaultColWidth="10.85546875" defaultRowHeight="15" x14ac:dyDescent="0.25"/>
  <cols>
    <col min="2" max="2" width="21.140625" bestFit="1" customWidth="1"/>
    <col min="3" max="3" width="14" bestFit="1" customWidth="1"/>
    <col min="4" max="4" width="16.5703125" bestFit="1" customWidth="1"/>
    <col min="5" max="5" width="15.7109375" customWidth="1"/>
    <col min="6" max="6" width="11.85546875" bestFit="1" customWidth="1"/>
    <col min="7" max="7" width="12.42578125" bestFit="1" customWidth="1"/>
    <col min="8" max="8" width="10.28515625" customWidth="1"/>
    <col min="9" max="9" width="17.85546875" customWidth="1"/>
    <col min="10" max="11" width="16.5703125" bestFit="1" customWidth="1"/>
    <col min="12" max="12" width="12.28515625" bestFit="1" customWidth="1"/>
    <col min="13" max="13" width="12.7109375" bestFit="1" customWidth="1"/>
    <col min="14" max="14" width="11.7109375" bestFit="1" customWidth="1"/>
    <col min="15" max="15" width="13" customWidth="1"/>
    <col min="16" max="16" width="14.7109375" bestFit="1" customWidth="1"/>
    <col min="17" max="17" width="12.28515625" bestFit="1" customWidth="1"/>
    <col min="18" max="18" width="12" customWidth="1"/>
    <col min="19" max="19" width="12.7109375" bestFit="1" customWidth="1"/>
    <col min="20" max="20" width="12.28515625" bestFit="1" customWidth="1"/>
    <col min="21" max="21" width="16.5703125" bestFit="1" customWidth="1"/>
    <col min="24" max="24" width="16.5703125" bestFit="1" customWidth="1"/>
  </cols>
  <sheetData>
    <row r="2" spans="1:35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thickBot="1" x14ac:dyDescent="0.3">
      <c r="A3" s="11"/>
      <c r="B3" s="415" t="s">
        <v>248</v>
      </c>
      <c r="C3" s="417"/>
      <c r="D3" s="11"/>
      <c r="E3" s="261" t="s">
        <v>255</v>
      </c>
      <c r="F3" s="296" t="s">
        <v>254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.75" thickBot="1" x14ac:dyDescent="0.3">
      <c r="A4" s="11"/>
      <c r="B4" s="271" t="s">
        <v>249</v>
      </c>
      <c r="C4" s="316">
        <v>2</v>
      </c>
      <c r="D4" s="11"/>
      <c r="E4" s="11" t="s">
        <v>455</v>
      </c>
      <c r="F4" s="11" t="s">
        <v>456</v>
      </c>
      <c r="G4" s="11"/>
      <c r="H4" s="11"/>
      <c r="I4" s="11"/>
      <c r="J4" s="11"/>
      <c r="K4" s="11"/>
      <c r="L4" s="11"/>
      <c r="M4" s="11"/>
      <c r="N4" s="11"/>
      <c r="O4" s="11"/>
      <c r="P4" s="11" t="s">
        <v>285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.75" thickBot="1" x14ac:dyDescent="0.3">
      <c r="A5" s="11"/>
      <c r="B5" s="89" t="s">
        <v>250</v>
      </c>
      <c r="C5" s="303" t="s">
        <v>286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4" t="s">
        <v>259</v>
      </c>
      <c r="Q5" s="265"/>
      <c r="R5" s="299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.75" thickBot="1" x14ac:dyDescent="0.3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78">
        <v>2</v>
      </c>
      <c r="Q6" s="304" t="s">
        <v>283</v>
      </c>
      <c r="R6" s="88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78">
        <v>3</v>
      </c>
      <c r="Q7" s="304" t="s">
        <v>282</v>
      </c>
      <c r="R7" s="88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.75" thickBot="1" x14ac:dyDescent="0.3">
      <c r="A8" s="11"/>
      <c r="B8" s="305" t="s">
        <v>264</v>
      </c>
      <c r="C8" s="11"/>
      <c r="D8" s="11"/>
      <c r="E8" s="11"/>
      <c r="F8" s="11"/>
      <c r="G8" s="11"/>
      <c r="H8" s="11"/>
      <c r="I8" s="306" t="s">
        <v>266</v>
      </c>
      <c r="J8" s="11"/>
      <c r="K8" s="11"/>
      <c r="L8" s="11"/>
      <c r="M8" s="11"/>
      <c r="N8" s="11"/>
      <c r="O8" s="11"/>
      <c r="P8" s="178">
        <v>4</v>
      </c>
      <c r="Q8" s="304" t="s">
        <v>287</v>
      </c>
      <c r="R8" s="88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.75" thickBot="1" x14ac:dyDescent="0.3">
      <c r="A9" s="11"/>
      <c r="B9" s="427" t="s">
        <v>273</v>
      </c>
      <c r="C9" s="428"/>
      <c r="D9" s="428"/>
      <c r="E9" s="428"/>
      <c r="F9" s="429"/>
      <c r="G9" s="204"/>
      <c r="H9" s="11"/>
      <c r="I9" s="424" t="s">
        <v>274</v>
      </c>
      <c r="J9" s="425"/>
      <c r="K9" s="425"/>
      <c r="L9" s="425"/>
      <c r="M9" s="426"/>
      <c r="N9" s="262"/>
      <c r="O9" s="204"/>
      <c r="P9" s="263"/>
      <c r="Q9" s="90" t="s">
        <v>261</v>
      </c>
      <c r="R9" s="142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.75" thickBot="1" x14ac:dyDescent="0.3">
      <c r="A10" s="11"/>
      <c r="B10" s="298" t="s">
        <v>257</v>
      </c>
      <c r="C10" s="300" t="s">
        <v>33</v>
      </c>
      <c r="D10" s="301" t="s">
        <v>260</v>
      </c>
      <c r="E10" s="267" t="s">
        <v>258</v>
      </c>
      <c r="F10" s="295" t="s">
        <v>262</v>
      </c>
      <c r="G10" s="327" t="s">
        <v>310</v>
      </c>
      <c r="H10" s="11"/>
      <c r="I10" s="298" t="s">
        <v>257</v>
      </c>
      <c r="J10" s="298" t="s">
        <v>33</v>
      </c>
      <c r="K10" s="302" t="s">
        <v>256</v>
      </c>
      <c r="L10" s="298" t="s">
        <v>260</v>
      </c>
      <c r="M10" s="298" t="s">
        <v>258</v>
      </c>
      <c r="N10" s="262" t="s">
        <v>262</v>
      </c>
      <c r="O10" s="204"/>
      <c r="P10" s="11"/>
      <c r="Q10" s="11"/>
      <c r="R10" s="305" t="s">
        <v>264</v>
      </c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.75" thickBot="1" x14ac:dyDescent="0.3">
      <c r="A11" s="11"/>
      <c r="B11" s="292">
        <v>11</v>
      </c>
      <c r="C11" s="293" t="s">
        <v>171</v>
      </c>
      <c r="D11" s="330">
        <f>_xlfn.STDEV.P(8.7,12.4) / AVERAGE(8.7,12.4)</f>
        <v>0.17535545023696644</v>
      </c>
      <c r="E11" s="293">
        <v>1</v>
      </c>
      <c r="F11" s="276" t="s">
        <v>268</v>
      </c>
      <c r="G11" s="295" t="s">
        <v>311</v>
      </c>
      <c r="H11" s="11"/>
      <c r="I11" s="178">
        <v>210</v>
      </c>
      <c r="J11" s="270" t="s">
        <v>171</v>
      </c>
      <c r="K11" s="204">
        <v>1</v>
      </c>
      <c r="L11" s="204">
        <v>0.28000000000000003</v>
      </c>
      <c r="M11" s="289">
        <v>3</v>
      </c>
      <c r="N11" s="297" t="s">
        <v>268</v>
      </c>
      <c r="O11" s="204"/>
      <c r="P11" s="317" t="s">
        <v>284</v>
      </c>
      <c r="Q11" s="11"/>
      <c r="R11" s="318" t="s">
        <v>462</v>
      </c>
      <c r="S11" s="363"/>
      <c r="T11" s="363"/>
      <c r="U11" s="363"/>
      <c r="V11" s="363"/>
      <c r="W11" s="363"/>
      <c r="X11" s="299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.75" thickBot="1" x14ac:dyDescent="0.3">
      <c r="A12" s="11"/>
      <c r="B12" s="178">
        <v>11</v>
      </c>
      <c r="C12" s="270" t="s">
        <v>321</v>
      </c>
      <c r="D12" s="258">
        <v>0.18</v>
      </c>
      <c r="E12" s="204">
        <v>1</v>
      </c>
      <c r="F12" s="178" t="s">
        <v>267</v>
      </c>
      <c r="G12" s="297" t="s">
        <v>311</v>
      </c>
      <c r="H12" s="11"/>
      <c r="I12" s="178"/>
      <c r="J12" s="270" t="s">
        <v>321</v>
      </c>
      <c r="K12" s="204">
        <v>1</v>
      </c>
      <c r="L12" s="204">
        <v>0.28000000000000003</v>
      </c>
      <c r="M12" s="289">
        <v>3</v>
      </c>
      <c r="N12" s="297" t="s">
        <v>267</v>
      </c>
      <c r="O12" s="204"/>
      <c r="P12" s="222" t="s">
        <v>280</v>
      </c>
      <c r="Q12" s="11"/>
      <c r="R12" s="172" t="s">
        <v>257</v>
      </c>
      <c r="S12" s="421" t="s">
        <v>459</v>
      </c>
      <c r="T12" s="422"/>
      <c r="U12" s="422"/>
      <c r="V12" s="422"/>
      <c r="W12" s="422"/>
      <c r="X12" s="423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5">
      <c r="A13" s="11"/>
      <c r="B13" s="178">
        <v>11</v>
      </c>
      <c r="C13" s="270" t="s">
        <v>168</v>
      </c>
      <c r="D13" s="331">
        <f>_xlfn.STDEV.P(1.02, 2.92) / AVERAGE(1.02, 2.92)</f>
        <v>0.48223350253807096</v>
      </c>
      <c r="E13" s="204">
        <v>2</v>
      </c>
      <c r="F13" s="178" t="s">
        <v>268</v>
      </c>
      <c r="G13" s="297"/>
      <c r="H13" s="11"/>
      <c r="I13" s="178"/>
      <c r="J13" s="270"/>
      <c r="K13" s="204"/>
      <c r="L13" s="204"/>
      <c r="M13" s="289"/>
      <c r="N13" s="297"/>
      <c r="O13" s="204"/>
      <c r="P13" s="222">
        <v>1</v>
      </c>
      <c r="Q13" s="204"/>
      <c r="R13" s="271">
        <v>11</v>
      </c>
      <c r="S13" s="292" t="s">
        <v>14</v>
      </c>
      <c r="T13" s="293"/>
      <c r="U13" s="293"/>
      <c r="V13" s="293"/>
      <c r="W13" s="293"/>
      <c r="X13" s="365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25">
      <c r="A14" s="11"/>
      <c r="B14" s="178"/>
      <c r="C14" s="270"/>
      <c r="D14" s="204"/>
      <c r="E14" s="204"/>
      <c r="F14" s="178"/>
      <c r="G14" s="297"/>
      <c r="H14" s="11"/>
      <c r="I14" s="178"/>
      <c r="J14" s="270"/>
      <c r="K14" s="204"/>
      <c r="L14" s="204"/>
      <c r="M14" s="289"/>
      <c r="N14" s="297"/>
      <c r="O14" s="204"/>
      <c r="P14" s="172">
        <v>0.5</v>
      </c>
      <c r="Q14" s="11"/>
      <c r="R14" s="89"/>
      <c r="S14" s="89"/>
      <c r="T14" s="11"/>
      <c r="U14" s="11"/>
      <c r="V14" s="11"/>
      <c r="W14" s="11"/>
      <c r="X14" s="88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5">
      <c r="A15" s="11"/>
      <c r="B15" s="178"/>
      <c r="C15" s="270"/>
      <c r="D15" s="204"/>
      <c r="E15" s="204"/>
      <c r="F15" s="178"/>
      <c r="G15" s="297"/>
      <c r="H15" s="11"/>
      <c r="I15" s="178"/>
      <c r="J15" s="270"/>
      <c r="K15" s="204"/>
      <c r="L15" s="204"/>
      <c r="M15" s="289"/>
      <c r="N15" s="297"/>
      <c r="O15" s="204"/>
      <c r="P15" s="172">
        <v>0</v>
      </c>
      <c r="Q15" s="11"/>
      <c r="R15" s="89"/>
      <c r="S15" s="89"/>
      <c r="T15" s="11"/>
      <c r="U15" s="11"/>
      <c r="V15" s="11"/>
      <c r="W15" s="11"/>
      <c r="X15" s="88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5">
      <c r="A16" s="11"/>
      <c r="B16" s="178"/>
      <c r="C16" s="270"/>
      <c r="D16" s="204"/>
      <c r="E16" s="204"/>
      <c r="F16" s="178"/>
      <c r="G16" s="297"/>
      <c r="H16" s="11"/>
      <c r="I16" s="178"/>
      <c r="J16" s="270"/>
      <c r="K16" s="204"/>
      <c r="L16" s="204"/>
      <c r="M16" s="289"/>
      <c r="N16" s="297"/>
      <c r="O16" s="204"/>
      <c r="P16" s="172">
        <v>-0.5</v>
      </c>
      <c r="Q16" s="11"/>
      <c r="R16" s="89"/>
      <c r="S16" s="89"/>
      <c r="T16" s="11"/>
      <c r="U16" s="11"/>
      <c r="V16" s="11"/>
      <c r="W16" s="11"/>
      <c r="X16" s="88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5">
      <c r="A17" s="11"/>
      <c r="B17" s="178"/>
      <c r="C17" s="270"/>
      <c r="D17" s="204"/>
      <c r="E17" s="204"/>
      <c r="F17" s="178"/>
      <c r="G17" s="297"/>
      <c r="H17" s="11"/>
      <c r="I17" s="178"/>
      <c r="J17" s="270"/>
      <c r="K17" s="204"/>
      <c r="L17" s="204"/>
      <c r="M17" s="289"/>
      <c r="N17" s="297"/>
      <c r="O17" s="204"/>
      <c r="P17" s="172">
        <v>-1</v>
      </c>
      <c r="Q17" s="11"/>
      <c r="R17" s="89"/>
      <c r="S17" s="89"/>
      <c r="T17" s="11"/>
      <c r="U17" s="11"/>
      <c r="V17" s="11"/>
      <c r="W17" s="11"/>
      <c r="X17" s="88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5">
      <c r="A18" s="11"/>
      <c r="B18" s="178"/>
      <c r="C18" s="270"/>
      <c r="D18" s="204"/>
      <c r="E18" s="204"/>
      <c r="F18" s="178"/>
      <c r="G18" s="297"/>
      <c r="H18" s="11"/>
      <c r="I18" s="178"/>
      <c r="J18" s="270"/>
      <c r="K18" s="204"/>
      <c r="L18" s="204"/>
      <c r="M18" s="289"/>
      <c r="N18" s="297"/>
      <c r="O18" s="204"/>
      <c r="P18" s="172"/>
      <c r="Q18" s="11"/>
      <c r="R18" s="89"/>
      <c r="S18" s="89"/>
      <c r="T18" s="11"/>
      <c r="U18" s="11"/>
      <c r="V18" s="11"/>
      <c r="W18" s="11"/>
      <c r="X18" s="88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5">
      <c r="A19" s="11"/>
      <c r="B19" s="178"/>
      <c r="C19" s="270"/>
      <c r="D19" s="204"/>
      <c r="E19" s="204"/>
      <c r="F19" s="178"/>
      <c r="G19" s="297"/>
      <c r="H19" s="11"/>
      <c r="I19" s="178"/>
      <c r="J19" s="270"/>
      <c r="K19" s="204"/>
      <c r="L19" s="204"/>
      <c r="M19" s="289"/>
      <c r="N19" s="297"/>
      <c r="O19" s="204"/>
      <c r="P19" s="172"/>
      <c r="Q19" s="11"/>
      <c r="R19" s="89"/>
      <c r="S19" s="89"/>
      <c r="T19" s="11"/>
      <c r="U19" s="11"/>
      <c r="V19" s="11"/>
      <c r="W19" s="11"/>
      <c r="X19" s="88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.75" thickBot="1" x14ac:dyDescent="0.3">
      <c r="A20" s="11"/>
      <c r="B20" s="178"/>
      <c r="C20" s="270"/>
      <c r="D20" s="204"/>
      <c r="E20" s="204"/>
      <c r="F20" s="178"/>
      <c r="G20" s="297"/>
      <c r="H20" s="11"/>
      <c r="I20" s="178"/>
      <c r="J20" s="270"/>
      <c r="K20" s="204"/>
      <c r="L20" s="204"/>
      <c r="M20" s="289"/>
      <c r="N20" s="297"/>
      <c r="O20" s="204"/>
      <c r="P20" s="223"/>
      <c r="Q20" s="11"/>
      <c r="R20" s="364"/>
      <c r="S20" s="263"/>
      <c r="T20" s="90"/>
      <c r="U20" s="90"/>
      <c r="V20" s="90"/>
      <c r="W20" s="90"/>
      <c r="X20" s="142"/>
      <c r="Y20" s="11"/>
      <c r="Z20" s="11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25">
      <c r="A21" s="11"/>
      <c r="B21" s="178"/>
      <c r="C21" s="270"/>
      <c r="D21" s="204"/>
      <c r="E21" s="204"/>
      <c r="F21" s="178"/>
      <c r="G21" s="297"/>
      <c r="H21" s="11"/>
      <c r="I21" s="178"/>
      <c r="J21" s="270"/>
      <c r="K21" s="204"/>
      <c r="L21" s="204"/>
      <c r="M21" s="289"/>
      <c r="N21" s="297"/>
      <c r="O21" s="204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5">
      <c r="A22" s="11"/>
      <c r="B22" s="178"/>
      <c r="C22" s="270"/>
      <c r="D22" s="204"/>
      <c r="E22" s="204"/>
      <c r="F22" s="178"/>
      <c r="G22" s="297"/>
      <c r="H22" s="11"/>
      <c r="I22" s="178"/>
      <c r="J22" s="270"/>
      <c r="K22" s="204"/>
      <c r="L22" s="204"/>
      <c r="M22" s="289"/>
      <c r="N22" s="297"/>
      <c r="O22" s="204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.75" thickBot="1" x14ac:dyDescent="0.3">
      <c r="A23" s="11"/>
      <c r="B23" s="283"/>
      <c r="C23" s="294"/>
      <c r="D23" s="159"/>
      <c r="E23" s="159"/>
      <c r="F23" s="283"/>
      <c r="G23" s="298"/>
      <c r="H23" s="11"/>
      <c r="I23" s="283"/>
      <c r="J23" s="159"/>
      <c r="K23" s="159"/>
      <c r="L23" s="159"/>
      <c r="M23" s="290"/>
      <c r="N23" s="298"/>
      <c r="O23" s="204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5">
      <c r="A24" s="11"/>
      <c r="B24" s="204"/>
      <c r="C24" s="204"/>
      <c r="D24" s="204"/>
      <c r="E24" s="204"/>
      <c r="F24" s="204"/>
      <c r="G24" s="204"/>
      <c r="H24" s="11"/>
      <c r="I24" s="204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.75" thickBot="1" x14ac:dyDescent="0.3">
      <c r="A26" s="11"/>
      <c r="B26" s="306" t="s">
        <v>270</v>
      </c>
      <c r="C26" s="204"/>
      <c r="D26" s="204"/>
      <c r="E26" s="204"/>
      <c r="F26" s="204"/>
      <c r="G26" s="204"/>
      <c r="H26" s="204"/>
      <c r="I26" s="306" t="s">
        <v>266</v>
      </c>
      <c r="J26" s="204"/>
      <c r="K26" s="204"/>
      <c r="L26" s="204"/>
      <c r="M26" s="204"/>
      <c r="N26" s="204"/>
      <c r="O26" s="204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.75" thickBot="1" x14ac:dyDescent="0.3">
      <c r="A27" s="11"/>
      <c r="B27" s="264" t="s">
        <v>271</v>
      </c>
      <c r="C27" s="265"/>
      <c r="D27" s="265"/>
      <c r="E27" s="265"/>
      <c r="F27" s="266"/>
      <c r="G27" s="266"/>
      <c r="H27" s="204"/>
      <c r="I27" s="424" t="s">
        <v>272</v>
      </c>
      <c r="J27" s="425"/>
      <c r="K27" s="425"/>
      <c r="L27" s="425"/>
      <c r="M27" s="425"/>
      <c r="N27" s="426"/>
      <c r="O27" s="204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thickBot="1" x14ac:dyDescent="0.3">
      <c r="A28" s="11"/>
      <c r="B28" s="262" t="s">
        <v>257</v>
      </c>
      <c r="C28" s="267" t="s">
        <v>296</v>
      </c>
      <c r="D28" s="262" t="s">
        <v>33</v>
      </c>
      <c r="E28" s="267" t="s">
        <v>260</v>
      </c>
      <c r="F28" s="262" t="s">
        <v>258</v>
      </c>
      <c r="G28" s="295" t="s">
        <v>262</v>
      </c>
      <c r="H28" s="204"/>
      <c r="I28" s="295" t="s">
        <v>257</v>
      </c>
      <c r="J28" s="262" t="s">
        <v>33</v>
      </c>
      <c r="K28" s="267" t="s">
        <v>256</v>
      </c>
      <c r="L28" s="288" t="s">
        <v>260</v>
      </c>
      <c r="M28" s="295" t="s">
        <v>258</v>
      </c>
      <c r="N28" s="295" t="s">
        <v>262</v>
      </c>
      <c r="O28" s="204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5">
      <c r="A29" t="s">
        <v>463</v>
      </c>
      <c r="B29" s="276">
        <v>220</v>
      </c>
      <c r="C29" s="287">
        <v>320</v>
      </c>
      <c r="D29" s="293" t="s">
        <v>168</v>
      </c>
      <c r="E29" s="287">
        <v>0.19</v>
      </c>
      <c r="F29" s="288">
        <v>4</v>
      </c>
      <c r="G29" s="288" t="s">
        <v>268</v>
      </c>
      <c r="H29" s="204">
        <v>0.6</v>
      </c>
      <c r="I29" s="276"/>
      <c r="J29" s="270"/>
      <c r="K29" s="204"/>
      <c r="L29" s="287"/>
      <c r="M29" s="287"/>
      <c r="N29" s="295"/>
      <c r="O29" s="204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t="s">
        <v>464</v>
      </c>
      <c r="B30" s="178">
        <v>230</v>
      </c>
      <c r="C30" s="204">
        <v>330</v>
      </c>
      <c r="D30" s="270" t="s">
        <v>168</v>
      </c>
      <c r="E30" s="204">
        <v>0.19</v>
      </c>
      <c r="F30" s="289">
        <v>4</v>
      </c>
      <c r="G30" s="289" t="s">
        <v>267</v>
      </c>
      <c r="H30" s="204"/>
      <c r="I30" s="178"/>
      <c r="J30" s="270"/>
      <c r="K30" s="204"/>
      <c r="L30" s="204"/>
      <c r="M30" s="204"/>
      <c r="N30" s="297"/>
      <c r="O30" s="204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5">
      <c r="A31" s="11"/>
      <c r="B31" s="178"/>
      <c r="C31" s="204"/>
      <c r="D31" s="270"/>
      <c r="E31" s="204"/>
      <c r="F31" s="289"/>
      <c r="G31" s="289"/>
      <c r="H31" s="204"/>
      <c r="I31" s="178"/>
      <c r="J31" s="270"/>
      <c r="K31" s="204"/>
      <c r="L31" s="204"/>
      <c r="M31" s="204"/>
      <c r="N31" s="297"/>
      <c r="O31" s="204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5">
      <c r="A32" s="11"/>
      <c r="B32" s="178"/>
      <c r="C32" s="11"/>
      <c r="D32" s="270"/>
      <c r="E32" s="204"/>
      <c r="F32" s="289"/>
      <c r="G32" s="289"/>
      <c r="H32" s="204"/>
      <c r="I32" s="178"/>
      <c r="J32" s="270"/>
      <c r="K32" s="204"/>
      <c r="L32" s="204"/>
      <c r="M32" s="204"/>
      <c r="N32" s="297"/>
      <c r="O32" s="204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5">
      <c r="A33" s="11"/>
      <c r="B33" s="178"/>
      <c r="C33" s="11"/>
      <c r="D33" s="270"/>
      <c r="E33" s="204"/>
      <c r="F33" s="289"/>
      <c r="G33" s="289"/>
      <c r="H33" s="204"/>
      <c r="I33" s="178"/>
      <c r="J33" s="270"/>
      <c r="K33" s="204"/>
      <c r="L33" s="204"/>
      <c r="M33" s="204"/>
      <c r="N33" s="297"/>
      <c r="O33" s="204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5">
      <c r="A34" s="11"/>
      <c r="B34" s="178"/>
      <c r="C34" s="11"/>
      <c r="D34" s="270"/>
      <c r="E34" s="204"/>
      <c r="F34" s="289"/>
      <c r="G34" s="289"/>
      <c r="H34" s="204"/>
      <c r="I34" s="178"/>
      <c r="J34" s="270"/>
      <c r="K34" s="204"/>
      <c r="L34" s="204"/>
      <c r="M34" s="204"/>
      <c r="N34" s="297"/>
      <c r="O34" s="204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5">
      <c r="A35" s="11"/>
      <c r="B35" s="178"/>
      <c r="C35" s="11"/>
      <c r="D35" s="270"/>
      <c r="E35" s="204"/>
      <c r="F35" s="289"/>
      <c r="G35" s="289"/>
      <c r="H35" s="204"/>
      <c r="I35" s="178"/>
      <c r="J35" s="270"/>
      <c r="K35" s="204"/>
      <c r="L35" s="204"/>
      <c r="M35" s="204"/>
      <c r="N35" s="297"/>
      <c r="O35" s="204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5">
      <c r="A36" s="11"/>
      <c r="B36" s="178"/>
      <c r="C36" s="11"/>
      <c r="D36" s="270"/>
      <c r="E36" s="204"/>
      <c r="F36" s="289"/>
      <c r="G36" s="289"/>
      <c r="H36" s="204"/>
      <c r="I36" s="178"/>
      <c r="J36" s="270"/>
      <c r="K36" s="204"/>
      <c r="L36" s="204"/>
      <c r="M36" s="204"/>
      <c r="N36" s="297"/>
      <c r="O36" s="204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5">
      <c r="A37" s="11"/>
      <c r="B37" s="178"/>
      <c r="C37" s="11"/>
      <c r="D37" s="270"/>
      <c r="E37" s="204"/>
      <c r="F37" s="289"/>
      <c r="G37" s="289"/>
      <c r="H37" s="204"/>
      <c r="I37" s="178"/>
      <c r="J37" s="270"/>
      <c r="K37" s="204"/>
      <c r="L37" s="204"/>
      <c r="M37" s="204"/>
      <c r="N37" s="297"/>
      <c r="O37" s="204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5">
      <c r="A38" s="11"/>
      <c r="B38" s="178"/>
      <c r="C38" s="11"/>
      <c r="D38" s="270"/>
      <c r="E38" s="204"/>
      <c r="F38" s="289"/>
      <c r="G38" s="289"/>
      <c r="H38" s="204"/>
      <c r="I38" s="178"/>
      <c r="J38" s="270"/>
      <c r="K38" s="204"/>
      <c r="L38" s="204"/>
      <c r="M38" s="204"/>
      <c r="N38" s="297"/>
      <c r="O38" s="204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5">
      <c r="B39" s="325"/>
      <c r="C39" s="11"/>
      <c r="D39" s="270"/>
      <c r="E39" s="204"/>
      <c r="F39" s="289"/>
      <c r="G39" s="289"/>
      <c r="H39" s="204"/>
      <c r="I39" s="178"/>
      <c r="J39" s="270"/>
      <c r="K39" s="204"/>
      <c r="L39" s="204"/>
      <c r="M39" s="204"/>
      <c r="N39" s="297"/>
      <c r="O39" s="204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25">
      <c r="B40" s="178"/>
      <c r="C40" s="11"/>
      <c r="D40" s="270"/>
      <c r="E40" s="204"/>
      <c r="F40" s="289"/>
      <c r="G40" s="289"/>
      <c r="H40" s="204"/>
      <c r="I40" s="178"/>
      <c r="J40" s="270"/>
      <c r="K40" s="204"/>
      <c r="L40" s="204"/>
      <c r="M40" s="204"/>
      <c r="N40" s="297"/>
      <c r="O40" s="204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.75" thickBot="1" x14ac:dyDescent="0.3">
      <c r="A41" s="11"/>
      <c r="B41" s="283"/>
      <c r="C41" s="90"/>
      <c r="D41" s="159"/>
      <c r="E41" s="159"/>
      <c r="F41" s="290"/>
      <c r="G41" s="290"/>
      <c r="H41" s="204"/>
      <c r="I41" s="283"/>
      <c r="J41" s="159"/>
      <c r="K41" s="159"/>
      <c r="L41" s="159"/>
      <c r="M41" s="159"/>
      <c r="N41" s="298"/>
      <c r="O41" s="204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2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.75" thickBot="1" x14ac:dyDescent="0.3">
      <c r="A45" s="11"/>
      <c r="B45" s="306" t="s">
        <v>265</v>
      </c>
      <c r="C45" s="11"/>
      <c r="D45" s="11"/>
      <c r="E45" s="11"/>
      <c r="F45" s="11"/>
      <c r="G45" s="11"/>
      <c r="H45" s="11"/>
      <c r="I45" s="306" t="s">
        <v>276</v>
      </c>
      <c r="J45" s="11"/>
      <c r="K45" s="11"/>
      <c r="L45" s="11"/>
      <c r="M45" s="11"/>
      <c r="N45" s="306" t="s">
        <v>277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.75" thickBot="1" x14ac:dyDescent="0.3">
      <c r="A46" s="11"/>
      <c r="B46" s="424" t="s">
        <v>263</v>
      </c>
      <c r="C46" s="425"/>
      <c r="D46" s="425"/>
      <c r="E46" s="425"/>
      <c r="F46" s="426"/>
      <c r="H46" s="11"/>
      <c r="I46" s="424" t="s">
        <v>278</v>
      </c>
      <c r="J46" s="425"/>
      <c r="K46" s="425"/>
      <c r="L46" s="426"/>
      <c r="M46" s="11"/>
      <c r="N46" s="424" t="s">
        <v>279</v>
      </c>
      <c r="O46" s="425"/>
      <c r="P46" s="425"/>
      <c r="Q46" s="426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.75" thickBot="1" x14ac:dyDescent="0.3">
      <c r="A47" s="11"/>
      <c r="B47" s="295" t="s">
        <v>257</v>
      </c>
      <c r="C47" s="295" t="s">
        <v>33</v>
      </c>
      <c r="D47" s="288" t="s">
        <v>260</v>
      </c>
      <c r="E47" s="295" t="s">
        <v>258</v>
      </c>
      <c r="F47" s="295" t="s">
        <v>262</v>
      </c>
      <c r="G47" s="11"/>
      <c r="H47" s="11"/>
      <c r="I47" s="295" t="s">
        <v>257</v>
      </c>
      <c r="J47" s="288" t="s">
        <v>260</v>
      </c>
      <c r="K47" s="295" t="s">
        <v>258</v>
      </c>
      <c r="L47" s="295" t="s">
        <v>262</v>
      </c>
      <c r="M47" s="11"/>
      <c r="N47" s="262" t="s">
        <v>257</v>
      </c>
      <c r="O47" s="266" t="s">
        <v>260</v>
      </c>
      <c r="P47" s="262" t="s">
        <v>258</v>
      </c>
      <c r="Q47" s="295" t="s">
        <v>262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25">
      <c r="A48" s="11"/>
      <c r="B48" s="276"/>
      <c r="C48" s="293"/>
      <c r="D48" s="287"/>
      <c r="E48" s="287"/>
      <c r="F48" s="295"/>
      <c r="G48" s="11"/>
      <c r="H48" s="11"/>
      <c r="I48" s="276"/>
      <c r="J48" s="287"/>
      <c r="K48" s="288"/>
      <c r="L48" s="295"/>
      <c r="M48" s="11"/>
      <c r="N48" s="276">
        <v>2000</v>
      </c>
      <c r="O48" s="330">
        <v>7.1999999999999995E-2</v>
      </c>
      <c r="P48" s="288">
        <v>5</v>
      </c>
      <c r="Q48" s="295" t="s">
        <v>268</v>
      </c>
      <c r="R48" s="11"/>
      <c r="S48" s="204"/>
      <c r="T48" s="368"/>
      <c r="U48" s="11"/>
      <c r="V48" s="11"/>
      <c r="W48" s="11"/>
      <c r="X48" s="11"/>
      <c r="Y48" s="11"/>
      <c r="Z48" s="11"/>
      <c r="AA48" s="11"/>
      <c r="AB48" s="11"/>
    </row>
    <row r="49" spans="1:30" x14ac:dyDescent="0.25">
      <c r="A49" s="11"/>
      <c r="B49" s="178"/>
      <c r="C49" s="270"/>
      <c r="D49" s="204"/>
      <c r="E49" s="204"/>
      <c r="F49" s="297"/>
      <c r="G49" s="11"/>
      <c r="H49" s="11"/>
      <c r="I49" s="178"/>
      <c r="J49" s="204"/>
      <c r="K49" s="289"/>
      <c r="L49" s="297"/>
      <c r="M49" s="11"/>
      <c r="N49" s="178">
        <v>3000</v>
      </c>
      <c r="O49" s="204">
        <v>0.41</v>
      </c>
      <c r="P49" s="289">
        <v>5</v>
      </c>
      <c r="Q49" s="297" t="s">
        <v>267</v>
      </c>
      <c r="R49" s="11"/>
      <c r="S49" s="204"/>
      <c r="T49" s="204"/>
      <c r="U49" s="11"/>
      <c r="V49" s="11"/>
      <c r="W49" s="11"/>
      <c r="X49" s="11"/>
      <c r="Y49" s="11"/>
      <c r="Z49" s="11"/>
      <c r="AA49" s="11"/>
      <c r="AB49" s="11"/>
    </row>
    <row r="50" spans="1:30" x14ac:dyDescent="0.25">
      <c r="A50" s="11"/>
      <c r="B50" s="178"/>
      <c r="C50" s="270"/>
      <c r="D50" s="204"/>
      <c r="E50" s="204"/>
      <c r="F50" s="297"/>
      <c r="G50" s="11"/>
      <c r="H50" s="11"/>
      <c r="I50" s="178"/>
      <c r="J50" s="204"/>
      <c r="K50" s="289"/>
      <c r="L50" s="297"/>
      <c r="M50" s="11"/>
      <c r="N50" s="178">
        <v>4000</v>
      </c>
      <c r="O50" s="204">
        <v>0.11</v>
      </c>
      <c r="P50" s="289">
        <v>5</v>
      </c>
      <c r="Q50" s="297" t="s">
        <v>267</v>
      </c>
      <c r="S50" s="204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 x14ac:dyDescent="0.25">
      <c r="A51" s="11"/>
      <c r="B51" s="178"/>
      <c r="C51" s="270"/>
      <c r="D51" s="204"/>
      <c r="E51" s="204"/>
      <c r="F51" s="297"/>
      <c r="G51" s="11"/>
      <c r="H51" s="11"/>
      <c r="I51" s="178"/>
      <c r="J51" s="204"/>
      <c r="K51" s="289"/>
      <c r="L51" s="297"/>
      <c r="M51" s="11"/>
      <c r="N51" s="178">
        <v>5000</v>
      </c>
      <c r="O51" s="204">
        <v>0.13</v>
      </c>
      <c r="P51" s="289">
        <v>5</v>
      </c>
      <c r="Q51" s="297" t="s">
        <v>267</v>
      </c>
      <c r="S51" s="204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 x14ac:dyDescent="0.25">
      <c r="A52" s="11"/>
      <c r="B52" s="178"/>
      <c r="C52" s="270"/>
      <c r="D52" s="204"/>
      <c r="E52" s="204"/>
      <c r="F52" s="297"/>
      <c r="G52" s="11"/>
      <c r="H52" s="11"/>
      <c r="I52" s="178"/>
      <c r="J52" s="204"/>
      <c r="K52" s="289"/>
      <c r="L52" s="297"/>
      <c r="M52" s="11"/>
      <c r="N52" s="178"/>
      <c r="O52" s="204"/>
      <c r="P52" s="289"/>
      <c r="Q52" s="297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25">
      <c r="A53" s="11"/>
      <c r="B53" s="178"/>
      <c r="C53" s="270"/>
      <c r="D53" s="204"/>
      <c r="E53" s="204"/>
      <c r="F53" s="297"/>
      <c r="G53" s="11"/>
      <c r="H53" s="11"/>
      <c r="I53" s="178"/>
      <c r="J53" s="204"/>
      <c r="K53" s="289"/>
      <c r="L53" s="297"/>
      <c r="M53" s="11"/>
      <c r="N53" s="178"/>
      <c r="O53" s="204"/>
      <c r="P53" s="289"/>
      <c r="Q53" s="297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25">
      <c r="A54" s="11"/>
      <c r="B54" s="178"/>
      <c r="C54" s="270"/>
      <c r="D54" s="204"/>
      <c r="E54" s="204"/>
      <c r="F54" s="297"/>
      <c r="G54" s="11"/>
      <c r="H54" s="11"/>
      <c r="I54" s="178"/>
      <c r="J54" s="204"/>
      <c r="K54" s="289"/>
      <c r="L54" s="297"/>
      <c r="M54" s="11"/>
      <c r="N54" s="178"/>
      <c r="O54" s="204"/>
      <c r="P54" s="289"/>
      <c r="Q54" s="297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25">
      <c r="A55" s="11"/>
      <c r="B55" s="178"/>
      <c r="C55" s="270"/>
      <c r="D55" s="204"/>
      <c r="E55" s="204"/>
      <c r="F55" s="297"/>
      <c r="G55" s="11"/>
      <c r="H55" s="11"/>
      <c r="I55" s="178"/>
      <c r="J55" s="204"/>
      <c r="K55" s="289"/>
      <c r="L55" s="297"/>
      <c r="M55" s="11"/>
      <c r="N55" s="178"/>
      <c r="O55" s="204"/>
      <c r="P55" s="289"/>
      <c r="Q55" s="297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25">
      <c r="A56" s="11"/>
      <c r="B56" s="178"/>
      <c r="C56" s="270"/>
      <c r="D56" s="204"/>
      <c r="E56" s="204"/>
      <c r="F56" s="297"/>
      <c r="G56" s="11"/>
      <c r="H56" s="11"/>
      <c r="I56" s="178"/>
      <c r="J56" s="204"/>
      <c r="K56" s="289"/>
      <c r="L56" s="297"/>
      <c r="M56" s="11"/>
      <c r="N56" s="178"/>
      <c r="O56" s="204"/>
      <c r="P56" s="289"/>
      <c r="Q56" s="297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25">
      <c r="A57" s="11"/>
      <c r="B57" s="178"/>
      <c r="C57" s="270"/>
      <c r="D57" s="204"/>
      <c r="E57" s="204"/>
      <c r="F57" s="297"/>
      <c r="G57" s="11"/>
      <c r="H57" s="11"/>
      <c r="I57" s="178"/>
      <c r="J57" s="204"/>
      <c r="K57" s="289"/>
      <c r="L57" s="297"/>
      <c r="M57" s="11"/>
      <c r="N57" s="178"/>
      <c r="O57" s="204"/>
      <c r="P57" s="289"/>
      <c r="Q57" s="297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25">
      <c r="A58" s="11"/>
      <c r="B58" s="178"/>
      <c r="C58" s="270"/>
      <c r="D58" s="204"/>
      <c r="E58" s="204"/>
      <c r="F58" s="297"/>
      <c r="G58" s="11"/>
      <c r="H58" s="11"/>
      <c r="I58" s="178"/>
      <c r="J58" s="204"/>
      <c r="K58" s="289"/>
      <c r="L58" s="297"/>
      <c r="M58" s="11"/>
      <c r="N58" s="178"/>
      <c r="O58" s="204"/>
      <c r="P58" s="289"/>
      <c r="Q58" s="297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25">
      <c r="A59" s="11"/>
      <c r="B59" s="178"/>
      <c r="C59" s="270"/>
      <c r="D59" s="204"/>
      <c r="E59" s="204"/>
      <c r="F59" s="297"/>
      <c r="G59" s="11"/>
      <c r="H59" s="11"/>
      <c r="I59" s="178"/>
      <c r="J59" s="204"/>
      <c r="K59" s="289"/>
      <c r="L59" s="297"/>
      <c r="M59" s="11"/>
      <c r="N59" s="178"/>
      <c r="O59" s="204"/>
      <c r="P59" s="289"/>
      <c r="Q59" s="297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.75" thickBot="1" x14ac:dyDescent="0.3">
      <c r="A60" s="11"/>
      <c r="B60" s="283"/>
      <c r="C60" s="294"/>
      <c r="D60" s="159"/>
      <c r="E60" s="159"/>
      <c r="F60" s="298"/>
      <c r="G60" s="11"/>
      <c r="H60" s="11"/>
      <c r="I60" s="283"/>
      <c r="J60" s="159"/>
      <c r="K60" s="290"/>
      <c r="L60" s="298"/>
      <c r="M60" s="11"/>
      <c r="N60" s="283"/>
      <c r="O60" s="159"/>
      <c r="P60" s="290"/>
      <c r="Q60" s="298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2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2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2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2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2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25">
      <c r="B67" t="s">
        <v>453</v>
      </c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73" spans="2:30" x14ac:dyDescent="0.25">
      <c r="B73" t="s">
        <v>454</v>
      </c>
    </row>
  </sheetData>
  <mergeCells count="8">
    <mergeCell ref="S12:X12"/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9FADE1F-C18D-4177-9188-2E8A55B0CCD1}">
          <x14:formula1>
            <xm:f>Sources!$D$14:$D$21</xm:f>
          </x14:formula1>
          <xm:sqref>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G29:G41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K11:K16 K29:K40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J29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J30:J40 J12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S48:S51 N48:N60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J13:J22 J11 S13:X13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15" zoomScale="91" zoomScaleNormal="91" workbookViewId="0">
      <selection activeCell="L29" sqref="L2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38.285156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0.5703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383</v>
      </c>
      <c r="F10" s="210" t="s">
        <v>176</v>
      </c>
      <c r="G10" s="5"/>
      <c r="H10" s="65" t="s">
        <v>2</v>
      </c>
      <c r="I10" s="66"/>
      <c r="J10" s="213" t="s">
        <v>176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192</v>
      </c>
      <c r="S10" s="136">
        <v>110</v>
      </c>
      <c r="T10" s="137" t="s">
        <v>319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75" x14ac:dyDescent="0.3">
      <c r="A11" s="5"/>
      <c r="B11" s="5"/>
      <c r="C11" s="82"/>
      <c r="D11" s="65" t="s">
        <v>3</v>
      </c>
      <c r="E11" s="66">
        <v>100</v>
      </c>
      <c r="F11" s="210" t="s">
        <v>176</v>
      </c>
      <c r="G11" s="5"/>
      <c r="H11" s="65" t="s">
        <v>65</v>
      </c>
      <c r="I11" s="101">
        <f>33000/1000000</f>
        <v>3.3000000000000002E-2</v>
      </c>
      <c r="J11" s="210" t="s">
        <v>185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186</v>
      </c>
      <c r="S11" s="99">
        <v>110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171</v>
      </c>
      <c r="O12" s="121"/>
      <c r="P12" s="71"/>
      <c r="Q12" s="123"/>
      <c r="R12" s="5"/>
      <c r="S12" s="99">
        <v>110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E13" s="66"/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1" t="s">
        <v>170</v>
      </c>
      <c r="O13" s="71"/>
      <c r="P13" s="71"/>
      <c r="Q13" s="66"/>
      <c r="R13" s="5"/>
      <c r="S13" s="99">
        <v>110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20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1" t="s">
        <v>319</v>
      </c>
      <c r="O14" s="71"/>
      <c r="P14" s="71"/>
      <c r="Q14" s="66"/>
      <c r="R14" s="5"/>
      <c r="S14" s="99">
        <v>110</v>
      </c>
      <c r="T14" s="71" t="s">
        <v>321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5"/>
      <c r="L15" s="5"/>
      <c r="M15" s="73"/>
      <c r="N15" s="71" t="s">
        <v>168</v>
      </c>
      <c r="O15" s="71"/>
      <c r="P15" s="71"/>
      <c r="Q15" s="66"/>
      <c r="R15" s="5"/>
      <c r="S15" s="49">
        <v>250</v>
      </c>
      <c r="T15" s="100" t="s">
        <v>321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170</v>
      </c>
      <c r="J16" s="210" t="s">
        <v>176</v>
      </c>
      <c r="K16" s="5"/>
      <c r="L16" s="5"/>
      <c r="M16" s="73"/>
      <c r="N16" s="71" t="s">
        <v>321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319</v>
      </c>
      <c r="J18" s="210" t="s">
        <v>176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 t="s">
        <v>168</v>
      </c>
      <c r="J19" s="210" t="s">
        <v>176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 t="s">
        <v>321</v>
      </c>
      <c r="J20" s="210" t="s">
        <v>176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318</v>
      </c>
      <c r="J21" s="210" t="s">
        <v>176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 t="s">
        <v>14</v>
      </c>
      <c r="J22" s="210" t="s">
        <v>176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241"/>
      <c r="J27" s="211" t="s">
        <v>176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336" t="s">
        <v>358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335" t="s">
        <v>359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326" t="s">
        <v>328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>
        <v>250</v>
      </c>
      <c r="E34" s="5" t="s">
        <v>329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" t="s">
        <v>330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 t="s">
        <v>331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 t="s">
        <v>332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35" t="s">
        <v>445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333" t="s">
        <v>323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 t="s">
        <v>446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345" t="s">
        <v>447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6"/>
      <c r="E47" s="6"/>
      <c r="F47" s="6"/>
      <c r="G47" s="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zoomScale="75" zoomScaleNormal="47" workbookViewId="0">
      <selection activeCell="Q37" sqref="Q3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5.8554687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5" width="27.28515625" style="3" bestFit="1" customWidth="1"/>
    <col min="16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192</v>
      </c>
      <c r="S10" s="136">
        <v>888</v>
      </c>
      <c r="T10" s="137" t="s">
        <v>319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110</v>
      </c>
      <c r="F11" s="210" t="s">
        <v>176</v>
      </c>
      <c r="G11" s="5"/>
      <c r="H11" s="65" t="s">
        <v>65</v>
      </c>
      <c r="I11" s="101">
        <f>12500/1000000</f>
        <v>1.2500000000000001E-2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888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321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171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80</v>
      </c>
      <c r="F18" s="210" t="s">
        <v>191</v>
      </c>
      <c r="G18" s="5"/>
      <c r="H18" s="73"/>
      <c r="I18" s="239" t="s">
        <v>321</v>
      </c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 t="s">
        <v>319</v>
      </c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336" t="s">
        <v>358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335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326" t="s">
        <v>333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35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26" t="s">
        <v>324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333" t="s">
        <v>325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86"/>
      <c r="E47" s="386"/>
      <c r="F47" s="386"/>
      <c r="G47" s="38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D1" zoomScale="75" zoomScaleNormal="47" workbookViewId="0">
      <selection activeCell="J40" sqref="J4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20.8554687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5" width="27.28515625" style="3" bestFit="1" customWidth="1"/>
    <col min="16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385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192</v>
      </c>
      <c r="S10" s="99">
        <v>5000</v>
      </c>
      <c r="T10" s="100" t="s">
        <v>321</v>
      </c>
      <c r="U10" s="101">
        <v>0.95</v>
      </c>
      <c r="V10" s="80"/>
      <c r="W10" s="134"/>
      <c r="X10" s="79">
        <v>5000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250</v>
      </c>
      <c r="F11" s="210" t="s">
        <v>176</v>
      </c>
      <c r="G11" s="5"/>
      <c r="H11" s="65" t="s">
        <v>65</v>
      </c>
      <c r="I11" s="101">
        <f>12000/1000000</f>
        <v>1.2E-2</v>
      </c>
      <c r="J11" s="210" t="s">
        <v>185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186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321</v>
      </c>
      <c r="O12" s="175" t="s">
        <v>14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321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336" t="s">
        <v>358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75" x14ac:dyDescent="0.2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 t="s">
        <v>335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26" t="s">
        <v>334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75" x14ac:dyDescent="0.2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 t="s">
        <v>326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26" t="s">
        <v>324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333" t="s">
        <v>325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86"/>
      <c r="E47" s="386"/>
      <c r="F47" s="386"/>
      <c r="G47" s="38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zoomScale="58" zoomScaleNormal="58" workbookViewId="0">
      <selection activeCell="E10" sqref="E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29.5703125" style="3" bestFit="1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7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9" style="3" bestFit="1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404" t="s">
        <v>5</v>
      </c>
      <c r="AI8" s="405"/>
      <c r="AJ8" s="406"/>
      <c r="AK8" s="94"/>
      <c r="AL8" s="404" t="s">
        <v>6</v>
      </c>
      <c r="AM8" s="405"/>
      <c r="AN8" s="406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343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192</v>
      </c>
      <c r="S10" s="99">
        <v>340</v>
      </c>
      <c r="T10" s="100" t="s">
        <v>342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171</v>
      </c>
      <c r="AD10" s="135" t="s">
        <v>12</v>
      </c>
      <c r="AE10" s="79" t="s">
        <v>14</v>
      </c>
      <c r="AF10" s="133">
        <v>0.06</v>
      </c>
      <c r="AG10" s="116"/>
      <c r="AH10" s="122" t="s">
        <v>321</v>
      </c>
      <c r="AI10" s="121">
        <v>6</v>
      </c>
      <c r="AJ10" s="123">
        <v>-1</v>
      </c>
      <c r="AK10" s="111"/>
      <c r="AL10" s="124">
        <v>6</v>
      </c>
      <c r="AM10" s="125" t="s">
        <v>321</v>
      </c>
      <c r="AN10" s="126">
        <v>0.6</v>
      </c>
      <c r="AO10" s="83"/>
    </row>
    <row r="11" spans="3:41" ht="19.5" thickBot="1" x14ac:dyDescent="0.35">
      <c r="C11" s="82"/>
      <c r="D11" s="65" t="s">
        <v>3</v>
      </c>
      <c r="E11" s="66">
        <v>240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186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321</v>
      </c>
      <c r="AD11" s="102"/>
      <c r="AE11" s="71"/>
      <c r="AF11" s="104"/>
      <c r="AG11" s="116"/>
      <c r="AH11" s="122" t="s">
        <v>342</v>
      </c>
      <c r="AI11" s="121">
        <v>6</v>
      </c>
      <c r="AJ11" s="123">
        <v>0.6</v>
      </c>
      <c r="AK11" s="111"/>
      <c r="AL11" s="112">
        <v>7</v>
      </c>
      <c r="AM11" s="6" t="s">
        <v>171</v>
      </c>
      <c r="AN11" s="127">
        <v>0.95</v>
      </c>
      <c r="AO11" s="83"/>
    </row>
    <row r="12" spans="3:41" ht="18.75" x14ac:dyDescent="0.3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174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318</v>
      </c>
      <c r="AD12" s="43"/>
      <c r="AE12" s="71"/>
      <c r="AF12" s="104"/>
      <c r="AG12" s="116"/>
      <c r="AH12" s="122" t="s">
        <v>174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319</v>
      </c>
      <c r="AD13" s="43"/>
      <c r="AE13" s="71"/>
      <c r="AF13" s="104"/>
      <c r="AG13" s="116"/>
      <c r="AH13" s="122" t="s">
        <v>171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170</v>
      </c>
      <c r="AD14" s="43"/>
      <c r="AE14" s="71"/>
      <c r="AF14" s="104"/>
      <c r="AG14" s="116"/>
      <c r="AH14" s="103" t="s">
        <v>342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321</v>
      </c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>
        <v>25</v>
      </c>
      <c r="F17" s="210" t="s">
        <v>180</v>
      </c>
      <c r="G17" s="5"/>
      <c r="H17" s="72"/>
      <c r="I17" s="239" t="s">
        <v>171</v>
      </c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14</v>
      </c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239" t="s">
        <v>319</v>
      </c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336" t="s">
        <v>358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335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326" t="s">
        <v>336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 t="s">
        <v>337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 t="s">
        <v>338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 t="s">
        <v>339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3" t="s">
        <v>340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3" t="s">
        <v>341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337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11" t="s">
        <v>345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326" t="s">
        <v>351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 t="s">
        <v>346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>
        <v>5</v>
      </c>
      <c r="E47" s="5" t="s">
        <v>347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>
        <v>4</v>
      </c>
      <c r="E48" s="5" t="s">
        <v>348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>
        <f>5/(4*3600)</f>
        <v>3.4722222222222224E-4</v>
      </c>
      <c r="E49" s="5" t="s">
        <v>349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>
        <f>D49*D48</f>
        <v>1.3888888888888889E-3</v>
      </c>
      <c r="E50" s="5" t="s">
        <v>350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14" zoomScale="98" zoomScaleNormal="98" workbookViewId="0">
      <selection activeCell="E6" sqref="E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6.425781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32.140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30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7" width="10.85546875" style="3"/>
    <col min="28" max="28" width="31.85546875" style="3" bestFit="1" customWidth="1"/>
    <col min="29" max="29" width="17.85546875" style="3" bestFit="1" customWidth="1"/>
    <col min="30" max="30" width="10.85546875" style="3"/>
    <col min="31" max="31" width="17.85546875" style="3" bestFit="1" customWidth="1"/>
    <col min="32" max="32" width="60.5703125" style="3" bestFit="1" customWidth="1"/>
    <col min="33" max="33" width="10.85546875" style="3"/>
    <col min="34" max="34" width="17.42578125" style="3" bestFit="1" customWidth="1"/>
    <col min="35" max="16384" width="10.85546875" style="3"/>
  </cols>
  <sheetData>
    <row r="1" spans="1:37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6.95" customHeight="1" thickBot="1" x14ac:dyDescent="0.3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 x14ac:dyDescent="0.2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 x14ac:dyDescent="0.25">
      <c r="A6" s="5"/>
      <c r="B6" s="5"/>
      <c r="C6" s="82"/>
      <c r="D6" s="5"/>
      <c r="E6" s="5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83"/>
    </row>
    <row r="7" spans="1:37" ht="15.75" thickBot="1" x14ac:dyDescent="0.3">
      <c r="A7" s="5"/>
      <c r="B7" s="5"/>
      <c r="C7" s="82"/>
      <c r="AK7" s="83"/>
    </row>
    <row r="8" spans="1:37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75" x14ac:dyDescent="0.3">
      <c r="A10" s="5"/>
      <c r="B10" s="5"/>
      <c r="C10" s="82"/>
      <c r="D10" s="63" t="s">
        <v>1</v>
      </c>
      <c r="E10" s="64" t="s">
        <v>451</v>
      </c>
      <c r="F10" s="210" t="s">
        <v>176</v>
      </c>
      <c r="G10" s="5"/>
      <c r="H10" s="63" t="s">
        <v>2</v>
      </c>
      <c r="I10" s="64"/>
      <c r="J10" s="92" t="s">
        <v>176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192</v>
      </c>
      <c r="S10" s="99">
        <v>4000</v>
      </c>
      <c r="T10" s="100" t="s">
        <v>275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.5" thickBot="1" x14ac:dyDescent="0.35">
      <c r="A11" s="5"/>
      <c r="B11" s="5"/>
      <c r="C11" s="82"/>
      <c r="D11" s="65" t="s">
        <v>3</v>
      </c>
      <c r="E11" s="66">
        <v>340</v>
      </c>
      <c r="F11" s="210" t="s">
        <v>176</v>
      </c>
      <c r="G11" s="5"/>
      <c r="H11" s="65" t="s">
        <v>65</v>
      </c>
      <c r="I11" s="101">
        <f>8000/1000000</f>
        <v>8.0000000000000002E-3</v>
      </c>
      <c r="J11" s="83" t="s">
        <v>185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75" x14ac:dyDescent="0.3">
      <c r="A12" s="5"/>
      <c r="B12" s="5"/>
      <c r="C12" s="82"/>
      <c r="D12" s="65" t="s">
        <v>40</v>
      </c>
      <c r="E12" s="255"/>
      <c r="F12" s="210" t="s">
        <v>176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275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83" t="s">
        <v>176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275</v>
      </c>
      <c r="J16" s="213" t="s">
        <v>176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75" x14ac:dyDescent="0.3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75" x14ac:dyDescent="0.3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75" x14ac:dyDescent="0.3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75" x14ac:dyDescent="0.3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.5" thickBot="1" x14ac:dyDescent="0.3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.5" thickBot="1" x14ac:dyDescent="0.3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 x14ac:dyDescent="0.25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 x14ac:dyDescent="0.25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 x14ac:dyDescent="0.25">
      <c r="A30" s="5"/>
      <c r="B30" s="5"/>
      <c r="C30" s="82"/>
      <c r="D30" s="336" t="s">
        <v>358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 x14ac:dyDescent="0.25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75" x14ac:dyDescent="0.25">
      <c r="A32" s="5"/>
      <c r="B32" s="5"/>
      <c r="C32" s="82"/>
      <c r="D32" s="338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 x14ac:dyDescent="0.25">
      <c r="A33" s="5"/>
      <c r="B33" s="5"/>
      <c r="C33" s="82"/>
      <c r="D33" s="5" t="s">
        <v>355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 x14ac:dyDescent="0.25">
      <c r="A34" s="5"/>
      <c r="B34" s="5"/>
      <c r="C34" s="82"/>
      <c r="D34" s="326" t="s">
        <v>352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 x14ac:dyDescent="0.25">
      <c r="A35" s="5"/>
      <c r="B35" s="5"/>
      <c r="C35" s="82"/>
      <c r="D35" s="5" t="s">
        <v>353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 x14ac:dyDescent="0.25">
      <c r="A36" s="5"/>
      <c r="B36" s="5"/>
      <c r="C36" s="82"/>
      <c r="D36" s="5" t="s">
        <v>354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75" x14ac:dyDescent="0.2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 x14ac:dyDescent="0.25">
      <c r="A39" s="5"/>
      <c r="B39" s="5"/>
      <c r="C39" s="82"/>
      <c r="D39" s="5" t="s">
        <v>356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 x14ac:dyDescent="0.25">
      <c r="A40" s="5"/>
      <c r="B40" s="5"/>
      <c r="C40" s="82"/>
      <c r="D40" s="5" t="s">
        <v>357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 x14ac:dyDescent="0.25">
      <c r="A41" s="5"/>
      <c r="B41" s="5"/>
      <c r="C41" s="82"/>
      <c r="D41" s="326" t="s">
        <v>352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75" x14ac:dyDescent="0.25">
      <c r="A47" s="5"/>
      <c r="B47" s="5"/>
      <c r="C47" s="82"/>
      <c r="D47" s="386"/>
      <c r="E47" s="386"/>
      <c r="F47" s="386"/>
      <c r="G47" s="38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zoomScale="75" zoomScaleNormal="47" workbookViewId="0">
      <selection activeCell="L37" sqref="L3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210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319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75" x14ac:dyDescent="0.3">
      <c r="A11" s="5"/>
      <c r="B11" s="5"/>
      <c r="C11" s="82"/>
      <c r="D11" s="65" t="s">
        <v>3</v>
      </c>
      <c r="E11" s="66">
        <v>999</v>
      </c>
      <c r="F11" s="210" t="s">
        <v>176</v>
      </c>
      <c r="G11" s="5"/>
      <c r="H11" s="65" t="s">
        <v>65</v>
      </c>
      <c r="I11" s="101">
        <v>0</v>
      </c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170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E13" s="66" t="s">
        <v>209</v>
      </c>
      <c r="F13" s="210" t="s">
        <v>176</v>
      </c>
      <c r="G13" s="5"/>
      <c r="H13" s="65" t="s">
        <v>67</v>
      </c>
      <c r="I13" s="101">
        <v>1</v>
      </c>
      <c r="J13" s="210" t="s">
        <v>176</v>
      </c>
      <c r="K13" s="5"/>
      <c r="L13" s="5"/>
      <c r="M13" s="72" t="s">
        <v>189</v>
      </c>
      <c r="N13" s="71"/>
      <c r="O13" s="71"/>
      <c r="P13" s="71"/>
      <c r="Q13" s="66"/>
      <c r="R13" s="5"/>
      <c r="S13" s="105">
        <v>220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321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75" x14ac:dyDescent="0.3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75" x14ac:dyDescent="0.3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171</v>
      </c>
      <c r="J16" s="210" t="s">
        <v>176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319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14"/>
      <c r="I17" s="66"/>
      <c r="J17" s="210" t="s">
        <v>176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170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171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168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321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86"/>
      <c r="E47" s="386"/>
      <c r="F47" s="386"/>
      <c r="G47" s="38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zoomScale="75" zoomScaleNormal="47" workbookViewId="0">
      <selection activeCell="N43" sqref="N43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31.8554687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7.2851562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5.85546875" style="3" bestFit="1" customWidth="1"/>
    <col min="32" max="32" width="60.5703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386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54">
        <v>6.9637883008356549E-5</v>
      </c>
      <c r="O10" s="245"/>
      <c r="P10" s="176"/>
      <c r="Q10" s="177"/>
      <c r="R10" s="5" t="s">
        <v>350</v>
      </c>
      <c r="S10" s="99">
        <v>320</v>
      </c>
      <c r="T10" s="100" t="s">
        <v>168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0.1</v>
      </c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220</v>
      </c>
      <c r="F11" s="210" t="s">
        <v>176</v>
      </c>
      <c r="G11" s="5"/>
      <c r="H11" s="65" t="s">
        <v>65</v>
      </c>
      <c r="I11" s="350">
        <f xml:space="preserve"> 183628/1000000</f>
        <v>0.18362800000000001</v>
      </c>
      <c r="J11" s="210" t="s">
        <v>185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186</v>
      </c>
      <c r="S11" s="99">
        <v>320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319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247" t="s">
        <v>170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319</v>
      </c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247" t="s">
        <v>171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321</v>
      </c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244"/>
      <c r="N15" s="239" t="s">
        <v>168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5"/>
      <c r="L16" s="5"/>
      <c r="M16" s="244"/>
      <c r="N16" s="239" t="s">
        <v>321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66" t="s">
        <v>168</v>
      </c>
      <c r="J17" s="210" t="s">
        <v>176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66" t="s">
        <v>319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66" t="s">
        <v>321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336" t="s">
        <v>358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75" x14ac:dyDescent="0.3">
      <c r="A33" s="5"/>
      <c r="B33" s="5"/>
      <c r="C33" s="82"/>
      <c r="D33" s="339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45" t="s">
        <v>393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49">
        <f xml:space="preserve"> 183628/1000000</f>
        <v>0.18362800000000001</v>
      </c>
      <c r="E35" s="5" t="s">
        <v>394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>
        <v>500</v>
      </c>
      <c r="E36" s="5" t="s">
        <v>395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352" t="s">
        <v>396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3">
        <v>718</v>
      </c>
      <c r="E38" s="5" t="s">
        <v>367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351" t="s">
        <v>397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">
        <f>D38*D36/1000</f>
        <v>359</v>
      </c>
      <c r="E40" s="3" t="s">
        <v>398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3" t="s">
        <v>399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>
        <v>5</v>
      </c>
      <c r="E42" s="5" t="s">
        <v>392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3">
        <f>(D40/1000)/(D42/60)</f>
        <v>4.3079999999999998</v>
      </c>
      <c r="E43" s="5" t="s">
        <v>186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75" x14ac:dyDescent="0.3">
      <c r="A46" s="5"/>
      <c r="B46" s="5"/>
      <c r="C46" s="82"/>
      <c r="D46" s="339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5">
        <v>2.5000000000000001E-2</v>
      </c>
      <c r="E48" s="5" t="s">
        <v>400</v>
      </c>
      <c r="F48" s="93">
        <f>530*3/60</f>
        <v>26.5</v>
      </c>
      <c r="G48" s="93" t="s">
        <v>401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353">
        <f>D48/D40</f>
        <v>6.9637883008356549E-5</v>
      </c>
      <c r="E49" s="3" t="s">
        <v>402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75" x14ac:dyDescent="0.3">
      <c r="A52" s="5"/>
      <c r="B52" s="5"/>
      <c r="C52" s="82"/>
      <c r="D52" s="339" t="s">
        <v>388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326" t="s">
        <v>390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5">
        <v>2.1</v>
      </c>
      <c r="E54" s="5" t="s">
        <v>389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>
        <v>9.6</v>
      </c>
      <c r="E55" s="5" t="s">
        <v>389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3">
        <f>AVERAGE(D54:D55)</f>
        <v>5.85</v>
      </c>
      <c r="E56" s="3" t="s">
        <v>376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349">
        <f>_xlfn.STDEV.P(D54:D55)/AVERAGE(D54:D55)*100</f>
        <v>64.102564102564102</v>
      </c>
      <c r="E57" s="5" t="s">
        <v>374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 t="s">
        <v>377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>
        <f>(1.02 + 2.92)/(2*100)</f>
        <v>1.9699999999999999E-2</v>
      </c>
      <c r="E60" s="5" t="s">
        <v>378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3" t="s">
        <v>391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>
        <f>D60/0.2</f>
        <v>9.849999999999999E-2</v>
      </c>
      <c r="E62" s="5" t="s">
        <v>379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 t="s">
        <v>380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3">
        <f>D64*100</f>
        <v>5.9390862944162439</v>
      </c>
      <c r="E65" s="3" t="s">
        <v>381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O39" sqref="O3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387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42">
        <f>D51</f>
        <v>0.11966666666666666</v>
      </c>
      <c r="O10" s="175"/>
      <c r="P10" s="176"/>
      <c r="Q10" s="177"/>
      <c r="R10" s="5" t="s">
        <v>350</v>
      </c>
      <c r="S10" s="99">
        <v>330</v>
      </c>
      <c r="T10" s="100" t="s">
        <v>168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10</v>
      </c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230</v>
      </c>
      <c r="F11" s="210" t="s">
        <v>176</v>
      </c>
      <c r="G11" s="5"/>
      <c r="H11" s="65" t="s">
        <v>65</v>
      </c>
      <c r="I11" s="343">
        <f>D35/1000000</f>
        <v>3.0238130000000001</v>
      </c>
      <c r="J11" s="210" t="s">
        <v>185</v>
      </c>
      <c r="K11" s="5"/>
      <c r="L11" s="5"/>
      <c r="M11" s="72" t="s">
        <v>74</v>
      </c>
      <c r="N11" s="252" t="s">
        <v>12</v>
      </c>
      <c r="O11" s="341"/>
      <c r="P11" s="76"/>
      <c r="Q11" s="253"/>
      <c r="R11" s="5" t="s">
        <v>186</v>
      </c>
      <c r="S11" s="99">
        <v>330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343">
        <f>(D39/1000)/(100/60)</f>
        <v>0.43079999999999996</v>
      </c>
      <c r="J12" s="210" t="str">
        <f>J15</f>
        <v>t/h</v>
      </c>
      <c r="K12" s="5"/>
      <c r="L12" s="5"/>
      <c r="M12" s="340" t="s">
        <v>75</v>
      </c>
      <c r="N12" s="122" t="s">
        <v>319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2" t="s">
        <v>170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319</v>
      </c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122" t="s">
        <v>171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321</v>
      </c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73"/>
      <c r="N15" s="105" t="s">
        <v>168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3" t="s">
        <v>176</v>
      </c>
      <c r="K16" s="5"/>
      <c r="L16" s="5"/>
      <c r="M16" s="73"/>
      <c r="N16" s="105" t="s">
        <v>321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42"/>
      <c r="I17" s="66" t="s">
        <v>168</v>
      </c>
      <c r="J17" s="210" t="s">
        <v>176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244"/>
      <c r="I18" s="66" t="s">
        <v>319</v>
      </c>
      <c r="J18" s="210" t="s">
        <v>176</v>
      </c>
      <c r="K18" s="5"/>
      <c r="L18" s="5"/>
      <c r="M18" s="73"/>
      <c r="N18" s="105" t="s">
        <v>318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244"/>
      <c r="I19" s="66" t="s">
        <v>170</v>
      </c>
      <c r="J19" s="210" t="s">
        <v>176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244"/>
      <c r="I20" s="66" t="s">
        <v>321</v>
      </c>
      <c r="J20" s="210" t="s">
        <v>176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240"/>
      <c r="I21" s="66" t="s">
        <v>14</v>
      </c>
      <c r="J21" s="210" t="s">
        <v>176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240"/>
      <c r="I22" s="66"/>
      <c r="J22" s="210" t="s">
        <v>176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240"/>
      <c r="I23" s="78"/>
      <c r="J23" s="210" t="s">
        <v>176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240"/>
      <c r="I24" s="78"/>
      <c r="J24" s="210" t="s">
        <v>176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240"/>
      <c r="I25" s="78"/>
      <c r="J25" s="210" t="s">
        <v>176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240"/>
      <c r="I26" s="78"/>
      <c r="J26" s="210" t="s">
        <v>176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241"/>
      <c r="I27" s="77"/>
      <c r="J27" s="211" t="s">
        <v>176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336" t="s">
        <v>358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75" x14ac:dyDescent="0.3">
      <c r="A33" s="5"/>
      <c r="B33" s="5"/>
      <c r="C33" s="82"/>
      <c r="D33" s="339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45" t="s">
        <v>365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>
        <v>3023813</v>
      </c>
      <c r="E35" s="5" t="s">
        <v>366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 t="s">
        <v>403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3">
        <v>718</v>
      </c>
      <c r="E37" s="5" t="s">
        <v>367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3" t="s">
        <v>368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3">
        <v>718</v>
      </c>
      <c r="E39" s="3" t="s">
        <v>369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">
        <v>100</v>
      </c>
      <c r="E40" s="3" t="s">
        <v>363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3">
        <f>(D39/1000)/(100/60)</f>
        <v>0.43079999999999996</v>
      </c>
      <c r="E42" s="3" t="s">
        <v>186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75" x14ac:dyDescent="0.3">
      <c r="A44" s="5"/>
      <c r="B44" s="5"/>
      <c r="C44" s="82"/>
      <c r="D44" s="339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345" t="s">
        <v>360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>
        <v>0.1</v>
      </c>
      <c r="E46" s="5" t="s">
        <v>362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45" t="s">
        <v>361</v>
      </c>
      <c r="E47" s="5"/>
      <c r="F47" s="6"/>
      <c r="G47" s="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5">
        <v>100</v>
      </c>
      <c r="E48" s="5" t="s">
        <v>363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3">
        <f>0.1*100/(60)</f>
        <v>0.16666666666666666</v>
      </c>
      <c r="E50" s="3" t="s">
        <v>404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3">
        <f>D50*D37/1000</f>
        <v>0.11966666666666666</v>
      </c>
      <c r="E51" s="3" t="s">
        <v>350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75" x14ac:dyDescent="0.25">
      <c r="A53" s="5"/>
      <c r="B53" s="5"/>
      <c r="C53" s="82"/>
      <c r="D53" s="347" t="s">
        <v>371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t="s">
        <v>370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75" x14ac:dyDescent="0.25">
      <c r="A55" s="5"/>
      <c r="B55" s="5"/>
      <c r="C55" s="82"/>
      <c r="D55" s="9" t="s">
        <v>372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 t="s">
        <v>373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>
        <v>6.3</v>
      </c>
      <c r="E57" s="5" t="s">
        <v>375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>
        <v>9.3000000000000007</v>
      </c>
      <c r="E58" s="5" t="s">
        <v>375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3">
        <f>AVERAGE(D57:D58)</f>
        <v>7.8000000000000007</v>
      </c>
      <c r="E59" s="3" t="s">
        <v>376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349">
        <f>_xlfn.STDEV.P(D57:D58)/AVERAGE(D57:D58)*100</f>
        <v>19.230769230769198</v>
      </c>
      <c r="E60" s="5" t="s">
        <v>374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 t="s">
        <v>377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>
        <f>(1.02 + 2.92)/(2*100)</f>
        <v>1.9699999999999999E-2</v>
      </c>
      <c r="E63" s="5" t="s">
        <v>378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3" t="s">
        <v>391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>
        <f>D63/0.2</f>
        <v>9.849999999999999E-2</v>
      </c>
      <c r="E65" s="5" t="s">
        <v>379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 t="s">
        <v>380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3">
        <f>D67*100</f>
        <v>7.9187817258883255</v>
      </c>
      <c r="E68" s="3" t="s">
        <v>381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5"/>
      <c r="D69" s="5" t="s">
        <v>382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75" x14ac:dyDescent="0.3">
      <c r="A71" s="5"/>
      <c r="B71" s="5"/>
      <c r="C71" s="5"/>
      <c r="D71" s="339" t="s">
        <v>83</v>
      </c>
      <c r="E71" s="339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75" x14ac:dyDescent="0.3">
      <c r="A72" s="5"/>
      <c r="B72" s="5"/>
      <c r="C72" s="5"/>
      <c r="D72" s="339"/>
      <c r="E72" s="339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75" x14ac:dyDescent="0.3">
      <c r="A73" s="5"/>
      <c r="B73" s="5"/>
      <c r="C73" s="5"/>
      <c r="D73" s="339"/>
      <c r="E73" s="339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topLeftCell="A3" zoomScale="75" zoomScaleNormal="47" workbookViewId="0">
      <selection activeCell="E10" sqref="E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7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457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320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220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60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336" t="s">
        <v>358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 t="s">
        <v>406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 t="s">
        <v>364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345" t="s">
        <v>405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" t="s">
        <v>407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>
        <v>20</v>
      </c>
      <c r="E36" s="5" t="s">
        <v>181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>
        <v>100</v>
      </c>
      <c r="E37" s="5" t="s">
        <v>181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 t="s">
        <v>408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 t="s">
        <v>411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25" x14ac:dyDescent="0.25">
      <c r="A40" s="5"/>
      <c r="B40" s="5"/>
      <c r="C40" s="82"/>
      <c r="D40" s="355">
        <v>4.1859999999999999</v>
      </c>
      <c r="E40" s="5" t="s">
        <v>409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>
        <f>D40*(100-25)</f>
        <v>313.95</v>
      </c>
      <c r="E41" s="5" t="s">
        <v>410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 t="s">
        <v>412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356">
        <v>2257</v>
      </c>
      <c r="E43" s="5" t="s">
        <v>410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 t="s">
        <v>413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>
        <f>D43 + D41</f>
        <v>2570.9499999999998</v>
      </c>
      <c r="E46" s="5" t="s">
        <v>410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6" t="s">
        <v>415</v>
      </c>
      <c r="E47" s="6"/>
      <c r="F47" s="6"/>
      <c r="G47" s="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 t="s">
        <v>416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>
        <f>D46/(8*3600)</f>
        <v>8.9269097222222218E-2</v>
      </c>
      <c r="E50" s="346" t="s">
        <v>417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>
        <f>D50</f>
        <v>8.9269097222222218E-2</v>
      </c>
      <c r="E51" s="3" t="s">
        <v>350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P1" zoomScale="75" zoomScaleNormal="47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85546875" style="3" customWidth="1"/>
    <col min="5" max="5" width="16.425781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387"/>
      <c r="E6" s="387"/>
      <c r="F6" s="5"/>
      <c r="G6" s="5"/>
      <c r="H6" s="387"/>
      <c r="I6" s="387"/>
      <c r="J6" s="15"/>
      <c r="K6" s="15"/>
      <c r="L6" s="5"/>
      <c r="M6" s="387"/>
      <c r="N6" s="387"/>
      <c r="O6" s="387"/>
      <c r="P6" s="387"/>
      <c r="Q6" s="5"/>
      <c r="R6" s="5"/>
      <c r="S6" s="394"/>
      <c r="T6" s="394"/>
      <c r="U6" s="394"/>
      <c r="V6" s="394"/>
      <c r="W6" s="394"/>
      <c r="X6" s="394"/>
      <c r="Y6" s="394"/>
      <c r="Z6" s="394"/>
      <c r="AA6" s="394"/>
      <c r="AB6" s="394"/>
      <c r="AC6" s="394"/>
      <c r="AD6" s="394"/>
      <c r="AE6" s="394"/>
      <c r="AF6" s="394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458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330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186</v>
      </c>
      <c r="S11" s="99">
        <v>230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65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336" t="s">
        <v>358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 t="s">
        <v>418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86"/>
      <c r="E47" s="386"/>
      <c r="F47" s="386"/>
      <c r="G47" s="386"/>
      <c r="H47" s="386"/>
      <c r="I47" s="386"/>
      <c r="J47" s="386"/>
      <c r="K47" s="386"/>
      <c r="L47" s="386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topLeftCell="U6" zoomScale="70" zoomScaleNormal="70" workbookViewId="0">
      <selection activeCell="AL28" sqref="AL28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6.4257812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6" width="20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404" t="s">
        <v>5</v>
      </c>
      <c r="AI8" s="405"/>
      <c r="AJ8" s="406"/>
      <c r="AK8" s="94"/>
      <c r="AL8" s="404" t="s">
        <v>6</v>
      </c>
      <c r="AM8" s="405"/>
      <c r="AN8" s="406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200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192</v>
      </c>
      <c r="S10" s="99">
        <v>2000</v>
      </c>
      <c r="T10" s="100" t="s">
        <v>194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171</v>
      </c>
      <c r="AF10" s="133">
        <v>10</v>
      </c>
      <c r="AG10" s="116"/>
      <c r="AH10" s="122" t="s">
        <v>171</v>
      </c>
      <c r="AI10" s="121">
        <v>1</v>
      </c>
      <c r="AJ10" s="123">
        <v>-1</v>
      </c>
      <c r="AK10" s="111"/>
      <c r="AL10" s="124">
        <v>1</v>
      </c>
      <c r="AM10" s="125" t="s">
        <v>171</v>
      </c>
      <c r="AN10" s="126">
        <v>0.95</v>
      </c>
      <c r="AO10" s="83"/>
    </row>
    <row r="11" spans="3:41" ht="19.5" thickBot="1" x14ac:dyDescent="0.35">
      <c r="C11" s="82"/>
      <c r="D11" s="65" t="s">
        <v>3</v>
      </c>
      <c r="E11" s="66">
        <v>210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186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321</v>
      </c>
      <c r="AN11" s="127">
        <v>0.6</v>
      </c>
      <c r="AO11" s="83"/>
    </row>
    <row r="12" spans="3:41" ht="18.75" x14ac:dyDescent="0.3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3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174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194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174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321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321</v>
      </c>
      <c r="J16" s="210" t="s">
        <v>176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194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174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>
        <v>30</v>
      </c>
      <c r="F18" s="210" t="s">
        <v>180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239" t="s">
        <v>319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336" t="s">
        <v>358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335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345" t="s">
        <v>419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357" t="s">
        <v>337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357" t="s">
        <v>338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357" t="s">
        <v>339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358" t="s">
        <v>340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358" t="s">
        <v>341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357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75" x14ac:dyDescent="0.3">
      <c r="C42" s="82"/>
      <c r="D42" s="339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359" t="s">
        <v>421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 t="s">
        <v>422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326" t="s">
        <v>423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 t="s">
        <v>424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3">
        <f>AVERAGE(0.46, 0.26)</f>
        <v>0.36</v>
      </c>
      <c r="E47" s="5" t="s">
        <v>425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349">
        <f>_xlfn.STDEV.P(0.46, 0.26)/D47</f>
        <v>0.2777777777777779</v>
      </c>
      <c r="E48" s="5" t="s">
        <v>426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75" x14ac:dyDescent="0.3">
      <c r="C52" s="82"/>
      <c r="D52" s="339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11" t="s">
        <v>345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326" t="s">
        <v>351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 t="s">
        <v>346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>
        <v>5</v>
      </c>
      <c r="E57" s="5" t="s">
        <v>347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>
        <v>4</v>
      </c>
      <c r="E58" s="5" t="s">
        <v>348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>
        <f>5/(4*3600)</f>
        <v>3.4722222222222224E-4</v>
      </c>
      <c r="E59" s="5" t="s">
        <v>349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>
        <f>D59*D58</f>
        <v>1.3888888888888889E-3</v>
      </c>
      <c r="E60" s="5" t="s">
        <v>350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zoomScale="70" zoomScaleNormal="70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20.140625" style="3" bestFit="1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6" width="19.85546875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404" t="s">
        <v>5</v>
      </c>
      <c r="AI8" s="405"/>
      <c r="AJ8" s="406"/>
      <c r="AK8" s="94"/>
      <c r="AL8" s="404" t="s">
        <v>6</v>
      </c>
      <c r="AM8" s="405"/>
      <c r="AN8" s="406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257" t="s">
        <v>449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63" t="s">
        <v>73</v>
      </c>
      <c r="N10" s="360">
        <f>E55</f>
        <v>1.0153846153846154E-2</v>
      </c>
      <c r="O10" s="360">
        <f>E56</f>
        <v>0.12692307692307692</v>
      </c>
      <c r="P10" s="176"/>
      <c r="Q10" s="177"/>
      <c r="R10" s="5" t="s">
        <v>350</v>
      </c>
      <c r="S10" s="122">
        <v>777</v>
      </c>
      <c r="T10" s="121" t="s">
        <v>173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171</v>
      </c>
      <c r="AI10" s="121">
        <v>2</v>
      </c>
      <c r="AJ10" s="123">
        <v>-1</v>
      </c>
      <c r="AK10" s="111"/>
      <c r="AL10" s="124">
        <v>2</v>
      </c>
      <c r="AM10" s="125" t="s">
        <v>171</v>
      </c>
      <c r="AN10" s="126">
        <v>0.99</v>
      </c>
      <c r="AO10" s="83"/>
    </row>
    <row r="11" spans="3:41" ht="18.75" x14ac:dyDescent="0.3">
      <c r="C11" s="82"/>
      <c r="D11" s="65" t="s">
        <v>3</v>
      </c>
      <c r="E11" s="66">
        <v>200</v>
      </c>
      <c r="F11" s="210" t="s">
        <v>176</v>
      </c>
      <c r="G11" s="5"/>
      <c r="H11" s="65" t="s">
        <v>65</v>
      </c>
      <c r="I11" s="101">
        <v>0.7</v>
      </c>
      <c r="J11" s="210" t="s">
        <v>185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186</v>
      </c>
      <c r="S11" s="49">
        <v>1000</v>
      </c>
      <c r="T11" s="71" t="s">
        <v>174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173</v>
      </c>
      <c r="AI11" s="121">
        <v>2</v>
      </c>
      <c r="AJ11" s="123">
        <v>0.14000000000000001</v>
      </c>
      <c r="AK11" s="111"/>
      <c r="AL11" s="112">
        <v>3</v>
      </c>
      <c r="AM11" s="6" t="s">
        <v>170</v>
      </c>
      <c r="AN11" s="127">
        <v>0.5</v>
      </c>
      <c r="AO11" s="83"/>
    </row>
    <row r="12" spans="3:41" ht="18.75" x14ac:dyDescent="0.3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4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171</v>
      </c>
      <c r="O12" s="121" t="s">
        <v>171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174</v>
      </c>
      <c r="AI12" s="121">
        <v>2</v>
      </c>
      <c r="AJ12" s="123">
        <v>0.86</v>
      </c>
      <c r="AK12" s="111"/>
      <c r="AL12" s="112">
        <v>4</v>
      </c>
      <c r="AM12" s="6" t="s">
        <v>319</v>
      </c>
      <c r="AN12" s="127">
        <v>0.6</v>
      </c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72"/>
      <c r="N13" s="121" t="s">
        <v>319</v>
      </c>
      <c r="O13" s="121" t="s">
        <v>319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170</v>
      </c>
      <c r="AI13" s="102">
        <v>3</v>
      </c>
      <c r="AJ13" s="104">
        <v>-1</v>
      </c>
      <c r="AK13" s="111"/>
      <c r="AL13" s="113">
        <v>8</v>
      </c>
      <c r="AM13" s="6" t="s">
        <v>321</v>
      </c>
      <c r="AN13" s="114">
        <v>0.2</v>
      </c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73"/>
      <c r="N14" s="71" t="s">
        <v>170</v>
      </c>
      <c r="O14" s="71" t="s">
        <v>170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173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73"/>
      <c r="N15" s="71" t="s">
        <v>168</v>
      </c>
      <c r="O15" s="71" t="s">
        <v>168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75"/>
      <c r="L16" s="75"/>
      <c r="M16" s="73"/>
      <c r="N16" s="71" t="s">
        <v>321</v>
      </c>
      <c r="O16" s="71" t="s">
        <v>321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319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>
        <v>20</v>
      </c>
      <c r="F17" s="210" t="s">
        <v>180</v>
      </c>
      <c r="G17" s="5"/>
      <c r="H17" s="214"/>
      <c r="I17" s="66" t="s">
        <v>168</v>
      </c>
      <c r="J17" s="210" t="s">
        <v>176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173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>
        <v>35</v>
      </c>
      <c r="F18" s="210" t="s">
        <v>180</v>
      </c>
      <c r="G18" s="5"/>
      <c r="H18" s="73"/>
      <c r="I18" s="66" t="s">
        <v>319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174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321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174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173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 t="s">
        <v>428</v>
      </c>
      <c r="E45" s="361">
        <v>100</v>
      </c>
      <c r="F45" s="5" t="s">
        <v>329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 t="s">
        <v>427</v>
      </c>
      <c r="E46" s="361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 t="s">
        <v>429</v>
      </c>
      <c r="E47" s="361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 t="s">
        <v>430</v>
      </c>
      <c r="E49" s="5">
        <f>55*24</f>
        <v>1320</v>
      </c>
      <c r="F49" s="5" t="s">
        <v>178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 t="s">
        <v>434</v>
      </c>
      <c r="E50" s="5">
        <v>260</v>
      </c>
      <c r="F50" s="5" t="s">
        <v>435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 t="s">
        <v>431</v>
      </c>
      <c r="E52" s="5">
        <f>E49*(E45*E46)</f>
        <v>2640</v>
      </c>
      <c r="F52" s="5" t="s">
        <v>400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 t="s">
        <v>432</v>
      </c>
      <c r="E53" s="5">
        <f>E49*(E45*E47)</f>
        <v>33000</v>
      </c>
      <c r="F53" s="5" t="s">
        <v>400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 t="s">
        <v>433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 t="s">
        <v>431</v>
      </c>
      <c r="E55" s="348">
        <f>E52/260/1000</f>
        <v>1.0153846153846154E-2</v>
      </c>
      <c r="F55" s="5" t="s">
        <v>436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 t="s">
        <v>432</v>
      </c>
      <c r="E56" s="362">
        <f>E53/E50/1000</f>
        <v>0.12692307692307692</v>
      </c>
      <c r="F56" s="5" t="s">
        <v>436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 x14ac:dyDescent="0.25">
      <c r="D76" s="337" t="s">
        <v>437</v>
      </c>
    </row>
    <row r="77" spans="3:41" x14ac:dyDescent="0.25">
      <c r="D77" s="3" t="s">
        <v>444</v>
      </c>
    </row>
    <row r="95" spans="4:6" x14ac:dyDescent="0.25">
      <c r="D95" s="3" t="s">
        <v>414</v>
      </c>
    </row>
    <row r="96" spans="4:6" x14ac:dyDescent="0.25">
      <c r="D96" s="3" t="s">
        <v>438</v>
      </c>
      <c r="E96" s="3">
        <v>7.1699999999999997E-4</v>
      </c>
      <c r="F96" s="3" t="s">
        <v>439</v>
      </c>
    </row>
    <row r="97" spans="4:6" x14ac:dyDescent="0.25">
      <c r="D97" s="3" t="s">
        <v>440</v>
      </c>
      <c r="E97" s="3">
        <v>190</v>
      </c>
      <c r="F97" s="3" t="s">
        <v>441</v>
      </c>
    </row>
    <row r="98" spans="4:6" x14ac:dyDescent="0.25">
      <c r="D98" s="3" t="s">
        <v>442</v>
      </c>
      <c r="E98" s="3">
        <f>E97*E96</f>
        <v>0.13622999999999999</v>
      </c>
      <c r="F98" s="3" t="s">
        <v>443</v>
      </c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O47" sqref="O4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3.4257812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16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404" t="s">
        <v>5</v>
      </c>
      <c r="AI8" s="405"/>
      <c r="AJ8" s="406"/>
      <c r="AK8" s="94"/>
      <c r="AL8" s="404" t="s">
        <v>6</v>
      </c>
      <c r="AM8" s="405"/>
      <c r="AN8" s="406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201</v>
      </c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8.75" x14ac:dyDescent="0.3">
      <c r="C11" s="82"/>
      <c r="D11" s="65" t="s">
        <v>3</v>
      </c>
      <c r="E11" s="66">
        <v>300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E13" s="3" t="s">
        <v>202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75"/>
      <c r="L13" s="75"/>
      <c r="M13" s="72" t="s">
        <v>189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75" x14ac:dyDescent="0.3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75" x14ac:dyDescent="0.3"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173</v>
      </c>
      <c r="J16" s="83" t="s">
        <v>176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 t="s">
        <v>189</v>
      </c>
      <c r="I17" s="66"/>
      <c r="J17" s="83" t="s">
        <v>176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07"/>
      <c r="E6" s="407"/>
      <c r="F6" s="5"/>
      <c r="G6" s="5"/>
      <c r="H6" s="407"/>
      <c r="I6" s="407"/>
      <c r="J6" s="15"/>
      <c r="K6" s="15"/>
      <c r="L6" s="5"/>
      <c r="M6" s="407"/>
      <c r="N6" s="407"/>
      <c r="O6" s="407"/>
      <c r="P6" s="407"/>
      <c r="Q6" s="5"/>
      <c r="R6" s="5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388" t="s">
        <v>50</v>
      </c>
      <c r="E8" s="389"/>
      <c r="F8" s="390"/>
      <c r="G8" s="5"/>
      <c r="H8" s="391" t="s">
        <v>51</v>
      </c>
      <c r="I8" s="392"/>
      <c r="J8" s="393"/>
      <c r="K8" s="5"/>
      <c r="L8" s="5"/>
      <c r="M8" s="401" t="s">
        <v>70</v>
      </c>
      <c r="N8" s="402"/>
      <c r="O8" s="402"/>
      <c r="P8" s="402"/>
      <c r="Q8" s="403"/>
      <c r="R8" s="5"/>
      <c r="S8" s="395" t="s">
        <v>76</v>
      </c>
      <c r="T8" s="396"/>
      <c r="U8" s="397"/>
      <c r="V8" s="12"/>
      <c r="W8" s="398" t="s">
        <v>106</v>
      </c>
      <c r="X8" s="399"/>
      <c r="Y8" s="399"/>
      <c r="Z8" s="400"/>
      <c r="AA8" s="11"/>
      <c r="AB8" s="398" t="s">
        <v>83</v>
      </c>
      <c r="AC8" s="399"/>
      <c r="AD8" s="399"/>
      <c r="AE8" s="399"/>
      <c r="AF8" s="400"/>
      <c r="AG8" s="11"/>
      <c r="AH8" s="404" t="s">
        <v>5</v>
      </c>
      <c r="AI8" s="405"/>
      <c r="AJ8" s="406"/>
      <c r="AK8" s="94"/>
      <c r="AL8" s="404" t="s">
        <v>6</v>
      </c>
      <c r="AM8" s="405"/>
      <c r="AN8" s="406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448</v>
      </c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9.5" thickBot="1" x14ac:dyDescent="0.35">
      <c r="C11" s="82"/>
      <c r="D11" s="65" t="s">
        <v>3</v>
      </c>
      <c r="E11" s="66">
        <v>310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173</v>
      </c>
      <c r="J16" s="92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/>
      <c r="I17" s="239"/>
      <c r="J17" s="83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239"/>
      <c r="J18" s="83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239"/>
      <c r="J19" s="83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239"/>
      <c r="J20" s="83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83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83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83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83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83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83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6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Grind_and_starch_decantation</vt:lpstr>
      <vt:lpstr>Drying</vt:lpstr>
      <vt:lpstr>Starch_processing</vt:lpstr>
      <vt:lpstr>Lactic Acid fermentation </vt:lpstr>
      <vt:lpstr>Polymerisation</vt:lpstr>
      <vt:lpstr>help_unit</vt:lpstr>
      <vt:lpstr>Microwave assisted extraction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2023-11-29T17:22:07Z</dcterms:modified>
</cp:coreProperties>
</file>