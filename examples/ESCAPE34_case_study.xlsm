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36153894-9A59-48CF-AFBA-02269A39F65E}" xr6:coauthVersionLast="47" xr6:coauthVersionMax="47" xr10:uidLastSave="{00000000-0000-0000-0000-000000000000}"/>
  <bookViews>
    <workbookView xWindow="31890" yWindow="-15" windowWidth="26490" windowHeight="14025" tabRatio="816" activeTab="1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14" l="1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<sst xmlns="http://schemas.openxmlformats.org/spreadsheetml/2006/main" count="2761" uniqueCount="466">
  <si>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</si>
  <si>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</si>
  <si>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</si>
  <si>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</si>
  <si>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</si>
  <si>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</si>
  <si>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</si>
  <si>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</si>
  <si>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</si>
  <si>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</si>
  <si>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</si>
  <si>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</si>
  <si>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</si>
  <si>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</si>
  <si>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</si>
  <si>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</si>
  <si>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</si>
  <si>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</si>
  <si>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</si>
  <si>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</si>
  <si>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</si>
  <si>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</si>
  <si>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</si>
  <si>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</si>
  <si>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</si>
  <si>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</si>
  <si>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</si>
  <si>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</si>
  <si>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</si>
  <si>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</si>
  <si>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</si>
  <si>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</si>
  <si>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</si>
  <si>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</si>
  <si>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</si>
  <si>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</si>
  <si>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</si>
  <si>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</si>
  <si>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</si>
  <si>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</si>
  <si>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</si>
  <si>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</si>
  <si>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</si>
  <si>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</si>
  <si>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</si>
  <si>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</si>
  <si>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</si>
  <si>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</si>
  <si>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</si>
  <si>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</si>
  <si>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</si>
  <si>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</si>
  <si>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</si>
  <si>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</si>
  <si>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</si>
  <si>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</si>
  <si>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</si>
  <si>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</si>
  <si>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</si>
  <si>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</si>
  <si>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</si>
  <si>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</si>
  <si>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</si>
  <si>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</si>
  <si>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</si>
  <si>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</si>
  <si>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</si>
  <si>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</si>
  <si>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</si>
  <si>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</si>
  <si>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</si>
  <si>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</si>
  <si>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</si>
  <si>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</si>
  <si>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</si>
  <si>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</si>
  <si>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</si>
  <si>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</si>
  <si>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</si>
  <si>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</si>
  <si>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</si>
  <si>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</si>
  <si>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</si>
  <si>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</si>
  <si>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</si>
  <si>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</si>
  <si>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</si>
  <si>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</si>
  <si>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</si>
  <si>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</si>
  <si>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</si>
  <si>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</si>
  <si>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</si>
  <si>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</si>
  <si>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</si>
  <si>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</si>
  <si>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</si>
  <si>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</si>
  <si>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</si>
  <si>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</si>
  <si>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</si>
  <si>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</si>
  <si>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</si>
  <si>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</si>
  <si>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</si>
  <si>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</si>
  <si>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</si>
  <si>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</si>
  <si>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</si>
  <si>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</si>
  <si>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</si>
  <si>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</si>
  <si>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</si>
  <si>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</si>
  <si>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</si>
  <si>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</si>
  <si>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</si>
  <si>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</si>
  <si>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</si>
  <si>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</si>
  <si>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</si>
  <si>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</si>
  <si>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</si>
  <si>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</si>
  <si>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</si>
  <si>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</si>
  <si>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</si>
  <si>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</si>
  <si>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</si>
  <si>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</si>
  <si>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</si>
  <si>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</si>
  <si>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</si>
  <si>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</si>
  <si>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</si>
  <si>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</si>
  <si>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</si>
  <si>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</si>
  <si>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</si>
  <si>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</si>
  <si>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</si>
  <si>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</si>
  <si>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</si>
  <si>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</si>
  <si>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</si>
  <si>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</si>
  <si>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</si>
  <si>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</si>
  <si>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</si>
  <si>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</si>
  <si>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</si>
  <si>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</si>
  <si>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</si>
  <si>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</si>
  <si>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</si>
  <si>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</si>
  <si>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</si>
  <si>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</si>
  <si>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</si>
  <si>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</si>
  <si>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</si>
  <si>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</si>
  <si>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</si>
  <si>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</si>
  <si>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</si>
  <si>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</si>
  <si>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</si>
  <si>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</si>
  <si>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</si>
  <si>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</si>
  <si>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</si>
  <si>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</si>
  <si>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</si>
  <si>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</si>
  <si>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</si>
  <si>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</si>
  <si>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</si>
  <si>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</si>
  <si>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</si>
  <si>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</si>
  <si>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</si>
  <si>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</si>
  <si>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</si>
  <si>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</si>
  <si>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</si>
  <si>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</si>
  <si>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</si>
  <si>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</si>
  <si>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</si>
  <si>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</si>
  <si>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</si>
  <si>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</si>
  <si>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</si>
  <si>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</si>
  <si>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</si>
  <si>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</si>
  <si>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</si>
  <si>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</si>
  <si>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</si>
  <si>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</si>
  <si>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</si>
  <si>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</si>
  <si>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</si>
  <si>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</si>
  <si>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</si>
  <si>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</si>
  <si>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</si>
  <si>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</si>
  <si>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</si>
  <si>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</si>
  <si>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</si>
  <si>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</si>
  <si>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</si>
  <si>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</si>
  <si>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</si>
  <si>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</si>
  <si>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</si>
  <si>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</si>
  <si>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</si>
  <si>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</si>
  <si>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</si>
  <si>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</si>
  <si>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</si>
  <si>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</si>
  <si>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</si>
  <si>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</si>
  <si>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</si>
  <si>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</si>
  <si>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</si>
  <si>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</si>
  <si>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</si>
  <si>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</si>
  <si>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</si>
  <si>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</si>
  <si>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</si>
  <si>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</si>
  <si>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</si>
  <si>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</si>
  <si>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</si>
  <si>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</si>
  <si>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</si>
  <si>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</si>
  <si>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</si>
  <si>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</si>
  <si>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</si>
  <si>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</si>
  <si>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</si>
  <si>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</si>
  <si>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</si>
  <si>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</si>
  <si>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</si>
  <si>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</si>
  <si>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</si>
  <si>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</si>
  <si>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</si>
  <si>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</si>
  <si>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</si>
  <si>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</si>
  <si>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</si>
  <si>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</si>
  <si>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</si>
  <si>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</si>
  <si>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</si>
  <si>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</si>
  <si>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</si>
  <si>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</si>
  <si>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</si>
  <si>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</si>
  <si>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</si>
  <si>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</si>
  <si>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</si>
  <si>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</si>
  <si>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</si>
  <si>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</si>
  <si>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</si>
  <si>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</si>
  <si>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</si>
  <si>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</si>
  <si>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</si>
  <si>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</si>
  <si>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</si>
  <si>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</si>
  <si>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</si>
  <si>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</si>
  <si>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</si>
  <si>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</si>
  <si>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</si>
  <si>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</si>
  <si>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</si>
  <si>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</si>
  <si>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</si>
  <si>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</si>
  <si>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</si>
  <si>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</si>
  <si>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</si>
  <si>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</si>
  <si>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</si>
  <si>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</si>
  <si>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</si>
  <si>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</si>
  <si>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</si>
  <si>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</si>
  <si>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</si>
  <si>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</si>
  <si>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</si>
  <si>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</si>
  <si>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</si>
  <si>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</si>
  <si>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</si>
  <si>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</si>
  <si>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</si>
  <si>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</si>
  <si>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</si>
  <si>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</si>
  <si>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</si>
  <si>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</si>
  <si>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</si>
  <si>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</si>
  <si>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</si>
  <si>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</si>
  <si>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</si>
  <si>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</si>
  <si>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</si>
  <si>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</si>
  <si>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</si>
  <si>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</si>
  <si>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</si>
  <si>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</si>
  <si>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</si>
  <si>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</si>
  <si>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</si>
  <si>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</si>
  <si>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</si>
  <si>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</si>
  <si>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</si>
  <si>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</si>
  <si>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</si>
  <si>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</si>
  <si>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</si>
  <si>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</si>
  <si>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</si>
  <si>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</si>
  <si>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</si>
  <si>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</si>
  <si>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</si>
  <si>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</si>
  <si>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</si>
  <si>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</si>
  <si>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</si>
  <si>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</si>
  <si>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</si>
  <si>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</si>
  <si>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</si>
  <si>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</si>
  <si>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</si>
  <si>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</si>
  <si>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</si>
  <si>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</si>
  <si>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</si>
  <si>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</si>
  <si>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</si>
  <si>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</si>
  <si>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</si>
  <si>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</si>
  <si>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</si>
  <si>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</si>
  <si>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</si>
  <si>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</si>
  <si>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</si>
  <si>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</si>
  <si>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</si>
  <si>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</si>
  <si>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</si>
  <si>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</si>
  <si>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</si>
  <si>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</si>
  <si>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</si>
  <si>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</si>
  <si>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</si>
  <si>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</si>
  <si>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</si>
  <si>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</si>
  <si>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</si>
  <si>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</si>
  <si>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</si>
  <si>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</si>
  <si>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</si>
  <si>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</si>
  <si>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</si>
  <si>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</si>
  <si>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</si>
  <si>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</si>
  <si>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</si>
  <si>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</si>
  <si>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</si>
  <si>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</si>
  <si>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</si>
  <si>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</si>
  <si>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</si>
  <si>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</si>
  <si>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</si>
  <si>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</si>
  <si>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</si>
  <si>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</si>
  <si>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</si>
  <si>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</si>
  <si>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</si>
  <si>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</si>
  <si>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</si>
  <si>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</si>
  <si>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</si>
  <si>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</si>
  <si>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</si>
  <si>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</si>
  <si>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</si>
  <si>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</si>
  <si>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</si>
  <si>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</si>
  <si>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</si>
  <si>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</si>
  <si>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</si>
  <si>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</si>
  <si>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</si>
  <si>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</si>
  <si>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</si>
  <si>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</si>
  <si>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</si>
  <si>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</si>
  <si>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</si>
  <si>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</si>
  <si>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</si>
  <si>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</si>
  <si>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</si>
  <si>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</si>
  <si>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</si>
  <si>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</si>
  <si>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</si>
  <si>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</si>
  <si>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</si>
  <si>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</si>
  <si>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</si>
  <si>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</si>
  <si>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</si>
  <si>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</si>
  <si>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</si>
  <si>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</si>
  <si>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</si>
  <si>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</si>
  <si>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</si>
  <si>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</si>
  <si>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</si>
  <si>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Product prices</t>
  </si>
  <si>
    <t xml:space="preserve">Theta 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</si>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</sst>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29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7" sqref="C7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76" t="s">
        <v>29</v>
      </c>
      <c r="C3" s="377"/>
      <c r="D3" s="378"/>
      <c r="F3" s="320" t="s">
        <v>32</v>
      </c>
      <c r="G3" s="321"/>
      <c r="H3" s="321"/>
      <c r="I3" s="321"/>
      <c r="J3" s="321"/>
      <c r="K3" s="322"/>
      <c r="L3" s="14"/>
      <c r="M3" s="14"/>
      <c r="N3" s="382" t="s">
        <v>35</v>
      </c>
      <c r="O3" s="383"/>
      <c r="P3" s="384"/>
      <c r="Q3" s="14"/>
      <c r="R3" s="14"/>
      <c r="S3" s="385" t="s">
        <v>39</v>
      </c>
      <c r="T3" s="386"/>
      <c r="U3" s="386"/>
      <c r="V3" s="387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214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74"/>
      <c r="X18" s="374"/>
      <c r="Y18" s="374"/>
      <c r="Z18" s="375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72"/>
      <c r="Z19" s="373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72"/>
      <c r="Z20" s="373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72"/>
      <c r="Z21" s="373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72"/>
      <c r="Z22" s="373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8"/>
      <c r="U23" s="388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9" t="s">
        <v>133</v>
      </c>
      <c r="O30" s="380"/>
      <c r="P30" s="381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9" t="s">
        <v>140</v>
      </c>
      <c r="T31" s="380"/>
      <c r="U31" s="380"/>
      <c r="V31" s="380"/>
      <c r="W31" s="381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19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M22" sqref="M22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1" ht="15.75" x14ac:dyDescent="0.2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1" ht="15.75" x14ac:dyDescent="0.2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1" ht="15.75" x14ac:dyDescent="0.2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1" ht="15.75" x14ac:dyDescent="0.25">
      <c r="A5" t="s">
        <v>20</v>
      </c>
      <c r="C5" t="s">
        <v>20</v>
      </c>
      <c r="F5" s="227" t="s">
        <v>215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218</v>
      </c>
    </row>
    <row r="15" spans="1:21" x14ac:dyDescent="0.25">
      <c r="A15" t="s">
        <v>216</v>
      </c>
    </row>
    <row r="16" spans="1:21" x14ac:dyDescent="0.25">
      <c r="G16" s="323" t="s">
        <v>127</v>
      </c>
      <c r="H16" s="323" t="s">
        <v>149</v>
      </c>
      <c r="I16" t="s">
        <v>150</v>
      </c>
      <c r="J16" t="s">
        <v>152</v>
      </c>
      <c r="K16" t="s">
        <v>153</v>
      </c>
      <c r="M16" t="s">
        <v>244</v>
      </c>
      <c r="O16" t="s">
        <v>251</v>
      </c>
      <c r="R16" t="s">
        <v>253</v>
      </c>
      <c r="U16" t="s">
        <v>252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</row>
    <row r="19" spans="7:21" x14ac:dyDescent="0.2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</row>
    <row r="20" spans="7:21" x14ac:dyDescent="0.25">
      <c r="G20" t="s">
        <v>129</v>
      </c>
      <c r="H20" t="s">
        <v>137</v>
      </c>
      <c r="R20" t="s">
        <v>247</v>
      </c>
    </row>
    <row r="21" spans="7:21" x14ac:dyDescent="0.25">
      <c r="G21" t="s">
        <v>225</v>
      </c>
      <c r="H21" t="s">
        <v>288</v>
      </c>
    </row>
    <row r="22" spans="7:21" x14ac:dyDescent="0.25">
      <c r="G22" t="s">
        <v>291</v>
      </c>
    </row>
    <row r="35" spans="2:2" x14ac:dyDescent="0.2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25">
      <c r="A6" s="5"/>
      <c r="B6" s="5"/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.75" thickBot="1" x14ac:dyDescent="0.3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3" t="s">
        <v>76</v>
      </c>
      <c r="T8" s="394"/>
      <c r="U8" s="395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393" t="s">
        <v>7</v>
      </c>
      <c r="AI8" s="394"/>
      <c r="AJ8" s="395"/>
      <c r="AK8" s="83"/>
      <c r="AL8" s="5"/>
      <c r="AM8" s="5"/>
      <c r="AN8" s="5"/>
      <c r="AO8" s="5"/>
    </row>
    <row r="9" spans="1:41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75" x14ac:dyDescent="0.3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.5" thickBot="1" x14ac:dyDescent="0.3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75" x14ac:dyDescent="0.3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75" x14ac:dyDescent="0.3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75" x14ac:dyDescent="0.3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2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2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75" x14ac:dyDescent="0.2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75" x14ac:dyDescent="0.2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75" x14ac:dyDescent="0.2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75" x14ac:dyDescent="0.2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75" x14ac:dyDescent="0.2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75" x14ac:dyDescent="0.2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75" x14ac:dyDescent="0.2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75" x14ac:dyDescent="0.2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2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.75" thickBot="1" x14ac:dyDescent="0.3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.5" thickBot="1" x14ac:dyDescent="0.3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J37" sqref="J37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9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4" t="s">
        <v>293</v>
      </c>
      <c r="C5" s="412" t="s">
        <v>99</v>
      </c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4"/>
      <c r="R5" t="s">
        <v>22</v>
      </c>
    </row>
    <row r="6" spans="2:18" ht="18.75" x14ac:dyDescent="0.3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75" x14ac:dyDescent="0.3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75" x14ac:dyDescent="0.3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75" x14ac:dyDescent="0.3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75" x14ac:dyDescent="0.3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75" x14ac:dyDescent="0.3">
      <c r="B11" s="297"/>
      <c r="C11" s="166" t="s">
        <v>9</v>
      </c>
      <c r="D11" s="116" t="s">
        <v>8</v>
      </c>
      <c r="E11" s="116" t="s">
        <v>8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75" x14ac:dyDescent="0.3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75" x14ac:dyDescent="0.3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75" x14ac:dyDescent="0.3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.5" thickBot="1" x14ac:dyDescent="0.3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25">
      <c r="I16" s="11"/>
      <c r="J16" s="11"/>
      <c r="K16" s="11"/>
      <c r="L16" s="11"/>
    </row>
    <row r="19" spans="2:11" x14ac:dyDescent="0.25">
      <c r="B19" t="s">
        <v>297</v>
      </c>
    </row>
    <row r="20" spans="2:11" x14ac:dyDescent="0.25">
      <c r="B20" s="326" t="s">
        <v>300</v>
      </c>
      <c r="F20">
        <v>3000</v>
      </c>
    </row>
    <row r="21" spans="2:11" x14ac:dyDescent="0.25">
      <c r="B21" t="s">
        <v>298</v>
      </c>
      <c r="C21">
        <v>76</v>
      </c>
      <c r="D21" t="s">
        <v>301</v>
      </c>
    </row>
    <row r="22" spans="2:11" x14ac:dyDescent="0.25">
      <c r="B22" t="s">
        <v>299</v>
      </c>
      <c r="C22">
        <v>182</v>
      </c>
      <c r="D22" t="s">
        <v>301</v>
      </c>
    </row>
    <row r="23" spans="2:11" x14ac:dyDescent="0.25">
      <c r="B23" t="s">
        <v>458</v>
      </c>
      <c r="C23">
        <f xml:space="preserve"> (C21+C22)/2 * 1000</f>
        <v>129000</v>
      </c>
    </row>
    <row r="24" spans="2:11" x14ac:dyDescent="0.25">
      <c r="B24" t="s">
        <v>308</v>
      </c>
      <c r="C24">
        <f>_xlfn.STDEV.P(C21:C22)/AVERAGE(C21:C22)</f>
        <v>0.41085271317829458</v>
      </c>
    </row>
    <row r="25" spans="2:11" x14ac:dyDescent="0.25">
      <c r="C25">
        <f>F10 - F10*C24</f>
        <v>44775.193798449611</v>
      </c>
      <c r="F25">
        <f>500/1000000</f>
        <v>5.0000000000000001E-4</v>
      </c>
    </row>
    <row r="26" spans="2:11" x14ac:dyDescent="0.25">
      <c r="C26">
        <f>F10 + F10*C24</f>
        <v>107224.80620155038</v>
      </c>
      <c r="K26" t="s">
        <v>22</v>
      </c>
    </row>
    <row r="29" spans="2:11" x14ac:dyDescent="0.25">
      <c r="B29" s="326" t="s">
        <v>302</v>
      </c>
      <c r="F29">
        <v>2000</v>
      </c>
    </row>
    <row r="30" spans="2:11" x14ac:dyDescent="0.25">
      <c r="B30" t="s">
        <v>303</v>
      </c>
      <c r="C30">
        <v>1.04</v>
      </c>
      <c r="D30" t="s">
        <v>305</v>
      </c>
    </row>
    <row r="31" spans="2:11" x14ac:dyDescent="0.25">
      <c r="B31" t="s">
        <v>304</v>
      </c>
      <c r="C31">
        <v>0.9</v>
      </c>
      <c r="D31" t="s">
        <v>305</v>
      </c>
    </row>
    <row r="33" spans="2:6" x14ac:dyDescent="0.25">
      <c r="B33" t="s">
        <v>306</v>
      </c>
      <c r="C33">
        <v>0.78900000000000003</v>
      </c>
      <c r="D33" t="s">
        <v>307</v>
      </c>
    </row>
    <row r="35" spans="2:6" x14ac:dyDescent="0.25">
      <c r="B35" t="s">
        <v>303</v>
      </c>
      <c r="C35">
        <f>C30*C33 *1000</f>
        <v>820.56000000000006</v>
      </c>
      <c r="D35" t="s">
        <v>309</v>
      </c>
    </row>
    <row r="36" spans="2:6" x14ac:dyDescent="0.25">
      <c r="B36" t="s">
        <v>304</v>
      </c>
      <c r="C36">
        <f>C31*C33*1000</f>
        <v>710.1</v>
      </c>
      <c r="D36" t="s">
        <v>309</v>
      </c>
    </row>
    <row r="37" spans="2:6" ht="18.75" x14ac:dyDescent="0.3">
      <c r="B37" t="s">
        <v>458</v>
      </c>
      <c r="C37" s="116">
        <f>(C35+C36)/2</f>
        <v>765.33</v>
      </c>
      <c r="D37" t="s">
        <v>309</v>
      </c>
      <c r="E37" s="365"/>
    </row>
    <row r="38" spans="2:6" x14ac:dyDescent="0.25">
      <c r="B38" t="s">
        <v>308</v>
      </c>
      <c r="C38" s="328">
        <f>_xlfn.STDEV.P(C35:C36)/AVERAGE(C35:C36)</f>
        <v>7.2164948453608269E-2</v>
      </c>
      <c r="E38" t="s">
        <v>459</v>
      </c>
    </row>
    <row r="39" spans="2:6" x14ac:dyDescent="0.25">
      <c r="C39">
        <f>C37 + C37*C38</f>
        <v>820.56000000000006</v>
      </c>
    </row>
    <row r="40" spans="2:6" x14ac:dyDescent="0.25">
      <c r="C40">
        <f>C37 - C37*C38</f>
        <v>710.1</v>
      </c>
    </row>
    <row r="43" spans="2:6" x14ac:dyDescent="0.25">
      <c r="B43" s="326" t="s">
        <v>310</v>
      </c>
      <c r="F43">
        <v>4000</v>
      </c>
    </row>
    <row r="44" spans="2:6" x14ac:dyDescent="0.25">
      <c r="B44" t="s">
        <v>303</v>
      </c>
      <c r="C44">
        <v>2.4</v>
      </c>
      <c r="D44" t="s">
        <v>311</v>
      </c>
    </row>
    <row r="45" spans="2:6" x14ac:dyDescent="0.25">
      <c r="B45" t="s">
        <v>304</v>
      </c>
      <c r="C45">
        <v>3.03</v>
      </c>
      <c r="D45" t="s">
        <v>311</v>
      </c>
    </row>
    <row r="47" spans="2:6" x14ac:dyDescent="0.25">
      <c r="B47" t="s">
        <v>312</v>
      </c>
      <c r="C47">
        <f>_xlfn.STDEV.P(C44:C45)/AVERAGE(C44:C45)</f>
        <v>0.11602209944751414</v>
      </c>
    </row>
    <row r="48" spans="2:6" x14ac:dyDescent="0.25">
      <c r="B48" t="s">
        <v>303</v>
      </c>
      <c r="C48">
        <f>H10 - C47*H10</f>
        <v>2399.9999999999991</v>
      </c>
      <c r="D48" t="s">
        <v>309</v>
      </c>
    </row>
    <row r="49" spans="2:6" x14ac:dyDescent="0.25">
      <c r="B49" t="s">
        <v>304</v>
      </c>
      <c r="C49">
        <f>H10 + C47*H10</f>
        <v>3030.0000000000009</v>
      </c>
      <c r="D49" t="s">
        <v>309</v>
      </c>
    </row>
    <row r="53" spans="2:6" x14ac:dyDescent="0.25">
      <c r="B53" s="326" t="s">
        <v>318</v>
      </c>
      <c r="F53">
        <v>5000</v>
      </c>
    </row>
    <row r="54" spans="2:6" x14ac:dyDescent="0.25">
      <c r="B54" t="s">
        <v>303</v>
      </c>
      <c r="C54">
        <v>1000</v>
      </c>
      <c r="D54" t="s">
        <v>309</v>
      </c>
    </row>
    <row r="55" spans="2:6" x14ac:dyDescent="0.25">
      <c r="B55" t="s">
        <v>304</v>
      </c>
      <c r="C55">
        <v>1300</v>
      </c>
      <c r="D55" t="s">
        <v>309</v>
      </c>
    </row>
    <row r="57" spans="2:6" x14ac:dyDescent="0.25">
      <c r="C57">
        <f>_xlfn.STDEV.P(C54:C55) / 1150</f>
        <v>0.13043478260869565</v>
      </c>
    </row>
    <row r="58" spans="2:6" x14ac:dyDescent="0.2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17" t="s">
        <v>204</v>
      </c>
      <c r="D5" s="415" t="s">
        <v>102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75" x14ac:dyDescent="0.3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75" x14ac:dyDescent="0.3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75" x14ac:dyDescent="0.3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.5" thickBot="1" x14ac:dyDescent="0.3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75" x14ac:dyDescent="0.3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75" x14ac:dyDescent="0.3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75" x14ac:dyDescent="0.3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75" x14ac:dyDescent="0.3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75" x14ac:dyDescent="0.3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75" x14ac:dyDescent="0.3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75" x14ac:dyDescent="0.3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75" x14ac:dyDescent="0.3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75" x14ac:dyDescent="0.3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75" x14ac:dyDescent="0.3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75" x14ac:dyDescent="0.3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75" x14ac:dyDescent="0.3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2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2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2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2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2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2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2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2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2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2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2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.75" thickBot="1" x14ac:dyDescent="0.3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25">
      <c r="C42" t="s">
        <v>314</v>
      </c>
    </row>
    <row r="43" spans="2:17" x14ac:dyDescent="0.25">
      <c r="C43" t="s">
        <v>315</v>
      </c>
    </row>
    <row r="44" spans="2:17" x14ac:dyDescent="0.25">
      <c r="C44" s="331" t="s">
        <v>320</v>
      </c>
    </row>
    <row r="45" spans="2:17" x14ac:dyDescent="0.25">
      <c r="C45">
        <f>E17*100</f>
        <v>1.97</v>
      </c>
      <c r="N45" s="11" t="s">
        <v>22</v>
      </c>
    </row>
    <row r="46" spans="2:17" x14ac:dyDescent="0.2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2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2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2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2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2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2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2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.75" thickBot="1" x14ac:dyDescent="0.3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2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2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418" t="s">
        <v>240</v>
      </c>
      <c r="D22" s="419"/>
      <c r="E22" s="419"/>
      <c r="F22" s="4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421" t="s">
        <v>111</v>
      </c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3"/>
      <c r="P5" s="11"/>
      <c r="Q5" s="11"/>
    </row>
    <row r="6" spans="3:17" ht="18.75" x14ac:dyDescent="0.3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75" x14ac:dyDescent="0.3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.75" thickBot="1" x14ac:dyDescent="0.3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75" x14ac:dyDescent="0.3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75" x14ac:dyDescent="0.3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75" x14ac:dyDescent="0.3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75" x14ac:dyDescent="0.3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75" x14ac:dyDescent="0.3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75" x14ac:dyDescent="0.3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75" x14ac:dyDescent="0.3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75" x14ac:dyDescent="0.3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75" x14ac:dyDescent="0.3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75" x14ac:dyDescent="0.3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75" x14ac:dyDescent="0.3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75" x14ac:dyDescent="0.3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75" x14ac:dyDescent="0.3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75" x14ac:dyDescent="0.3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.5" thickBot="1" x14ac:dyDescent="0.3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73"/>
  <sheetViews>
    <sheetView tabSelected="1" zoomScale="90" zoomScaleNormal="90" workbookViewId="0">
      <selection activeCell="E6" sqref="E6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8" width="12.42578125" bestFit="1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9.42578125" bestFit="1" customWidth="1"/>
    <col min="19" max="19" width="12.7109375" bestFit="1" customWidth="1"/>
    <col min="20" max="20" width="13.85546875" customWidth="1"/>
    <col min="21" max="21" width="20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418" t="s">
        <v>248</v>
      </c>
      <c r="C3" s="420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1" t="s">
        <v>249</v>
      </c>
      <c r="C4" s="316">
        <v>2</v>
      </c>
      <c r="D4" s="11"/>
      <c r="E4" s="11" t="s">
        <v>453</v>
      </c>
      <c r="F4" s="11" t="s">
        <v>454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89" t="s">
        <v>250</v>
      </c>
      <c r="C5" s="303" t="s">
        <v>286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427" t="s">
        <v>273</v>
      </c>
      <c r="C9" s="428"/>
      <c r="D9" s="428"/>
      <c r="E9" s="428"/>
      <c r="F9" s="428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464</v>
      </c>
      <c r="H10" s="11"/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464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463</v>
      </c>
      <c r="H11" s="11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463</v>
      </c>
      <c r="R11" s="317" t="s">
        <v>284</v>
      </c>
      <c r="S11" s="11"/>
      <c r="T11" s="318" t="s">
        <v>460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463</v>
      </c>
      <c r="H12" s="11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463</v>
      </c>
      <c r="R12" s="222" t="s">
        <v>280</v>
      </c>
      <c r="S12" s="11"/>
      <c r="T12" s="172" t="s">
        <v>257</v>
      </c>
      <c r="U12" s="283" t="s">
        <v>457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465</v>
      </c>
      <c r="H13" s="11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78"/>
      <c r="C14" s="270"/>
      <c r="D14" s="204"/>
      <c r="E14" s="204"/>
      <c r="F14" s="178"/>
      <c r="G14" s="297"/>
      <c r="H14" s="11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78"/>
      <c r="C15" s="270"/>
      <c r="D15" s="204"/>
      <c r="E15" s="204"/>
      <c r="F15" s="178"/>
      <c r="G15" s="297"/>
      <c r="H15" s="11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78"/>
      <c r="C16" s="270"/>
      <c r="D16" s="204"/>
      <c r="E16" s="204"/>
      <c r="F16" s="178"/>
      <c r="G16" s="297"/>
      <c r="H16" s="11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78"/>
      <c r="C17" s="270"/>
      <c r="D17" s="204"/>
      <c r="E17" s="204"/>
      <c r="F17" s="178"/>
      <c r="G17" s="297"/>
      <c r="H17" s="11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78"/>
      <c r="C18" s="270"/>
      <c r="D18" s="204"/>
      <c r="E18" s="204"/>
      <c r="F18" s="178"/>
      <c r="G18" s="297"/>
      <c r="H18" s="11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78"/>
      <c r="C19" s="270"/>
      <c r="D19" s="204"/>
      <c r="E19" s="204"/>
      <c r="F19" s="178"/>
      <c r="G19" s="297"/>
      <c r="H19" s="11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78"/>
      <c r="C20" s="270"/>
      <c r="D20" s="204"/>
      <c r="E20" s="204"/>
      <c r="F20" s="178"/>
      <c r="G20" s="297"/>
      <c r="H20" s="11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25">
      <c r="A21" s="11"/>
      <c r="B21" s="178"/>
      <c r="C21" s="270"/>
      <c r="D21" s="204"/>
      <c r="E21" s="204"/>
      <c r="F21" s="178"/>
      <c r="G21" s="297"/>
      <c r="H21" s="11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78"/>
      <c r="C22" s="270"/>
      <c r="D22" s="204"/>
      <c r="E22" s="204"/>
      <c r="F22" s="178"/>
      <c r="G22" s="297"/>
      <c r="H22" s="11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3"/>
      <c r="C23" s="294"/>
      <c r="D23" s="159"/>
      <c r="E23" s="159"/>
      <c r="F23" s="283"/>
      <c r="G23" s="298"/>
      <c r="H23" s="11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464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t="s">
        <v>461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465</v>
      </c>
      <c r="I29" s="11"/>
      <c r="J29" s="276"/>
      <c r="K29" s="270"/>
      <c r="L29" s="204"/>
      <c r="M29" s="287"/>
      <c r="N29" s="287"/>
      <c r="O29" s="295"/>
      <c r="P29" s="295" t="s">
        <v>463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t="s">
        <v>462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465</v>
      </c>
      <c r="I30" s="11"/>
      <c r="J30" s="178"/>
      <c r="K30" s="270"/>
      <c r="L30" s="204"/>
      <c r="M30" s="204"/>
      <c r="N30" s="204"/>
      <c r="O30" s="297"/>
      <c r="P30" s="297" t="s">
        <v>463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424" t="s">
        <v>263</v>
      </c>
      <c r="C46" s="425"/>
      <c r="D46" s="425"/>
      <c r="E46" s="425"/>
      <c r="F46" s="425"/>
      <c r="G46" s="426"/>
      <c r="H46" s="11"/>
      <c r="I46" s="424" t="s">
        <v>278</v>
      </c>
      <c r="J46" s="425"/>
      <c r="K46" s="425"/>
      <c r="L46" s="426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464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464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76"/>
      <c r="C48" s="293"/>
      <c r="D48" s="287"/>
      <c r="E48" s="287"/>
      <c r="F48" s="295"/>
      <c r="G48" s="295" t="s">
        <v>463</v>
      </c>
      <c r="H48" s="11"/>
      <c r="I48" s="276"/>
      <c r="J48" s="287"/>
      <c r="K48" s="288"/>
      <c r="L48" s="295"/>
      <c r="M48" s="295" t="s">
        <v>463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463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78"/>
      <c r="C49" s="270"/>
      <c r="D49" s="204"/>
      <c r="E49" s="204"/>
      <c r="F49" s="297"/>
      <c r="G49" s="297" t="s">
        <v>463</v>
      </c>
      <c r="H49" s="11"/>
      <c r="I49" s="178"/>
      <c r="J49" s="204"/>
      <c r="K49" s="289"/>
      <c r="L49" s="297"/>
      <c r="M49" s="297" t="s">
        <v>463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463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B67" t="s">
        <v>451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25">
      <c r="B73" t="s">
        <v>452</v>
      </c>
    </row>
  </sheetData>
  <mergeCells count="4">
    <mergeCell ref="B3:C3"/>
    <mergeCell ref="I46:L46"/>
    <mergeCell ref="B9:F9"/>
    <mergeCell ref="B46:G4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15" zoomScale="91" zoomScaleNormal="91" workbookViewId="0">
      <selection activeCell="L29" sqref="L2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8.285156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/>
      <c r="E47" s="6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Q37" sqref="Q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5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D1" zoomScale="75" zoomScaleNormal="47" workbookViewId="0">
      <selection activeCell="J40" sqref="J4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20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5" width="27.28515625" style="3" bestFit="1" customWidth="1"/>
    <col min="16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75" x14ac:dyDescent="0.2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9.57031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9" style="3" bestFit="1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.5" thickBot="1" x14ac:dyDescent="0.3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75" x14ac:dyDescent="0.3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14" zoomScale="98" zoomScaleNormal="98" workbookViewId="0">
      <selection activeCell="E6" sqref="E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32.140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30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7" width="10.85546875" style="3"/>
    <col min="28" max="28" width="31.85546875" style="3" bestFit="1" customWidth="1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33" width="10.85546875" style="3"/>
    <col min="34" max="34" width="17.42578125" style="3" bestFit="1" customWidth="1"/>
    <col min="35" max="16384" width="10.85546875" style="3"/>
  </cols>
  <sheetData>
    <row r="1" spans="1:37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6.95" customHeight="1" thickBot="1" x14ac:dyDescent="0.3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2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25">
      <c r="A6" s="5"/>
      <c r="B6" s="5"/>
      <c r="C6" s="82"/>
      <c r="D6" s="5"/>
      <c r="E6" s="5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</row>
    <row r="7" spans="1:37" ht="15.75" thickBot="1" x14ac:dyDescent="0.3">
      <c r="A7" s="5"/>
      <c r="B7" s="5"/>
      <c r="C7" s="82"/>
      <c r="AK7" s="83"/>
    </row>
    <row r="8" spans="1:37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75" x14ac:dyDescent="0.3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.5" thickBot="1" x14ac:dyDescent="0.3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75" x14ac:dyDescent="0.3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75" x14ac:dyDescent="0.3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75" x14ac:dyDescent="0.3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.5" thickBot="1" x14ac:dyDescent="0.3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.5" thickBot="1" x14ac:dyDescent="0.3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2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2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2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2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75" x14ac:dyDescent="0.2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2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2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2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2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75" x14ac:dyDescent="0.2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2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2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2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zoomScale="75" zoomScaleNormal="47" workbookViewId="0">
      <selection activeCell="L37" sqref="L3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75" x14ac:dyDescent="0.3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75" x14ac:dyDescent="0.3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75" x14ac:dyDescent="0.3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N43" sqref="N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31.855468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5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75" x14ac:dyDescent="0.3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75" x14ac:dyDescent="0.3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O39" sqref="O3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75" x14ac:dyDescent="0.3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75" x14ac:dyDescent="0.3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44" t="s">
        <v>359</v>
      </c>
      <c r="E47" s="5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75" x14ac:dyDescent="0.2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75" x14ac:dyDescent="0.2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75" x14ac:dyDescent="0.3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75" x14ac:dyDescent="0.3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75" x14ac:dyDescent="0.3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A3" zoomScale="75" zoomScaleNormal="47" workbookViewId="0">
      <selection activeCell="E10" sqref="E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25" x14ac:dyDescent="0.25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6" t="s">
        <v>413</v>
      </c>
      <c r="E47" s="6"/>
      <c r="F47" s="6"/>
      <c r="G47" s="6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2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2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2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25">
      <c r="A6" s="5"/>
      <c r="B6" s="5"/>
      <c r="C6" s="82"/>
      <c r="D6" s="400"/>
      <c r="E6" s="400"/>
      <c r="F6" s="5"/>
      <c r="G6" s="5"/>
      <c r="H6" s="400"/>
      <c r="I6" s="400"/>
      <c r="J6" s="15"/>
      <c r="K6" s="15"/>
      <c r="L6" s="5"/>
      <c r="M6" s="400"/>
      <c r="N6" s="400"/>
      <c r="O6" s="400"/>
      <c r="P6" s="400"/>
      <c r="Q6" s="5"/>
      <c r="R6" s="5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5"/>
      <c r="AH6" s="5"/>
      <c r="AI6" s="83"/>
      <c r="AJ6" s="5"/>
    </row>
    <row r="7" spans="1:36" ht="15.75" thickBot="1" x14ac:dyDescent="0.3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4">
      <c r="A8" s="5"/>
      <c r="B8" s="5"/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5"/>
      <c r="AH8" s="5"/>
      <c r="AI8" s="83"/>
      <c r="AJ8" s="5"/>
    </row>
    <row r="9" spans="1:36" ht="21.75" thickBot="1" x14ac:dyDescent="0.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75" x14ac:dyDescent="0.3">
      <c r="A10" s="5"/>
      <c r="B10" s="5"/>
      <c r="C10" s="82"/>
      <c r="D10" s="63" t="s">
        <v>1</v>
      </c>
      <c r="E10" s="64" t="s">
        <v>456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.5" thickBot="1" x14ac:dyDescent="0.3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75" x14ac:dyDescent="0.3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75" x14ac:dyDescent="0.3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75" x14ac:dyDescent="0.3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.5" thickBot="1" x14ac:dyDescent="0.3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.5" thickBot="1" x14ac:dyDescent="0.3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75" x14ac:dyDescent="0.3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75" x14ac:dyDescent="0.3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75" x14ac:dyDescent="0.3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75" x14ac:dyDescent="0.3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75" x14ac:dyDescent="0.3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75" x14ac:dyDescent="0.3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75" x14ac:dyDescent="0.3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75" x14ac:dyDescent="0.3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75" x14ac:dyDescent="0.3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.5" thickBot="1" x14ac:dyDescent="0.3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.5" thickBot="1" x14ac:dyDescent="0.3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2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2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2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2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2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2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2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2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2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2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2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2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2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2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2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2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2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2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2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75" x14ac:dyDescent="0.25">
      <c r="A47" s="5"/>
      <c r="B47" s="5"/>
      <c r="C47" s="82"/>
      <c r="D47" s="399"/>
      <c r="E47" s="399"/>
      <c r="F47" s="399"/>
      <c r="G47" s="399"/>
      <c r="H47" s="399"/>
      <c r="I47" s="399"/>
      <c r="J47" s="399"/>
      <c r="K47" s="399"/>
      <c r="L47" s="39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75" x14ac:dyDescent="0.2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75" x14ac:dyDescent="0.2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75" x14ac:dyDescent="0.2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75" x14ac:dyDescent="0.2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75" x14ac:dyDescent="0.2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75" x14ac:dyDescent="0.2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75" x14ac:dyDescent="0.2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2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2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2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2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2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2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2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2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2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2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2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2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2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2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.75" thickBot="1" x14ac:dyDescent="0.3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2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U6" zoomScale="70" zoomScaleNormal="70" workbookViewId="0">
      <selection activeCell="AL28" sqref="AL2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.5" thickBot="1" x14ac:dyDescent="0.3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75" x14ac:dyDescent="0.3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75" x14ac:dyDescent="0.3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20.140625" style="3" bestFit="1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75" x14ac:dyDescent="0.3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75" x14ac:dyDescent="0.3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25">
      <c r="D76" s="336" t="s">
        <v>435</v>
      </c>
    </row>
    <row r="77" spans="3:41" x14ac:dyDescent="0.25">
      <c r="D77" s="3" t="s">
        <v>442</v>
      </c>
    </row>
    <row r="95" spans="4:6" x14ac:dyDescent="0.25">
      <c r="D95" s="3" t="s">
        <v>412</v>
      </c>
    </row>
    <row r="96" spans="4:6" x14ac:dyDescent="0.25">
      <c r="D96" s="3" t="s">
        <v>436</v>
      </c>
      <c r="E96" s="3">
        <v>7.1699999999999997E-4</v>
      </c>
      <c r="F96" s="3" t="s">
        <v>437</v>
      </c>
    </row>
    <row r="97" spans="4:6" x14ac:dyDescent="0.25">
      <c r="D97" s="3" t="s">
        <v>438</v>
      </c>
      <c r="E97" s="3">
        <v>190</v>
      </c>
      <c r="F97" s="3" t="s">
        <v>439</v>
      </c>
    </row>
    <row r="98" spans="4:6" x14ac:dyDescent="0.25">
      <c r="D98" s="3" t="s">
        <v>440</v>
      </c>
      <c r="E98" s="3">
        <f>E97*E96</f>
        <v>0.13622999999999999</v>
      </c>
      <c r="F98" s="3" t="s">
        <v>441</v>
      </c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16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75" x14ac:dyDescent="0.3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75" x14ac:dyDescent="0.3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75" x14ac:dyDescent="0.3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2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2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2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2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.75" thickBot="1" x14ac:dyDescent="0.3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4">
      <c r="C8" s="82"/>
      <c r="D8" s="401" t="s">
        <v>50</v>
      </c>
      <c r="E8" s="402"/>
      <c r="F8" s="403"/>
      <c r="G8" s="5"/>
      <c r="H8" s="404" t="s">
        <v>51</v>
      </c>
      <c r="I8" s="405"/>
      <c r="J8" s="406"/>
      <c r="K8" s="5"/>
      <c r="L8" s="5"/>
      <c r="M8" s="396" t="s">
        <v>70</v>
      </c>
      <c r="N8" s="397"/>
      <c r="O8" s="397"/>
      <c r="P8" s="397"/>
      <c r="Q8" s="398"/>
      <c r="R8" s="5"/>
      <c r="S8" s="390" t="s">
        <v>76</v>
      </c>
      <c r="T8" s="391"/>
      <c r="U8" s="392"/>
      <c r="V8" s="12"/>
      <c r="W8" s="393" t="s">
        <v>106</v>
      </c>
      <c r="X8" s="394"/>
      <c r="Y8" s="394"/>
      <c r="Z8" s="395"/>
      <c r="AA8" s="11"/>
      <c r="AB8" s="393" t="s">
        <v>83</v>
      </c>
      <c r="AC8" s="394"/>
      <c r="AD8" s="394"/>
      <c r="AE8" s="394"/>
      <c r="AF8" s="395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75" thickBot="1" x14ac:dyDescent="0.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75" x14ac:dyDescent="0.3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.5" thickBot="1" x14ac:dyDescent="0.3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75" x14ac:dyDescent="0.3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75" x14ac:dyDescent="0.3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75" x14ac:dyDescent="0.3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.5" thickBot="1" x14ac:dyDescent="0.3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.5" thickBot="1" x14ac:dyDescent="0.3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75" x14ac:dyDescent="0.3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75" x14ac:dyDescent="0.3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75" x14ac:dyDescent="0.3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75" x14ac:dyDescent="0.3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75" x14ac:dyDescent="0.3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75" x14ac:dyDescent="0.3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75" x14ac:dyDescent="0.3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75" x14ac:dyDescent="0.3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75" x14ac:dyDescent="0.3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.5" thickBot="1" x14ac:dyDescent="0.3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.5" thickBot="1" x14ac:dyDescent="0.3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75" x14ac:dyDescent="0.2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75" x14ac:dyDescent="0.2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75" x14ac:dyDescent="0.2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2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2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2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2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2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2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2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2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2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2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2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2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2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2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2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2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75" x14ac:dyDescent="0.2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2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2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2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2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2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2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2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2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2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2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2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2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2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2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2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2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2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2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2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2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2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2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.75" thickBot="1" x14ac:dyDescent="0.3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2023-12-08T13:38:41Z</dcterms:modified>
</cp:coreProperties>
</file>