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4CB7C758-E373-4A62-BE52-89C36D0C047C}" xr6:coauthVersionLast="47" xr6:coauthVersionMax="47" xr10:uidLastSave="{00000000-0000-0000-0000-000000000000}"/>
  <bookViews>
    <workbookView xWindow="28680" yWindow="-885" windowWidth="29040" windowHeight="17520" tabRatio="816" activeTab="11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Grind_and_starch_decantation" sheetId="124" r:id="rId13"/>
    <sheet name="Drying" sheetId="140" r:id="rId14"/>
    <sheet name="Starch_processing" sheetId="141" r:id="rId15"/>
    <sheet name="Lactic Acid fermentation " sheetId="142" r:id="rId16"/>
    <sheet name="Polymerisation" sheetId="143" r:id="rId17"/>
    <sheet name="help_unit" sheetId="129" r:id="rId18"/>
    <sheet name="Microwave assisted extraction" sheetId="125" r:id="rId19"/>
    <sheet name="ultra sound assisted extraction" sheetId="133" r:id="rId20"/>
    <sheet name="Solvent recovery" sheetId="132" r:id="rId21"/>
    <sheet name="Solvent Recovery 2" sheetId="134" r:id="rId22"/>
    <sheet name="Yeast Fermentation" sheetId="127" r:id="rId23"/>
    <sheet name="Anaerobic Digestor" sheetId="126" r:id="rId24"/>
    <sheet name="elek Generator" sheetId="128" r:id="rId25"/>
    <sheet name="steam generator" sheetId="131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" i="114" l="1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<sst xmlns="http://schemas.openxmlformats.org/spreadsheetml/2006/main" count="2761" uniqueCount="466">
  <si>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</si>
  <si>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</si>
  <si>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</si>
  <si>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</si>
  <si>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</si>
  <si>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</si>
  <si>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</si>
  <si>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</si>
  <si>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</si>
  <si>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</si>
  <si>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</si>
  <si>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</si>
  <si>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</si>
  <si>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</si>
  <si>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</si>
  <si>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</si>
  <si>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</si>
  <si>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</si>
  <si>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</si>
  <si>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</si>
  <si>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</si>
  <si>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</si>
  <si>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</si>
  <si>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</si>
  <si>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</si>
  <si>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</si>
  <si>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</si>
  <si>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</si>
  <si>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</si>
  <si>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</si>
  <si>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</si>
  <si>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</si>
  <si>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</si>
  <si>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</si>
  <si>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</si>
  <si>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</si>
  <si>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</si>
  <si>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</si>
  <si>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</si>
  <si>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</si>
  <si>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</si>
  <si>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</si>
  <si>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</si>
  <si>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</si>
  <si>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</si>
  <si>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</si>
  <si>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</si>
  <si>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</si>
  <si>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</si>
  <si>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</si>
  <si>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</si>
  <si>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</si>
  <si>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</si>
  <si>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</si>
  <si>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</si>
  <si>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</si>
  <si>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</si>
  <si>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</si>
  <si>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</si>
  <si>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</si>
  <si>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</si>
  <si>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</si>
  <si>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</si>
  <si>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</si>
  <si>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</si>
  <si>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</si>
  <si>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</si>
  <si>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</si>
  <si>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</si>
  <si>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</si>
  <si>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</si>
  <si>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</si>
  <si>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</si>
  <si>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</si>
  <si>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</si>
  <si>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</si>
  <si>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</si>
  <si>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</si>
  <si>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</si>
  <si>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</si>
  <si>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</si>
  <si>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</si>
  <si>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</si>
  <si>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</si>
  <si>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</si>
  <si>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</si>
  <si>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</si>
  <si>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</si>
  <si>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</si>
  <si>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</si>
  <si>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</si>
  <si>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</si>
  <si>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</si>
  <si>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</si>
  <si>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</si>
  <si>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</si>
  <si>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</si>
  <si>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</si>
  <si>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</si>
  <si>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</si>
  <si>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</si>
  <si>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</si>
  <si>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</si>
  <si>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</si>
  <si>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</si>
  <si>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</si>
  <si>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</si>
  <si>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</si>
  <si>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</si>
  <si>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</si>
  <si>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</si>
  <si>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</si>
  <si>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</si>
  <si>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</si>
  <si>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</si>
  <si>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</si>
  <si>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</si>
  <si>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</si>
  <si>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</si>
  <si>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</si>
  <si>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</si>
  <si>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</si>
  <si>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</si>
  <si>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</si>
  <si>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</si>
  <si>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</si>
  <si>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</si>
  <si>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</si>
  <si>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</si>
  <si>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</si>
  <si>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</si>
  <si>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</si>
  <si>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</si>
  <si>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</si>
  <si>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</si>
  <si>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</si>
  <si>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</si>
  <si>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</si>
  <si>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</si>
  <si>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</si>
  <si>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</si>
  <si>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</si>
  <si>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</si>
  <si>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</si>
  <si>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</si>
  <si>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</si>
  <si>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</si>
  <si>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</si>
  <si>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</si>
  <si>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</si>
  <si>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</si>
  <si>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</si>
  <si>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</si>
  <si>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</si>
  <si>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</si>
  <si>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</si>
  <si>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</si>
  <si>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</si>
  <si>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</si>
  <si>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</si>
  <si>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</si>
  <si>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</si>
  <si>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</si>
  <si>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</si>
  <si>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</si>
  <si>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</si>
  <si>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</si>
  <si>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</si>
  <si>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</si>
  <si>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</si>
  <si>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</si>
  <si>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</si>
  <si>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</si>
  <si>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</si>
  <si>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</si>
  <si>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</si>
  <si>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</si>
  <si>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</si>
  <si>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</si>
  <si>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</si>
  <si>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</si>
  <si>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</si>
  <si>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</si>
  <si>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</si>
  <si>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</si>
  <si>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</si>
  <si>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</si>
  <si>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</si>
  <si>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</si>
  <si>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</si>
  <si>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</si>
  <si>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</si>
  <si>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</si>
  <si>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</si>
  <si>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</si>
  <si>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</si>
  <si>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</si>
  <si>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</si>
  <si>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</si>
  <si>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</si>
  <si>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</si>
  <si>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</si>
  <si>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</si>
  <si>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</si>
  <si>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</si>
  <si>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</si>
  <si>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</si>
  <si>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</si>
  <si>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</si>
  <si>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</si>
  <si>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</si>
  <si>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</si>
  <si>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</si>
  <si>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</si>
  <si>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</si>
  <si>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</si>
  <si>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</si>
  <si>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</si>
  <si>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</si>
  <si>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</si>
  <si>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</si>
  <si>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</si>
  <si>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</si>
  <si>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</si>
  <si>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</si>
  <si>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</si>
  <si>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</si>
  <si>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</si>
  <si>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</si>
  <si>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</si>
  <si>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</si>
  <si>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</si>
  <si>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</si>
  <si>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</si>
  <si>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</si>
  <si>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</si>
  <si>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</si>
  <si>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</si>
  <si>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</si>
  <si>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</si>
  <si>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</si>
  <si>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</si>
  <si>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</si>
  <si>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</si>
  <si>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</si>
  <si>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</si>
  <si>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</si>
  <si>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</si>
  <si>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</si>
  <si>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</si>
  <si>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</si>
  <si>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</si>
  <si>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</si>
  <si>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</si>
  <si>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</si>
  <si>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</si>
  <si>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</si>
  <si>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</si>
  <si>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</si>
  <si>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</si>
  <si>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</si>
  <si>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</si>
  <si>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</si>
  <si>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</si>
  <si>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</si>
  <si>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</si>
  <si>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</si>
  <si>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</si>
  <si>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</si>
  <si>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</si>
  <si>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</si>
  <si>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</si>
  <si>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</si>
  <si>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</si>
  <si>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</si>
  <si>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</si>
  <si>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</si>
  <si>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</si>
  <si>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</si>
  <si>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</si>
  <si>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</si>
  <si>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</si>
  <si>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</si>
  <si>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</si>
  <si>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</si>
  <si>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</si>
  <si>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</si>
  <si>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</si>
  <si>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</si>
  <si>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</si>
  <si>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</si>
  <si>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</si>
  <si>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</si>
  <si>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</si>
  <si>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</si>
  <si>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</si>
  <si>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</si>
  <si>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</si>
  <si>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</si>
  <si>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</si>
  <si>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</si>
  <si>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</si>
  <si>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</si>
  <si>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</si>
  <si>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</si>
  <si>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</si>
  <si>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</si>
  <si>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</si>
  <si>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</si>
  <si>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</si>
  <si>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</si>
  <si>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</si>
  <si>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</si>
  <si>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</si>
  <si>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</si>
  <si>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</si>
  <si>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</si>
  <si>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</si>
  <si>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</si>
  <si>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</si>
  <si>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</si>
  <si>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</si>
  <si>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</si>
  <si>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</si>
  <si>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</si>
  <si>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</si>
  <si>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</si>
  <si>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</si>
  <si>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</si>
  <si>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</si>
  <si>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</si>
  <si>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</si>
  <si>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</si>
  <si>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</si>
  <si>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</si>
  <si>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</si>
  <si>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</si>
  <si>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</si>
  <si>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</si>
  <si>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</si>
  <si>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</si>
  <si>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</si>
  <si>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</si>
  <si>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</si>
  <si>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</si>
  <si>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</si>
  <si>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</si>
  <si>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</si>
  <si>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</si>
  <si>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</si>
  <si>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</si>
  <si>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</si>
  <si>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</si>
  <si>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</si>
  <si>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</si>
  <si>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</si>
  <si>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</si>
  <si>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</si>
  <si>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</si>
  <si>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</si>
  <si>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</si>
  <si>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</si>
  <si>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</si>
  <si>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</si>
  <si>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</si>
  <si>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</si>
  <si>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</si>
  <si>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</si>
  <si>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</si>
  <si>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</si>
  <si>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</si>
  <si>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</si>
  <si>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</si>
  <si>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</si>
  <si>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</si>
  <si>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</si>
  <si>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</si>
  <si>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</si>
  <si>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</si>
  <si>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</si>
  <si>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</si>
  <si>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</si>
  <si>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</si>
  <si>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</si>
  <si>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</si>
  <si>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</si>
  <si>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</si>
  <si>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</si>
  <si>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</si>
  <si>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</si>
  <si>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</si>
  <si>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</si>
  <si>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</si>
  <si>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</si>
  <si>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</si>
  <si>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</si>
  <si>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</si>
  <si>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</si>
  <si>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</si>
  <si>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</si>
  <si>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</si>
  <si>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</si>
  <si>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</si>
  <si>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</si>
  <si>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</si>
  <si>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</si>
  <si>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</si>
  <si>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</si>
  <si>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</si>
  <si>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</si>
  <si>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</si>
  <si>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</si>
  <si>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</si>
  <si>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</si>
  <si>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</si>
  <si>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</si>
  <si>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</si>
  <si>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</si>
  <si>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</si>
  <si>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</si>
  <si>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</si>
  <si>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</si>
  <si>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</si>
  <si>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</si>
  <si>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</si>
  <si>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</si>
  <si>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</si>
  <si>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</si>
  <si>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</si>
  <si>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</si>
  <si>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</si>
  <si>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</si>
  <si>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</si>
  <si>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</si>
  <si>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</si>
  <si>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</si>
  <si>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</si>
  <si>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</si>
  <si>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</si>
  <si>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</si>
  <si>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</si>
  <si>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</si>
  <si>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</si>
  <si>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</si>
  <si>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</si>
  <si>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</si>
  <si>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</si>
  <si>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</si>
  <si>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</si>
  <si>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</si>
  <si>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</si>
  <si>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Product prices</t>
  </si>
  <si>
    <t xml:space="preserve">Theta 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</si>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</sst>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2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</cellXfs>
  <cellStyles count="9">
    <cellStyle name="Hipervínculo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C12" sqref="C12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26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32.5703125" style="2" bestFit="1" customWidth="1"/>
    <col min="16" max="16" width="21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76" t="s">
        <v>29</v>
      </c>
      <c r="C3" s="377"/>
      <c r="D3" s="378"/>
      <c r="F3" s="320" t="s">
        <v>32</v>
      </c>
      <c r="G3" s="321"/>
      <c r="H3" s="321"/>
      <c r="I3" s="321"/>
      <c r="J3" s="321"/>
      <c r="K3" s="322"/>
      <c r="L3" s="14"/>
      <c r="M3" s="14"/>
      <c r="N3" s="382" t="s">
        <v>35</v>
      </c>
      <c r="O3" s="383"/>
      <c r="P3" s="384"/>
      <c r="Q3" s="14"/>
      <c r="R3" s="14"/>
      <c r="S3" s="385" t="s">
        <v>39</v>
      </c>
      <c r="T3" s="386"/>
      <c r="U3" s="386"/>
      <c r="V3" s="387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75" x14ac:dyDescent="0.3">
      <c r="A5" s="59"/>
      <c r="B5" s="26" t="s">
        <v>27</v>
      </c>
      <c r="C5" s="28" t="s">
        <v>450</v>
      </c>
      <c r="D5" s="231" t="s">
        <v>176</v>
      </c>
      <c r="E5" s="14"/>
      <c r="F5" s="24" t="s">
        <v>317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317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75" x14ac:dyDescent="0.3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.5" thickBot="1" x14ac:dyDescent="0.3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341</v>
      </c>
      <c r="P10" s="30" t="s">
        <v>319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75" x14ac:dyDescent="0.3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342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.5" thickBot="1" x14ac:dyDescent="0.3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418</v>
      </c>
      <c r="P12" s="30" t="s">
        <v>319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3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3" t="s">
        <v>132</v>
      </c>
      <c r="C14" s="30" t="s">
        <v>214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.5" thickBot="1" x14ac:dyDescent="0.3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75" x14ac:dyDescent="0.3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24" t="s">
        <v>96</v>
      </c>
      <c r="C18" s="30">
        <v>450</v>
      </c>
      <c r="D18" s="233"/>
      <c r="E18" s="14"/>
      <c r="F18" s="24" t="s">
        <v>316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374"/>
      <c r="X18" s="374"/>
      <c r="Y18" s="374"/>
      <c r="Z18" s="375"/>
      <c r="AA18" s="14"/>
      <c r="AB18" s="14"/>
      <c r="AC18" s="14"/>
    </row>
    <row r="19" spans="1:29" ht="18.75" x14ac:dyDescent="0.3">
      <c r="A19" s="37"/>
      <c r="B19" s="24" t="s">
        <v>55</v>
      </c>
      <c r="C19" s="30">
        <v>15</v>
      </c>
      <c r="D19" s="232" t="s">
        <v>179</v>
      </c>
      <c r="E19" s="14"/>
      <c r="F19" s="24" t="s">
        <v>319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72"/>
      <c r="Z19" s="373"/>
      <c r="AA19" s="14"/>
      <c r="AB19" s="14"/>
      <c r="AC19" s="14"/>
    </row>
    <row r="20" spans="1:29" ht="18.75" x14ac:dyDescent="0.3">
      <c r="A20" s="37"/>
      <c r="B20" s="24" t="s">
        <v>97</v>
      </c>
      <c r="C20" s="30">
        <v>20</v>
      </c>
      <c r="D20" s="232" t="s">
        <v>181</v>
      </c>
      <c r="E20" s="14"/>
      <c r="F20" s="24" t="s">
        <v>340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72"/>
      <c r="Z20" s="373"/>
      <c r="AA20" s="14"/>
      <c r="AB20" s="14"/>
      <c r="AC20" s="14"/>
    </row>
    <row r="21" spans="1:29" ht="19.5" thickBot="1" x14ac:dyDescent="0.3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72"/>
      <c r="Z21" s="373"/>
      <c r="AA21" s="14"/>
      <c r="AB21" s="14"/>
      <c r="AC21" s="14"/>
    </row>
    <row r="22" spans="1:29" ht="18.75" x14ac:dyDescent="0.3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72"/>
      <c r="Z22" s="373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88"/>
      <c r="U23" s="388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79" t="s">
        <v>133</v>
      </c>
      <c r="O30" s="380"/>
      <c r="P30" s="381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379" t="s">
        <v>140</v>
      </c>
      <c r="T31" s="380"/>
      <c r="U31" s="380"/>
      <c r="V31" s="380"/>
      <c r="W31" s="381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25">
      <c r="H67" s="319" t="s">
        <v>22</v>
      </c>
    </row>
    <row r="72" spans="1:29" x14ac:dyDescent="0.25">
      <c r="A72" s="2" t="s">
        <v>22</v>
      </c>
    </row>
    <row r="79" spans="1:29" x14ac:dyDescent="0.2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M22" sqref="M22"/>
    </sheetView>
  </sheetViews>
  <sheetFormatPr baseColWidth="10" defaultColWidth="10.85546875" defaultRowHeight="15" x14ac:dyDescent="0.25"/>
  <cols>
    <col min="7" max="8" width="24.140625" bestFit="1" customWidth="1"/>
  </cols>
  <sheetData>
    <row r="1" spans="1:21" ht="15.75" x14ac:dyDescent="0.25">
      <c r="A1" t="s">
        <v>26</v>
      </c>
      <c r="B1" t="s">
        <v>187</v>
      </c>
      <c r="F1" s="1" t="s">
        <v>16</v>
      </c>
      <c r="L1" t="s">
        <v>138</v>
      </c>
      <c r="P1" t="s">
        <v>325</v>
      </c>
    </row>
    <row r="2" spans="1:21" ht="15.75" x14ac:dyDescent="0.2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325</v>
      </c>
    </row>
    <row r="3" spans="1:21" ht="15.75" x14ac:dyDescent="0.2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1" ht="15.75" x14ac:dyDescent="0.2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1" ht="15.75" x14ac:dyDescent="0.25">
      <c r="A5" t="s">
        <v>20</v>
      </c>
      <c r="C5" t="s">
        <v>20</v>
      </c>
      <c r="F5" s="227" t="s">
        <v>215</v>
      </c>
      <c r="L5" t="s">
        <v>124</v>
      </c>
    </row>
    <row r="6" spans="1:21" x14ac:dyDescent="0.25">
      <c r="A6" t="s">
        <v>24</v>
      </c>
      <c r="C6" t="s">
        <v>24</v>
      </c>
      <c r="L6" t="s">
        <v>125</v>
      </c>
    </row>
    <row r="7" spans="1:21" x14ac:dyDescent="0.25">
      <c r="A7" t="s">
        <v>109</v>
      </c>
      <c r="L7" t="s">
        <v>123</v>
      </c>
    </row>
    <row r="8" spans="1:21" x14ac:dyDescent="0.25">
      <c r="A8" t="s">
        <v>110</v>
      </c>
      <c r="L8" t="s">
        <v>162</v>
      </c>
    </row>
    <row r="9" spans="1:21" x14ac:dyDescent="0.25">
      <c r="A9" t="s">
        <v>119</v>
      </c>
      <c r="L9" t="s">
        <v>163</v>
      </c>
    </row>
    <row r="10" spans="1:21" x14ac:dyDescent="0.25">
      <c r="A10" t="s">
        <v>120</v>
      </c>
      <c r="L10" t="s">
        <v>164</v>
      </c>
    </row>
    <row r="14" spans="1:21" x14ac:dyDescent="0.25">
      <c r="A14" t="s">
        <v>218</v>
      </c>
    </row>
    <row r="15" spans="1:21" x14ac:dyDescent="0.25">
      <c r="A15" t="s">
        <v>216</v>
      </c>
    </row>
    <row r="16" spans="1:21" x14ac:dyDescent="0.25">
      <c r="G16" s="323" t="s">
        <v>127</v>
      </c>
      <c r="H16" s="323" t="s">
        <v>149</v>
      </c>
      <c r="I16" t="s">
        <v>150</v>
      </c>
      <c r="J16" t="s">
        <v>152</v>
      </c>
      <c r="K16" t="s">
        <v>153</v>
      </c>
      <c r="M16" t="s">
        <v>244</v>
      </c>
      <c r="O16" t="s">
        <v>251</v>
      </c>
      <c r="R16" t="s">
        <v>253</v>
      </c>
      <c r="U16" t="s">
        <v>252</v>
      </c>
    </row>
    <row r="17" spans="7:21" x14ac:dyDescent="0.2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</row>
    <row r="18" spans="7:21" x14ac:dyDescent="0.2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</row>
    <row r="19" spans="7:21" x14ac:dyDescent="0.2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</row>
    <row r="20" spans="7:21" x14ac:dyDescent="0.25">
      <c r="G20" t="s">
        <v>129</v>
      </c>
      <c r="H20" t="s">
        <v>137</v>
      </c>
      <c r="R20" t="s">
        <v>247</v>
      </c>
    </row>
    <row r="21" spans="7:21" x14ac:dyDescent="0.25">
      <c r="G21" t="s">
        <v>225</v>
      </c>
      <c r="H21" t="s">
        <v>288</v>
      </c>
    </row>
    <row r="22" spans="7:21" x14ac:dyDescent="0.25">
      <c r="G22" t="s">
        <v>291</v>
      </c>
    </row>
    <row r="35" spans="2:2" x14ac:dyDescent="0.25">
      <c r="B35" t="s">
        <v>219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25">
      <c r="A6" s="5"/>
      <c r="B6" s="5"/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83"/>
      <c r="AL6" s="5"/>
      <c r="AM6" s="5"/>
      <c r="AN6" s="5"/>
      <c r="AO6" s="5"/>
    </row>
    <row r="7" spans="1:41" ht="15.75" thickBot="1" x14ac:dyDescent="0.3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3" t="s">
        <v>76</v>
      </c>
      <c r="T8" s="394"/>
      <c r="U8" s="395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393" t="s">
        <v>7</v>
      </c>
      <c r="AI8" s="394"/>
      <c r="AJ8" s="395"/>
      <c r="AK8" s="83"/>
      <c r="AL8" s="5"/>
      <c r="AM8" s="5"/>
      <c r="AN8" s="5"/>
      <c r="AO8" s="5"/>
    </row>
    <row r="9" spans="1:41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75" x14ac:dyDescent="0.3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.5" thickBot="1" x14ac:dyDescent="0.3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75" x14ac:dyDescent="0.3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75" x14ac:dyDescent="0.3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75" x14ac:dyDescent="0.3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75" x14ac:dyDescent="0.3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75" x14ac:dyDescent="0.3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.5" thickBot="1" x14ac:dyDescent="0.3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.5" thickBot="1" x14ac:dyDescent="0.3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2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2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75" x14ac:dyDescent="0.2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75" x14ac:dyDescent="0.2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75" x14ac:dyDescent="0.2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75" x14ac:dyDescent="0.2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75" x14ac:dyDescent="0.2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75" x14ac:dyDescent="0.2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75" x14ac:dyDescent="0.2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75" x14ac:dyDescent="0.2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2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.75" thickBot="1" x14ac:dyDescent="0.3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5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J37" sqref="J37"/>
    </sheetView>
  </sheetViews>
  <sheetFormatPr baseColWidth="10" defaultColWidth="10.85546875" defaultRowHeight="15" x14ac:dyDescent="0.25"/>
  <cols>
    <col min="3" max="3" width="16.42578125" bestFit="1" customWidth="1"/>
    <col min="4" max="4" width="13.28515625" bestFit="1" customWidth="1"/>
    <col min="5" max="5" width="14.5703125" bestFit="1" customWidth="1"/>
    <col min="6" max="6" width="13.7109375" bestFit="1" customWidth="1"/>
    <col min="7" max="9" width="14.14062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324" t="s">
        <v>293</v>
      </c>
      <c r="C5" s="412" t="s">
        <v>99</v>
      </c>
      <c r="D5" s="413"/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3"/>
      <c r="P5" s="413"/>
      <c r="Q5" s="414"/>
      <c r="R5" t="s">
        <v>22</v>
      </c>
    </row>
    <row r="6" spans="2:18" ht="18.75" x14ac:dyDescent="0.3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313</v>
      </c>
      <c r="I6" s="165" t="s">
        <v>319</v>
      </c>
      <c r="J6" s="165"/>
      <c r="K6" s="165"/>
      <c r="L6" s="165"/>
      <c r="M6" s="165"/>
      <c r="N6" s="165"/>
      <c r="O6" s="165"/>
      <c r="P6" s="165"/>
      <c r="Q6" s="327"/>
    </row>
    <row r="7" spans="2:18" ht="18.75" x14ac:dyDescent="0.3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75" x14ac:dyDescent="0.3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75" x14ac:dyDescent="0.3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75" x14ac:dyDescent="0.3">
      <c r="B10" s="297"/>
      <c r="C10" s="166" t="s">
        <v>203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75" x14ac:dyDescent="0.3">
      <c r="B11" s="297"/>
      <c r="C11" s="166" t="s">
        <v>9</v>
      </c>
      <c r="D11" s="116" t="s">
        <v>8</v>
      </c>
      <c r="E11" s="116" t="s">
        <v>8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75" x14ac:dyDescent="0.3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75" x14ac:dyDescent="0.3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75" x14ac:dyDescent="0.3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.5" thickBot="1" x14ac:dyDescent="0.3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25">
      <c r="I16" s="11"/>
      <c r="J16" s="11"/>
      <c r="K16" s="11"/>
      <c r="L16" s="11"/>
    </row>
    <row r="19" spans="2:11" x14ac:dyDescent="0.25">
      <c r="B19" t="s">
        <v>297</v>
      </c>
    </row>
    <row r="20" spans="2:11" x14ac:dyDescent="0.25">
      <c r="B20" s="326" t="s">
        <v>300</v>
      </c>
      <c r="F20">
        <v>3000</v>
      </c>
    </row>
    <row r="21" spans="2:11" x14ac:dyDescent="0.25">
      <c r="B21" t="s">
        <v>298</v>
      </c>
      <c r="C21">
        <v>76</v>
      </c>
      <c r="D21" t="s">
        <v>301</v>
      </c>
    </row>
    <row r="22" spans="2:11" x14ac:dyDescent="0.25">
      <c r="B22" t="s">
        <v>299</v>
      </c>
      <c r="C22">
        <v>182</v>
      </c>
      <c r="D22" t="s">
        <v>301</v>
      </c>
    </row>
    <row r="23" spans="2:11" x14ac:dyDescent="0.25">
      <c r="B23" t="s">
        <v>458</v>
      </c>
      <c r="C23">
        <f xml:space="preserve"> (C21+C22)/2 * 1000</f>
        <v>129000</v>
      </c>
    </row>
    <row r="24" spans="2:11" x14ac:dyDescent="0.25">
      <c r="B24" t="s">
        <v>308</v>
      </c>
      <c r="C24">
        <f>_xlfn.STDEV.P(C21:C22)/AVERAGE(C21:C22)</f>
        <v>0.41085271317829458</v>
      </c>
    </row>
    <row r="25" spans="2:11" x14ac:dyDescent="0.25">
      <c r="C25">
        <f>F10 - F10*C24</f>
        <v>44775.193798449611</v>
      </c>
      <c r="F25">
        <f>500/1000000</f>
        <v>5.0000000000000001E-4</v>
      </c>
    </row>
    <row r="26" spans="2:11" x14ac:dyDescent="0.25">
      <c r="C26">
        <f>F10 + F10*C24</f>
        <v>107224.80620155038</v>
      </c>
      <c r="K26" t="s">
        <v>22</v>
      </c>
    </row>
    <row r="29" spans="2:11" x14ac:dyDescent="0.25">
      <c r="B29" s="326" t="s">
        <v>302</v>
      </c>
      <c r="F29">
        <v>2000</v>
      </c>
    </row>
    <row r="30" spans="2:11" x14ac:dyDescent="0.25">
      <c r="B30" t="s">
        <v>303</v>
      </c>
      <c r="C30">
        <v>1.04</v>
      </c>
      <c r="D30" t="s">
        <v>305</v>
      </c>
    </row>
    <row r="31" spans="2:11" x14ac:dyDescent="0.25">
      <c r="B31" t="s">
        <v>304</v>
      </c>
      <c r="C31">
        <v>0.9</v>
      </c>
      <c r="D31" t="s">
        <v>305</v>
      </c>
    </row>
    <row r="33" spans="2:6" x14ac:dyDescent="0.25">
      <c r="B33" t="s">
        <v>306</v>
      </c>
      <c r="C33">
        <v>0.78900000000000003</v>
      </c>
      <c r="D33" t="s">
        <v>307</v>
      </c>
    </row>
    <row r="35" spans="2:6" x14ac:dyDescent="0.25">
      <c r="B35" t="s">
        <v>303</v>
      </c>
      <c r="C35">
        <f>C30*C33 *1000</f>
        <v>820.56000000000006</v>
      </c>
      <c r="D35" t="s">
        <v>309</v>
      </c>
    </row>
    <row r="36" spans="2:6" x14ac:dyDescent="0.25">
      <c r="B36" t="s">
        <v>304</v>
      </c>
      <c r="C36">
        <f>C31*C33*1000</f>
        <v>710.1</v>
      </c>
      <c r="D36" t="s">
        <v>309</v>
      </c>
    </row>
    <row r="37" spans="2:6" ht="18.75" x14ac:dyDescent="0.3">
      <c r="B37" t="s">
        <v>458</v>
      </c>
      <c r="C37" s="116">
        <f>(C35+C36)/2</f>
        <v>765.33</v>
      </c>
      <c r="D37" t="s">
        <v>309</v>
      </c>
      <c r="E37" s="365"/>
    </row>
    <row r="38" spans="2:6" x14ac:dyDescent="0.25">
      <c r="B38" t="s">
        <v>308</v>
      </c>
      <c r="C38" s="328">
        <f>_xlfn.STDEV.P(C35:C36)/AVERAGE(C35:C36)</f>
        <v>7.2164948453608269E-2</v>
      </c>
      <c r="E38" t="s">
        <v>459</v>
      </c>
    </row>
    <row r="39" spans="2:6" x14ac:dyDescent="0.25">
      <c r="C39">
        <f>C37 + C37*C38</f>
        <v>820.56000000000006</v>
      </c>
    </row>
    <row r="40" spans="2:6" x14ac:dyDescent="0.25">
      <c r="C40">
        <f>C37 - C37*C38</f>
        <v>710.1</v>
      </c>
    </row>
    <row r="43" spans="2:6" x14ac:dyDescent="0.25">
      <c r="B43" s="326" t="s">
        <v>310</v>
      </c>
      <c r="F43">
        <v>4000</v>
      </c>
    </row>
    <row r="44" spans="2:6" x14ac:dyDescent="0.25">
      <c r="B44" t="s">
        <v>303</v>
      </c>
      <c r="C44">
        <v>2.4</v>
      </c>
      <c r="D44" t="s">
        <v>311</v>
      </c>
    </row>
    <row r="45" spans="2:6" x14ac:dyDescent="0.25">
      <c r="B45" t="s">
        <v>304</v>
      </c>
      <c r="C45">
        <v>3.03</v>
      </c>
      <c r="D45" t="s">
        <v>311</v>
      </c>
    </row>
    <row r="47" spans="2:6" x14ac:dyDescent="0.25">
      <c r="B47" t="s">
        <v>312</v>
      </c>
      <c r="C47">
        <f>_xlfn.STDEV.P(C44:C45)/AVERAGE(C44:C45)</f>
        <v>0.11602209944751414</v>
      </c>
    </row>
    <row r="48" spans="2:6" x14ac:dyDescent="0.25">
      <c r="B48" t="s">
        <v>303</v>
      </c>
      <c r="C48">
        <f>H10 - C47*H10</f>
        <v>2399.9999999999991</v>
      </c>
      <c r="D48" t="s">
        <v>309</v>
      </c>
    </row>
    <row r="49" spans="2:6" x14ac:dyDescent="0.25">
      <c r="B49" t="s">
        <v>304</v>
      </c>
      <c r="C49">
        <f>H10 + C47*H10</f>
        <v>3030.0000000000009</v>
      </c>
      <c r="D49" t="s">
        <v>309</v>
      </c>
    </row>
    <row r="53" spans="2:6" x14ac:dyDescent="0.25">
      <c r="B53" s="326" t="s">
        <v>318</v>
      </c>
      <c r="F53">
        <v>5000</v>
      </c>
    </row>
    <row r="54" spans="2:6" x14ac:dyDescent="0.25">
      <c r="B54" t="s">
        <v>303</v>
      </c>
      <c r="C54">
        <v>1000</v>
      </c>
      <c r="D54" t="s">
        <v>309</v>
      </c>
    </row>
    <row r="55" spans="2:6" x14ac:dyDescent="0.25">
      <c r="B55" t="s">
        <v>304</v>
      </c>
      <c r="C55">
        <v>1300</v>
      </c>
      <c r="D55" t="s">
        <v>309</v>
      </c>
    </row>
    <row r="57" spans="2:6" x14ac:dyDescent="0.25">
      <c r="C57">
        <f>_xlfn.STDEV.P(C54:C55) / 1150</f>
        <v>0.13043478260869565</v>
      </c>
    </row>
    <row r="58" spans="2:6" x14ac:dyDescent="0.2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E17" sqref="E17"/>
    </sheetView>
  </sheetViews>
  <sheetFormatPr baseColWidth="10" defaultColWidth="10.85546875" defaultRowHeight="15" x14ac:dyDescent="0.25"/>
  <cols>
    <col min="4" max="4" width="21.2851562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217" t="s">
        <v>204</v>
      </c>
      <c r="D5" s="415" t="s">
        <v>102</v>
      </c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7"/>
      <c r="P5" s="11"/>
      <c r="Q5" s="11"/>
    </row>
    <row r="6" spans="3:17" ht="18.75" x14ac:dyDescent="0.3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75" x14ac:dyDescent="0.3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75" x14ac:dyDescent="0.3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75" x14ac:dyDescent="0.3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75" x14ac:dyDescent="0.3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75" x14ac:dyDescent="0.3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75" x14ac:dyDescent="0.3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.5" thickBot="1" x14ac:dyDescent="0.3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75" x14ac:dyDescent="0.3">
      <c r="C14" s="222"/>
      <c r="D14" s="148" t="s">
        <v>317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75" x14ac:dyDescent="0.3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75" x14ac:dyDescent="0.3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75" x14ac:dyDescent="0.3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75" x14ac:dyDescent="0.3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75" x14ac:dyDescent="0.3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75" x14ac:dyDescent="0.3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75" x14ac:dyDescent="0.3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75" x14ac:dyDescent="0.3">
      <c r="C22" s="172"/>
      <c r="D22" s="149" t="s">
        <v>316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75" x14ac:dyDescent="0.3">
      <c r="C23" s="172"/>
      <c r="D23" s="149" t="s">
        <v>319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75" x14ac:dyDescent="0.3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75" x14ac:dyDescent="0.3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2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2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2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2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2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2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2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2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2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2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2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.75" thickBot="1" x14ac:dyDescent="0.3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25">
      <c r="C42" t="s">
        <v>314</v>
      </c>
    </row>
    <row r="43" spans="2:17" x14ac:dyDescent="0.25">
      <c r="C43" t="s">
        <v>315</v>
      </c>
    </row>
    <row r="44" spans="2:17" x14ac:dyDescent="0.25">
      <c r="C44" s="331" t="s">
        <v>320</v>
      </c>
    </row>
    <row r="45" spans="2:17" x14ac:dyDescent="0.25">
      <c r="C45">
        <f>E17*100</f>
        <v>1.97</v>
      </c>
      <c r="N45" s="11" t="s">
        <v>22</v>
      </c>
    </row>
    <row r="46" spans="2:17" x14ac:dyDescent="0.2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85546875" defaultRowHeight="15" x14ac:dyDescent="0.25"/>
  <cols>
    <col min="4" max="4" width="21.5703125" bestFit="1" customWidth="1"/>
    <col min="5" max="5" width="11.85546875" bestFit="1" customWidth="1"/>
    <col min="6" max="7" width="23" bestFit="1" customWidth="1"/>
    <col min="8" max="8" width="11.85546875" bestFit="1" customWidth="1"/>
    <col min="9" max="9" width="8.42578125" customWidth="1"/>
    <col min="10" max="10" width="11.85546875" bestFit="1" customWidth="1"/>
    <col min="11" max="11" width="23" bestFit="1" customWidth="1"/>
    <col min="12" max="12" width="11" bestFit="1" customWidth="1"/>
    <col min="14" max="14" width="11.85546875" bestFit="1" customWidth="1"/>
    <col min="15" max="15" width="22.140625" bestFit="1" customWidth="1"/>
    <col min="16" max="16" width="11" bestFit="1" customWidth="1"/>
  </cols>
  <sheetData>
    <row r="3" spans="3:20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2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.75" thickBot="1" x14ac:dyDescent="0.3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.75" thickBot="1" x14ac:dyDescent="0.3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2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2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2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2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2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2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2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.75" thickBot="1" x14ac:dyDescent="0.3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2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2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2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2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.75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.75" thickBot="1" x14ac:dyDescent="0.3">
      <c r="C22" s="418" t="s">
        <v>240</v>
      </c>
      <c r="D22" s="419"/>
      <c r="E22" s="419"/>
      <c r="F22" s="42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.75" thickBot="1" x14ac:dyDescent="0.3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2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2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2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2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2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2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2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2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2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2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2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2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.75" thickBot="1" x14ac:dyDescent="0.3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baseColWidth="10" defaultColWidth="10.85546875" defaultRowHeight="15" x14ac:dyDescent="0.25"/>
  <cols>
    <col min="4" max="4" width="17.7109375" bestFit="1" customWidth="1"/>
    <col min="5" max="5" width="17" bestFit="1" customWidth="1"/>
    <col min="6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421" t="s">
        <v>111</v>
      </c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3"/>
      <c r="P5" s="11"/>
      <c r="Q5" s="11"/>
    </row>
    <row r="6" spans="3:17" ht="18.75" x14ac:dyDescent="0.3">
      <c r="C6" s="11"/>
      <c r="D6" s="216" t="s">
        <v>1</v>
      </c>
      <c r="E6" s="207" t="s">
        <v>211</v>
      </c>
      <c r="F6" s="207" t="s">
        <v>448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75" x14ac:dyDescent="0.3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.75" thickBot="1" x14ac:dyDescent="0.3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75" x14ac:dyDescent="0.3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75" x14ac:dyDescent="0.3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75" x14ac:dyDescent="0.3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75" x14ac:dyDescent="0.3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75" x14ac:dyDescent="0.3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75" x14ac:dyDescent="0.3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75" x14ac:dyDescent="0.3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75" x14ac:dyDescent="0.3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75" x14ac:dyDescent="0.3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75" x14ac:dyDescent="0.3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75" x14ac:dyDescent="0.3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75" x14ac:dyDescent="0.3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75" x14ac:dyDescent="0.3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75" x14ac:dyDescent="0.3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.5" thickBot="1" x14ac:dyDescent="0.3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73"/>
  <sheetViews>
    <sheetView tabSelected="1" topLeftCell="A6" zoomScale="90" zoomScaleNormal="90" workbookViewId="0">
      <selection activeCell="I14" sqref="I14"/>
    </sheetView>
  </sheetViews>
  <sheetFormatPr baseColWidth="10" defaultColWidth="10.85546875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8" width="12.42578125" bestFit="1" customWidth="1"/>
    <col min="9" max="9" width="17.85546875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7109375" bestFit="1" customWidth="1"/>
    <col min="15" max="15" width="13" customWidth="1"/>
    <col min="16" max="16" width="14.7109375" bestFit="1" customWidth="1"/>
    <col min="17" max="17" width="12.28515625" bestFit="1" customWidth="1"/>
    <col min="18" max="18" width="19.42578125" bestFit="1" customWidth="1"/>
    <col min="19" max="19" width="12.7109375" bestFit="1" customWidth="1"/>
    <col min="20" max="20" width="13.85546875" customWidth="1"/>
    <col min="21" max="21" width="20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418" t="s">
        <v>248</v>
      </c>
      <c r="C3" s="420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1" t="s">
        <v>249</v>
      </c>
      <c r="C4" s="316">
        <v>3</v>
      </c>
      <c r="D4" s="11"/>
      <c r="E4" s="11" t="s">
        <v>453</v>
      </c>
      <c r="F4" s="11" t="s">
        <v>454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89" t="s">
        <v>250</v>
      </c>
      <c r="C5" s="303" t="s">
        <v>281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427" t="s">
        <v>273</v>
      </c>
      <c r="C9" s="428"/>
      <c r="D9" s="428"/>
      <c r="E9" s="428"/>
      <c r="F9" s="428"/>
      <c r="G9" s="266"/>
      <c r="H9" s="11"/>
      <c r="I9" s="11"/>
      <c r="J9" s="368" t="s">
        <v>274</v>
      </c>
      <c r="K9" s="369"/>
      <c r="L9" s="369"/>
      <c r="M9" s="369"/>
      <c r="N9" s="369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298" t="s">
        <v>257</v>
      </c>
      <c r="C10" s="300" t="s">
        <v>33</v>
      </c>
      <c r="D10" s="301" t="s">
        <v>260</v>
      </c>
      <c r="E10" s="370" t="s">
        <v>258</v>
      </c>
      <c r="F10" s="297" t="s">
        <v>262</v>
      </c>
      <c r="G10" s="371" t="s">
        <v>464</v>
      </c>
      <c r="H10" s="11"/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371" t="s">
        <v>464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.75" thickBot="1" x14ac:dyDescent="0.3">
      <c r="A11" s="11"/>
      <c r="B11" s="292">
        <v>11</v>
      </c>
      <c r="C11" s="293" t="s">
        <v>171</v>
      </c>
      <c r="D11" s="329">
        <f>_xlfn.STDEV.P(8.7,12.4) / AVERAGE(8.7,12.4)</f>
        <v>0.17535545023696644</v>
      </c>
      <c r="E11" s="293">
        <v>1</v>
      </c>
      <c r="F11" s="276" t="s">
        <v>268</v>
      </c>
      <c r="G11" s="295" t="s">
        <v>463</v>
      </c>
      <c r="H11" s="11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463</v>
      </c>
      <c r="R11" s="317" t="s">
        <v>284</v>
      </c>
      <c r="S11" s="11"/>
      <c r="T11" s="318" t="s">
        <v>460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78">
        <v>11</v>
      </c>
      <c r="C12" s="270" t="s">
        <v>319</v>
      </c>
      <c r="D12" s="258">
        <v>0.18</v>
      </c>
      <c r="E12" s="204">
        <v>1</v>
      </c>
      <c r="F12" s="178" t="s">
        <v>267</v>
      </c>
      <c r="G12" s="297" t="s">
        <v>463</v>
      </c>
      <c r="H12" s="11"/>
      <c r="I12" s="11"/>
      <c r="J12" s="178"/>
      <c r="K12" s="270" t="s">
        <v>319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463</v>
      </c>
      <c r="R12" s="222" t="s">
        <v>280</v>
      </c>
      <c r="S12" s="11"/>
      <c r="T12" s="172" t="s">
        <v>257</v>
      </c>
      <c r="U12" s="283" t="s">
        <v>457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78">
        <v>11</v>
      </c>
      <c r="C13" s="270" t="s">
        <v>168</v>
      </c>
      <c r="D13" s="330">
        <f>_xlfn.STDEV.P(1.02, 2.92) / AVERAGE(1.02, 2.92)</f>
        <v>0.48223350253807096</v>
      </c>
      <c r="E13" s="204">
        <v>2</v>
      </c>
      <c r="F13" s="178" t="s">
        <v>268</v>
      </c>
      <c r="G13" s="297" t="s">
        <v>465</v>
      </c>
      <c r="H13" s="11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5">
      <c r="A14" s="11"/>
      <c r="B14" s="178"/>
      <c r="C14" s="270"/>
      <c r="D14" s="204"/>
      <c r="E14" s="204"/>
      <c r="F14" s="178"/>
      <c r="G14" s="297"/>
      <c r="H14" s="11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78"/>
      <c r="C15" s="270"/>
      <c r="D15" s="204"/>
      <c r="E15" s="204"/>
      <c r="F15" s="178"/>
      <c r="G15" s="297"/>
      <c r="H15" s="11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78"/>
      <c r="C16" s="270"/>
      <c r="D16" s="204"/>
      <c r="E16" s="204"/>
      <c r="F16" s="178"/>
      <c r="G16" s="297"/>
      <c r="H16" s="11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78"/>
      <c r="C17" s="270"/>
      <c r="D17" s="204"/>
      <c r="E17" s="204"/>
      <c r="F17" s="178"/>
      <c r="G17" s="297"/>
      <c r="H17" s="11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78"/>
      <c r="C18" s="270"/>
      <c r="D18" s="204"/>
      <c r="E18" s="204"/>
      <c r="F18" s="178"/>
      <c r="G18" s="297"/>
      <c r="H18" s="11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78"/>
      <c r="C19" s="270"/>
      <c r="D19" s="204"/>
      <c r="E19" s="204"/>
      <c r="F19" s="178"/>
      <c r="G19" s="297"/>
      <c r="H19" s="11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.75" thickBot="1" x14ac:dyDescent="0.3">
      <c r="A20" s="11"/>
      <c r="B20" s="178"/>
      <c r="C20" s="270"/>
      <c r="D20" s="204"/>
      <c r="E20" s="204"/>
      <c r="F20" s="178"/>
      <c r="G20" s="297"/>
      <c r="H20" s="11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25">
      <c r="A21" s="11"/>
      <c r="B21" s="178"/>
      <c r="C21" s="270"/>
      <c r="D21" s="204"/>
      <c r="E21" s="204"/>
      <c r="F21" s="178"/>
      <c r="G21" s="297"/>
      <c r="H21" s="11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78"/>
      <c r="C22" s="270"/>
      <c r="D22" s="204"/>
      <c r="E22" s="204"/>
      <c r="F22" s="178"/>
      <c r="G22" s="297"/>
      <c r="H22" s="11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3"/>
      <c r="C23" s="294"/>
      <c r="D23" s="159"/>
      <c r="E23" s="159"/>
      <c r="F23" s="283"/>
      <c r="G23" s="298"/>
      <c r="H23" s="11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368" t="s">
        <v>272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298" t="s">
        <v>257</v>
      </c>
      <c r="C28" s="370" t="s">
        <v>296</v>
      </c>
      <c r="D28" s="298" t="s">
        <v>33</v>
      </c>
      <c r="E28" s="370" t="s">
        <v>260</v>
      </c>
      <c r="F28" s="298" t="s">
        <v>258</v>
      </c>
      <c r="G28" s="297" t="s">
        <v>262</v>
      </c>
      <c r="H28" s="371" t="s">
        <v>464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71" t="s">
        <v>464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t="s">
        <v>461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3</v>
      </c>
      <c r="G29" s="288" t="s">
        <v>267</v>
      </c>
      <c r="H29" s="297" t="s">
        <v>465</v>
      </c>
      <c r="I29" s="11"/>
      <c r="J29" s="276"/>
      <c r="K29" s="270"/>
      <c r="L29" s="204"/>
      <c r="M29" s="287"/>
      <c r="N29" s="287"/>
      <c r="O29" s="295"/>
      <c r="P29" s="295" t="s">
        <v>463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t="s">
        <v>462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3</v>
      </c>
      <c r="G30" s="289" t="s">
        <v>267</v>
      </c>
      <c r="H30" s="297" t="s">
        <v>465</v>
      </c>
      <c r="I30" s="11"/>
      <c r="J30" s="178"/>
      <c r="K30" s="270"/>
      <c r="L30" s="204"/>
      <c r="M30" s="204"/>
      <c r="N30" s="204"/>
      <c r="O30" s="297"/>
      <c r="P30" s="297" t="s">
        <v>463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424" t="s">
        <v>263</v>
      </c>
      <c r="C46" s="425"/>
      <c r="D46" s="425"/>
      <c r="E46" s="425"/>
      <c r="F46" s="425"/>
      <c r="G46" s="426"/>
      <c r="H46" s="11"/>
      <c r="I46" s="424" t="s">
        <v>278</v>
      </c>
      <c r="J46" s="425"/>
      <c r="K46" s="425"/>
      <c r="L46" s="426"/>
      <c r="M46" s="317"/>
      <c r="O46" s="368" t="s">
        <v>279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.75" thickBot="1" x14ac:dyDescent="0.3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371" t="s">
        <v>464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71" t="s">
        <v>464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71" t="s">
        <v>464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25">
      <c r="A48" s="11"/>
      <c r="B48" s="276"/>
      <c r="C48" s="293"/>
      <c r="D48" s="287"/>
      <c r="E48" s="287"/>
      <c r="F48" s="295"/>
      <c r="G48" s="295" t="s">
        <v>463</v>
      </c>
      <c r="H48" s="11"/>
      <c r="I48" s="276"/>
      <c r="J48" s="287"/>
      <c r="K48" s="288"/>
      <c r="L48" s="295"/>
      <c r="M48" s="295" t="s">
        <v>463</v>
      </c>
      <c r="O48" s="276">
        <v>2000</v>
      </c>
      <c r="P48" s="329">
        <v>7.1999999999999995E-2</v>
      </c>
      <c r="Q48" s="288">
        <v>4</v>
      </c>
      <c r="R48" s="295" t="s">
        <v>268</v>
      </c>
      <c r="S48" s="295" t="s">
        <v>463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178"/>
      <c r="C49" s="270"/>
      <c r="D49" s="204"/>
      <c r="E49" s="204"/>
      <c r="F49" s="297"/>
      <c r="G49" s="297" t="s">
        <v>463</v>
      </c>
      <c r="H49" s="11"/>
      <c r="I49" s="178"/>
      <c r="J49" s="204"/>
      <c r="K49" s="289"/>
      <c r="L49" s="297"/>
      <c r="M49" s="297" t="s">
        <v>463</v>
      </c>
      <c r="O49" s="178">
        <v>3000</v>
      </c>
      <c r="P49" s="204">
        <v>0.41</v>
      </c>
      <c r="Q49" s="289">
        <v>4</v>
      </c>
      <c r="R49" s="297" t="s">
        <v>267</v>
      </c>
      <c r="S49" s="297" t="s">
        <v>463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2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B67" t="s">
        <v>451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73" spans="2:30" x14ac:dyDescent="0.25">
      <c r="B73" t="s">
        <v>452</v>
      </c>
    </row>
  </sheetData>
  <mergeCells count="4">
    <mergeCell ref="B3:C3"/>
    <mergeCell ref="I46:L46"/>
    <mergeCell ref="B9:F9"/>
    <mergeCell ref="B46:G4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9FADE1F-C18D-4177-9188-2E8A55B0CCD1}">
          <x14:formula1>
            <xm:f>Sources!$D$14:$D$21</xm:f>
          </x14:formula1>
          <xm:sqref>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15" zoomScale="91" zoomScaleNormal="91" workbookViewId="0">
      <selection activeCell="L29" sqref="L2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38.285156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381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317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75" x14ac:dyDescent="0.3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317</v>
      </c>
      <c r="O14" s="71"/>
      <c r="P14" s="71"/>
      <c r="Q14" s="66"/>
      <c r="R14" s="5"/>
      <c r="S14" s="99">
        <v>110</v>
      </c>
      <c r="T14" s="71" t="s">
        <v>319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319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319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317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319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316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34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326" t="s">
        <v>326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>
        <v>250</v>
      </c>
      <c r="E34" s="5" t="s">
        <v>327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 t="s">
        <v>329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 t="s">
        <v>330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34" t="s">
        <v>443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32" t="s">
        <v>321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 t="s">
        <v>444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44" t="s">
        <v>445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6"/>
      <c r="E47" s="6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Q37" sqref="Q3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5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5" width="27.28515625" style="3" bestFit="1" customWidth="1"/>
    <col min="16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317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319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319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317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5" t="s">
        <v>356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26" t="s">
        <v>331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26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332" t="s">
        <v>323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D1" zoomScale="75" zoomScaleNormal="47" workbookViewId="0">
      <selection activeCell="J40" sqref="J4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20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5" width="27.28515625" style="3" bestFit="1" customWidth="1"/>
    <col min="16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319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319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5" t="s">
        <v>356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75" x14ac:dyDescent="0.2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 t="s">
        <v>333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26" t="s">
        <v>332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75" x14ac:dyDescent="0.2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 t="s">
        <v>324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26" t="s">
        <v>322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32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zoomScale="58" zoomScaleNormal="58" workbookViewId="0">
      <selection activeCell="E10" sqref="E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29.5703125" style="3" bestFit="1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9" style="3" bestFit="1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341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340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319</v>
      </c>
      <c r="AI10" s="121">
        <v>6</v>
      </c>
      <c r="AJ10" s="123">
        <v>-1</v>
      </c>
      <c r="AK10" s="111"/>
      <c r="AL10" s="124">
        <v>6</v>
      </c>
      <c r="AM10" s="125" t="s">
        <v>319</v>
      </c>
      <c r="AN10" s="126">
        <v>0.6</v>
      </c>
      <c r="AO10" s="83"/>
    </row>
    <row r="11" spans="3:41" ht="19.5" thickBot="1" x14ac:dyDescent="0.3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319</v>
      </c>
      <c r="AD11" s="102"/>
      <c r="AE11" s="71"/>
      <c r="AF11" s="104"/>
      <c r="AG11" s="116"/>
      <c r="AH11" s="122" t="s">
        <v>340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75" x14ac:dyDescent="0.3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316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317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340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335" t="s">
        <v>356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326" t="s">
        <v>334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 t="s">
        <v>335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 t="s">
        <v>336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 t="s">
        <v>337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3" t="s">
        <v>338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3" t="s">
        <v>339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11" t="s">
        <v>343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326" t="s">
        <v>349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344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>
        <v>5</v>
      </c>
      <c r="E47" s="5" t="s">
        <v>345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>
        <v>4</v>
      </c>
      <c r="E48" s="5" t="s">
        <v>346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>
        <f>5/(4*3600)</f>
        <v>3.4722222222222224E-4</v>
      </c>
      <c r="E49" s="5" t="s">
        <v>347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>
        <f>D49*D48</f>
        <v>1.3888888888888889E-3</v>
      </c>
      <c r="E50" s="5" t="s">
        <v>348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14" zoomScale="98" zoomScaleNormal="98" workbookViewId="0">
      <selection activeCell="E6" sqref="E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32.140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30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7" width="10.85546875" style="3"/>
    <col min="28" max="28" width="31.85546875" style="3" bestFit="1" customWidth="1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33" width="10.85546875" style="3"/>
    <col min="34" max="34" width="17.42578125" style="3" bestFit="1" customWidth="1"/>
    <col min="35" max="16384" width="10.85546875" style="3"/>
  </cols>
  <sheetData>
    <row r="1" spans="1:37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6.95" customHeight="1" thickBo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2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25">
      <c r="A6" s="5"/>
      <c r="B6" s="5"/>
      <c r="C6" s="82"/>
      <c r="D6" s="5"/>
      <c r="E6" s="5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83"/>
    </row>
    <row r="7" spans="1:37" ht="15.75" thickBot="1" x14ac:dyDescent="0.3">
      <c r="A7" s="5"/>
      <c r="B7" s="5"/>
      <c r="C7" s="82"/>
      <c r="AK7" s="83"/>
    </row>
    <row r="8" spans="1:37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75" x14ac:dyDescent="0.3">
      <c r="A10" s="5"/>
      <c r="B10" s="5"/>
      <c r="C10" s="82"/>
      <c r="D10" s="63" t="s">
        <v>1</v>
      </c>
      <c r="E10" s="64" t="s">
        <v>449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.5" thickBot="1" x14ac:dyDescent="0.3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75" x14ac:dyDescent="0.3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75" x14ac:dyDescent="0.3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75" x14ac:dyDescent="0.3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.5" thickBot="1" x14ac:dyDescent="0.3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.5" thickBot="1" x14ac:dyDescent="0.3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2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2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25">
      <c r="A30" s="5"/>
      <c r="B30" s="5"/>
      <c r="C30" s="82"/>
      <c r="D30" s="335" t="s">
        <v>356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2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75" x14ac:dyDescent="0.2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25">
      <c r="A33" s="5"/>
      <c r="B33" s="5"/>
      <c r="C33" s="82"/>
      <c r="D33" s="5" t="s">
        <v>353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25">
      <c r="A34" s="5"/>
      <c r="B34" s="5"/>
      <c r="C34" s="82"/>
      <c r="D34" s="326" t="s">
        <v>350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25">
      <c r="A35" s="5"/>
      <c r="B35" s="5"/>
      <c r="C35" s="82"/>
      <c r="D35" s="5" t="s">
        <v>351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25">
      <c r="A36" s="5"/>
      <c r="B36" s="5"/>
      <c r="C36" s="82"/>
      <c r="D36" s="5" t="s">
        <v>352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75" x14ac:dyDescent="0.2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25">
      <c r="A39" s="5"/>
      <c r="B39" s="5"/>
      <c r="C39" s="82"/>
      <c r="D39" s="5" t="s">
        <v>354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25">
      <c r="A40" s="5"/>
      <c r="B40" s="5"/>
      <c r="C40" s="82"/>
      <c r="D40" s="5" t="s">
        <v>355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25">
      <c r="A41" s="5"/>
      <c r="B41" s="5"/>
      <c r="C41" s="82"/>
      <c r="D41" s="326" t="s">
        <v>350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zoomScale="75" zoomScaleNormal="47" workbookViewId="0">
      <selection activeCell="L37" sqref="L3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317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75" x14ac:dyDescent="0.3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319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75" x14ac:dyDescent="0.3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75" x14ac:dyDescent="0.3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317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319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zoomScale="75" zoomScaleNormal="47" workbookViewId="0">
      <selection activeCell="N43" sqref="N4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31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7.2851562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5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348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49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317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319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317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319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75" x14ac:dyDescent="0.3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44" t="s">
        <v>391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48">
        <f xml:space="preserve"> 183628/1000000</f>
        <v>0.18362800000000001</v>
      </c>
      <c r="E35" s="5" t="s">
        <v>392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>
        <v>500</v>
      </c>
      <c r="E36" s="5" t="s">
        <v>393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351" t="s">
        <v>394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3">
        <v>718</v>
      </c>
      <c r="E38" s="5" t="s">
        <v>365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350" t="s">
        <v>395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">
        <f>D38*D36/1000</f>
        <v>359</v>
      </c>
      <c r="E40" s="3" t="s">
        <v>396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" t="s">
        <v>397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>
        <v>5</v>
      </c>
      <c r="E42" s="5" t="s">
        <v>390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75" x14ac:dyDescent="0.3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5">
        <v>2.5000000000000001E-2</v>
      </c>
      <c r="E48" s="5" t="s">
        <v>398</v>
      </c>
      <c r="F48" s="93">
        <f>530*3/60</f>
        <v>26.5</v>
      </c>
      <c r="G48" s="93" t="s">
        <v>399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352">
        <f>D48/D40</f>
        <v>6.9637883008356549E-5</v>
      </c>
      <c r="E49" s="3" t="s">
        <v>400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75" x14ac:dyDescent="0.3">
      <c r="A52" s="5"/>
      <c r="B52" s="5"/>
      <c r="C52" s="82"/>
      <c r="D52" s="338" t="s">
        <v>386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326" t="s">
        <v>388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5">
        <v>2.1</v>
      </c>
      <c r="E54" s="5" t="s">
        <v>387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>
        <v>9.6</v>
      </c>
      <c r="E55" s="5" t="s">
        <v>387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3">
        <f>AVERAGE(D54:D55)</f>
        <v>5.85</v>
      </c>
      <c r="E56" s="3" t="s">
        <v>374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348">
        <f>_xlfn.STDEV.P(D54:D55)/AVERAGE(D54:D55)*100</f>
        <v>64.102564102564102</v>
      </c>
      <c r="E57" s="5" t="s">
        <v>372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 t="s">
        <v>375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>
        <f>(1.02 + 2.92)/(2*100)</f>
        <v>1.9699999999999999E-2</v>
      </c>
      <c r="E60" s="5" t="s">
        <v>376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3" t="s">
        <v>389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>
        <f>D60/0.2</f>
        <v>9.849999999999999E-2</v>
      </c>
      <c r="E62" s="5" t="s">
        <v>377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 t="s">
        <v>378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3">
        <f>D64*100</f>
        <v>5.9390862944162439</v>
      </c>
      <c r="E65" s="3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O39" sqref="O3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348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2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317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319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317</v>
      </c>
      <c r="J18" s="210" t="s">
        <v>176</v>
      </c>
      <c r="K18" s="5"/>
      <c r="L18" s="5"/>
      <c r="M18" s="73"/>
      <c r="N18" s="105" t="s">
        <v>316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319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75" x14ac:dyDescent="0.3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44" t="s">
        <v>363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>
        <v>3023813</v>
      </c>
      <c r="E35" s="5" t="s">
        <v>364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 t="s">
        <v>401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3">
        <v>718</v>
      </c>
      <c r="E37" s="5" t="s">
        <v>365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3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3">
        <v>718</v>
      </c>
      <c r="E39" s="3" t="s">
        <v>367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">
        <v>100</v>
      </c>
      <c r="E40" s="3" t="s">
        <v>361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75" x14ac:dyDescent="0.3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344" t="s">
        <v>358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>
        <v>0.1</v>
      </c>
      <c r="E46" s="5" t="s">
        <v>360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44" t="s">
        <v>359</v>
      </c>
      <c r="E47" s="5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5">
        <v>100</v>
      </c>
      <c r="E48" s="5" t="s">
        <v>361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3">
        <f>0.1*100/(60)</f>
        <v>0.16666666666666666</v>
      </c>
      <c r="E50" s="3" t="s">
        <v>402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3">
        <f>D50*D37/1000</f>
        <v>0.11966666666666666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75" x14ac:dyDescent="0.25">
      <c r="A53" s="5"/>
      <c r="B53" s="5"/>
      <c r="C53" s="82"/>
      <c r="D53" s="346" t="s">
        <v>369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t="s">
        <v>368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75" x14ac:dyDescent="0.25">
      <c r="A55" s="5"/>
      <c r="B55" s="5"/>
      <c r="C55" s="82"/>
      <c r="D55" s="9" t="s">
        <v>370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 t="s">
        <v>371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>
        <v>6.3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>
        <v>9.3000000000000007</v>
      </c>
      <c r="E58" s="5" t="s">
        <v>373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3">
        <f>AVERAGE(D57:D58)</f>
        <v>7.8000000000000007</v>
      </c>
      <c r="E59" s="3" t="s">
        <v>374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348">
        <f>_xlfn.STDEV.P(D57:D58)/AVERAGE(D57:D58)*100</f>
        <v>19.230769230769198</v>
      </c>
      <c r="E60" s="5" t="s">
        <v>372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 t="s">
        <v>375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>
        <f>(1.02 + 2.92)/(2*100)</f>
        <v>1.9699999999999999E-2</v>
      </c>
      <c r="E63" s="5" t="s">
        <v>376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3" t="s">
        <v>389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>
        <f>D63/0.2</f>
        <v>9.849999999999999E-2</v>
      </c>
      <c r="E65" s="5" t="s">
        <v>377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 t="s">
        <v>378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3">
        <f>D67*100</f>
        <v>7.9187817258883255</v>
      </c>
      <c r="E68" s="3" t="s">
        <v>379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5"/>
      <c r="D69" s="5" t="s">
        <v>380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75" x14ac:dyDescent="0.3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75" x14ac:dyDescent="0.3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75" x14ac:dyDescent="0.3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topLeftCell="A3" zoomScale="75" zoomScaleNormal="47" workbookViewId="0">
      <selection activeCell="E10" sqref="E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7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455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5" t="s">
        <v>356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 t="s">
        <v>362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344" t="s">
        <v>403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" t="s">
        <v>405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 t="s">
        <v>406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 t="s">
        <v>409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25" x14ac:dyDescent="0.25">
      <c r="A40" s="5"/>
      <c r="B40" s="5"/>
      <c r="C40" s="82"/>
      <c r="D40" s="354">
        <v>4.1859999999999999</v>
      </c>
      <c r="E40" s="5" t="s">
        <v>407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>
        <f>D40*(100-25)</f>
        <v>313.95</v>
      </c>
      <c r="E41" s="5" t="s">
        <v>408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 t="s">
        <v>410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55">
        <v>2257</v>
      </c>
      <c r="E43" s="5" t="s">
        <v>408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 t="s">
        <v>411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>
        <f>D43 + D41</f>
        <v>2570.9499999999998</v>
      </c>
      <c r="E46" s="5" t="s">
        <v>408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6" t="s">
        <v>413</v>
      </c>
      <c r="E47" s="6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 t="s">
        <v>414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>
        <f>D46/(8*3600)</f>
        <v>8.9269097222222218E-2</v>
      </c>
      <c r="E50" s="345" t="s">
        <v>415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>
        <f>D50</f>
        <v>8.9269097222222218E-2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85546875" style="3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456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3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 t="s">
        <v>416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topLeftCell="U6" zoomScale="70" zoomScaleNormal="70" workbookViewId="0">
      <selection activeCell="AL28" sqref="AL2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6.42578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6" width="20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.5" thickBot="1" x14ac:dyDescent="0.3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319</v>
      </c>
      <c r="AN11" s="127">
        <v>0.6</v>
      </c>
      <c r="AO11" s="83"/>
    </row>
    <row r="12" spans="3:41" ht="18.75" x14ac:dyDescent="0.3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319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319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344" t="s">
        <v>417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356" t="s">
        <v>335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35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356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357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357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75" x14ac:dyDescent="0.3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358" t="s">
        <v>419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 t="s">
        <v>420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326" t="s">
        <v>421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422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3">
        <f>AVERAGE(0.46, 0.26)</f>
        <v>0.36</v>
      </c>
      <c r="E47" s="5" t="s">
        <v>423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348">
        <f>_xlfn.STDEV.P(0.46, 0.26)/D47</f>
        <v>0.2777777777777779</v>
      </c>
      <c r="E48" s="5" t="s">
        <v>424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75" x14ac:dyDescent="0.3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11" t="s">
        <v>343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326" t="s">
        <v>349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 t="s">
        <v>344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>
        <v>5</v>
      </c>
      <c r="E57" s="5" t="s">
        <v>345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>
        <v>4</v>
      </c>
      <c r="E58" s="5" t="s">
        <v>346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>
        <f>5/(4*3600)</f>
        <v>3.4722222222222224E-4</v>
      </c>
      <c r="E59" s="5" t="s">
        <v>347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>
        <f>D59*D58</f>
        <v>1.3888888888888889E-3</v>
      </c>
      <c r="E60" s="5" t="s">
        <v>348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20.140625" style="3" bestFit="1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6" width="19.85546875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257" t="s">
        <v>447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348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75" x14ac:dyDescent="0.3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75" x14ac:dyDescent="0.3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317</v>
      </c>
      <c r="AN12" s="127">
        <v>0.6</v>
      </c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317</v>
      </c>
      <c r="O13" s="121" t="s">
        <v>317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319</v>
      </c>
      <c r="AN13" s="114">
        <v>0.2</v>
      </c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319</v>
      </c>
      <c r="O16" s="71" t="s">
        <v>319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317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317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319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 t="s">
        <v>426</v>
      </c>
      <c r="E45" s="360">
        <v>100</v>
      </c>
      <c r="F45" s="5" t="s">
        <v>327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425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 t="s">
        <v>427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 t="s">
        <v>428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 t="s">
        <v>432</v>
      </c>
      <c r="E50" s="5">
        <v>260</v>
      </c>
      <c r="F50" s="5" t="s">
        <v>433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 t="s">
        <v>429</v>
      </c>
      <c r="E52" s="5">
        <f>E49*(E45*E46)</f>
        <v>2640</v>
      </c>
      <c r="F52" s="5" t="s">
        <v>398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 t="s">
        <v>430</v>
      </c>
      <c r="E53" s="5">
        <f>E49*(E45*E47)</f>
        <v>33000</v>
      </c>
      <c r="F53" s="5" t="s">
        <v>398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 t="s">
        <v>431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 t="s">
        <v>429</v>
      </c>
      <c r="E55" s="347">
        <f>E52/260/1000</f>
        <v>1.0153846153846154E-2</v>
      </c>
      <c r="F55" s="5" t="s">
        <v>434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 t="s">
        <v>430</v>
      </c>
      <c r="E56" s="361">
        <f>E53/E50/1000</f>
        <v>0.12692307692307692</v>
      </c>
      <c r="F56" s="5" t="s">
        <v>434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25">
      <c r="D76" s="336" t="s">
        <v>435</v>
      </c>
    </row>
    <row r="77" spans="3:41" x14ac:dyDescent="0.25">
      <c r="D77" s="3" t="s">
        <v>442</v>
      </c>
    </row>
    <row r="95" spans="4:6" x14ac:dyDescent="0.25">
      <c r="D95" s="3" t="s">
        <v>412</v>
      </c>
    </row>
    <row r="96" spans="4:6" x14ac:dyDescent="0.25">
      <c r="D96" s="3" t="s">
        <v>436</v>
      </c>
      <c r="E96" s="3">
        <v>7.1699999999999997E-4</v>
      </c>
      <c r="F96" s="3" t="s">
        <v>437</v>
      </c>
    </row>
    <row r="97" spans="4:6" x14ac:dyDescent="0.25">
      <c r="D97" s="3" t="s">
        <v>438</v>
      </c>
      <c r="E97" s="3">
        <v>190</v>
      </c>
      <c r="F97" s="3" t="s">
        <v>439</v>
      </c>
    </row>
    <row r="98" spans="4:6" x14ac:dyDescent="0.25">
      <c r="D98" s="3" t="s">
        <v>440</v>
      </c>
      <c r="E98" s="3">
        <f>E97*E96</f>
        <v>0.13622999999999999</v>
      </c>
      <c r="F98" s="3" t="s">
        <v>441</v>
      </c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O47" sqref="O4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3.4257812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75" x14ac:dyDescent="0.3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75" x14ac:dyDescent="0.3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75" x14ac:dyDescent="0.3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5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446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.5" thickBot="1" x14ac:dyDescent="0.3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2023-12-04T15:39:20Z</dcterms:modified>
</cp:coreProperties>
</file>