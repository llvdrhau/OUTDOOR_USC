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C5259B14-96DD-4DCC-92A8-4FF88286AAC7}" xr6:coauthVersionLast="47" xr6:coauthVersionMax="47" xr10:uidLastSave="{00000000-0000-0000-0000-000000000000}"/>
  <bookViews>
    <workbookView xWindow="-110" yWindow="-110" windowWidth="19420" windowHeight="10420" tabRatio="816" activeTab="11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Grind_and_starch_decantation" sheetId="124" r:id="rId13"/>
    <sheet name="Drying" sheetId="140" r:id="rId14"/>
    <sheet name="Starch_processing" sheetId="141" r:id="rId15"/>
    <sheet name="Lactic Acid fermentation " sheetId="142" r:id="rId16"/>
    <sheet name="Polymerisation" sheetId="143" r:id="rId17"/>
    <sheet name="help_unit" sheetId="129" r:id="rId18"/>
    <sheet name="Microwave assisted extraction" sheetId="125" r:id="rId19"/>
    <sheet name="ultra sound assisted extraction" sheetId="133" r:id="rId20"/>
    <sheet name="Solvent recovery" sheetId="132" r:id="rId21"/>
    <sheet name="Solvent Recovery 2" sheetId="134" r:id="rId22"/>
    <sheet name="Yeast Fermentation" sheetId="127" r:id="rId23"/>
    <sheet name="Anaerobic Digestor" sheetId="126" r:id="rId24"/>
    <sheet name="elek Generator" sheetId="128" r:id="rId25"/>
    <sheet name="steam generator" sheetId="131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2" i="138" l="1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<sst xmlns="http://schemas.openxmlformats.org/spreadsheetml/2006/main" count="2818" uniqueCount="470">
  <si>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</si>
  <si>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</si>
  <si>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</si>
  <si>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</si>
  <si>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</si>
  <si>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</si>
  <si>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</si>
  <si>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</si>
  <si>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</si>
  <si>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</si>
  <si>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</si>
  <si>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</si>
  <si>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</si>
  <si>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</si>
  <si>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</si>
  <si>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</si>
  <si>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</si>
  <si>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</si>
  <si>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</si>
  <si>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</si>
  <si>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</si>
  <si>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</si>
  <si>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</si>
  <si>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</si>
  <si>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</si>
  <si>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</si>
  <si>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</si>
  <si>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</si>
  <si>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</si>
  <si>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</si>
  <si>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</si>
  <si>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</si>
  <si>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</si>
  <si>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</si>
  <si>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</si>
  <si>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</si>
  <si>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</si>
  <si>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</si>
  <si>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</si>
  <si>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</si>
  <si>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</si>
  <si>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</si>
  <si>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</si>
  <si>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</si>
  <si>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</si>
  <si>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</si>
  <si>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</si>
  <si>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</si>
  <si>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</si>
  <si>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</si>
  <si>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</si>
  <si>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</si>
  <si>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</si>
  <si>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</si>
  <si>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</si>
  <si>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</si>
  <si>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</si>
  <si>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</si>
  <si>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</si>
  <si>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</si>
  <si>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</si>
  <si>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</si>
  <si>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</si>
  <si>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</si>
  <si>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</si>
  <si>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</si>
  <si>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</si>
  <si>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</si>
  <si>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</si>
  <si>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</si>
  <si>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</si>
  <si>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</si>
  <si>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</si>
  <si>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</si>
  <si>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</si>
  <si>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</si>
  <si>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</si>
  <si>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</si>
  <si>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</si>
  <si>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</si>
  <si>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</si>
  <si>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</si>
  <si>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</si>
  <si>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</si>
  <si>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</si>
  <si>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</si>
  <si>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</si>
  <si>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</si>
  <si>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</si>
  <si>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</si>
  <si>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</si>
  <si>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</si>
  <si>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</si>
  <si>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</si>
  <si>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</si>
  <si>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</si>
  <si>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</si>
  <si>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</si>
  <si>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</si>
  <si>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</si>
  <si>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</si>
  <si>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</si>
  <si>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</si>
  <si>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</si>
  <si>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</si>
  <si>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</si>
  <si>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</si>
  <si>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</si>
  <si>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</si>
  <si>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</si>
  <si>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</si>
  <si>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</si>
  <si>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</si>
  <si>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</si>
  <si>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</si>
  <si>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</si>
  <si>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</si>
  <si>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</si>
  <si>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</si>
  <si>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</si>
  <si>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</si>
  <si>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</si>
  <si>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</si>
  <si>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</si>
  <si>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</si>
  <si>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</si>
  <si>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</si>
  <si>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</si>
  <si>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</si>
  <si>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</si>
  <si>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</si>
  <si>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</si>
  <si>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</si>
  <si>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</si>
  <si>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</si>
  <si>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</si>
  <si>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</si>
  <si>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</si>
  <si>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</si>
  <si>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</si>
  <si>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</si>
  <si>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</si>
  <si>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</si>
  <si>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</si>
  <si>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</si>
  <si>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</si>
  <si>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</si>
  <si>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</si>
  <si>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</si>
  <si>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</si>
  <si>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</si>
  <si>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</si>
  <si>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</si>
  <si>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</si>
  <si>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</si>
  <si>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</si>
  <si>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</si>
  <si>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</si>
  <si>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</si>
  <si>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</si>
  <si>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</si>
  <si>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</si>
  <si>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</si>
  <si>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</si>
  <si>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</si>
  <si>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</si>
  <si>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</si>
  <si>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</si>
  <si>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</si>
  <si>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</si>
  <si>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</si>
  <si>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</si>
  <si>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</si>
  <si>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</si>
  <si>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</si>
  <si>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</si>
  <si>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</si>
  <si>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</si>
  <si>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</si>
  <si>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</si>
  <si>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</si>
  <si>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</si>
  <si>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</si>
  <si>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</si>
  <si>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</si>
  <si>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</si>
  <si>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</si>
  <si>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</si>
  <si>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</si>
  <si>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</si>
  <si>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</si>
  <si>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</si>
  <si>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</si>
  <si>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</si>
  <si>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</si>
  <si>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</si>
  <si>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</si>
  <si>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</si>
  <si>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</si>
  <si>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</si>
  <si>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</si>
  <si>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</si>
  <si>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</si>
  <si>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</si>
  <si>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</si>
  <si>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</si>
  <si>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</si>
  <si>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</si>
  <si>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</si>
  <si>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</si>
  <si>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</si>
  <si>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</si>
  <si>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</si>
  <si>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</si>
  <si>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</si>
  <si>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</si>
  <si>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</si>
  <si>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</si>
  <si>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</si>
  <si>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</si>
  <si>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</si>
  <si>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</si>
  <si>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</si>
  <si>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</si>
  <si>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</si>
  <si>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</si>
  <si>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</si>
  <si>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</si>
  <si>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</si>
  <si>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</si>
  <si>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</si>
  <si>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</si>
  <si>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</si>
  <si>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</si>
  <si>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</si>
  <si>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</si>
  <si>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</si>
  <si>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</si>
  <si>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</si>
  <si>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</si>
  <si>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</si>
  <si>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</si>
  <si>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</si>
  <si>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</si>
  <si>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</si>
  <si>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</si>
  <si>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</si>
  <si>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</si>
  <si>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</si>
  <si>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</si>
  <si>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</si>
  <si>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</si>
  <si>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</si>
  <si>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</si>
  <si>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</si>
  <si>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</si>
  <si>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</si>
  <si>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</si>
  <si>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</si>
  <si>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</si>
  <si>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</si>
  <si>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</si>
  <si>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</si>
  <si>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</si>
  <si>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</si>
  <si>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</si>
  <si>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</si>
  <si>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</si>
  <si>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</si>
  <si>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</si>
  <si>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</si>
  <si>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</si>
  <si>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</si>
  <si>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</si>
  <si>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</si>
  <si>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</si>
  <si>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</si>
  <si>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</si>
  <si>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</si>
  <si>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</si>
  <si>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</si>
  <si>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</si>
  <si>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</si>
  <si>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</si>
  <si>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</si>
  <si>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</si>
  <si>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</si>
  <si>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</si>
  <si>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</si>
  <si>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</si>
  <si>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</si>
  <si>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</si>
  <si>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</si>
  <si>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</si>
  <si>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</si>
  <si>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</si>
  <si>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</si>
  <si>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</si>
  <si>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</si>
  <si>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</si>
  <si>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</si>
  <si>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</si>
  <si>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</si>
  <si>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</si>
  <si>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</si>
  <si>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</si>
  <si>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</si>
  <si>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</si>
  <si>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</si>
  <si>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</si>
  <si>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</si>
  <si>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</si>
  <si>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</si>
  <si>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</si>
  <si>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</si>
  <si>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</si>
  <si>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</si>
  <si>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</si>
  <si>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</si>
  <si>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</si>
  <si>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</si>
  <si>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</si>
  <si>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</si>
  <si>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</si>
  <si>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</si>
  <si>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</si>
  <si>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</si>
  <si>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</si>
  <si>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</si>
  <si>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</si>
  <si>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</si>
  <si>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</si>
  <si>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</si>
  <si>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</si>
  <si>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</si>
  <si>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</si>
  <si>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</si>
  <si>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</si>
  <si>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</si>
  <si>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</si>
  <si>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</si>
  <si>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</si>
  <si>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</si>
  <si>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</si>
  <si>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</si>
  <si>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</si>
  <si>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</si>
  <si>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</si>
  <si>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</si>
  <si>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</si>
  <si>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</si>
  <si>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</si>
  <si>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</si>
  <si>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</si>
  <si>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</si>
  <si>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</si>
  <si>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</si>
  <si>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</si>
  <si>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</si>
  <si>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</si>
  <si>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</si>
  <si>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</si>
  <si>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</si>
  <si>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</si>
  <si>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</si>
  <si>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</si>
  <si>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</si>
  <si>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</si>
  <si>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</si>
  <si>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</si>
  <si>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</si>
  <si>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</si>
  <si>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</si>
  <si>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</si>
  <si>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</si>
  <si>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</si>
  <si>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</si>
  <si>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</si>
  <si>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</si>
  <si>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</si>
  <si>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</si>
  <si>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</si>
  <si>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</si>
  <si>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</si>
  <si>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</si>
  <si>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</si>
  <si>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</si>
  <si>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</si>
  <si>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</si>
  <si>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</si>
  <si>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</si>
  <si>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</si>
  <si>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</si>
  <si>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</si>
  <si>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</si>
  <si>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</si>
  <si>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</si>
  <si>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</si>
  <si>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</si>
  <si>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</si>
  <si>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</si>
  <si>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</si>
  <si>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</si>
  <si>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</si>
  <si>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</si>
  <si>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</si>
  <si>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</si>
  <si>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</si>
  <si>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</si>
  <si>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</si>
  <si>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</si>
  <si>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</si>
  <si>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</si>
  <si>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</si>
  <si>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</si>
  <si>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</si>
  <si>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</si>
  <si>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</si>
  <si>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</si>
  <si>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</si>
  <si>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</si>
  <si>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</si>
  <si>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</si>
  <si>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</si>
  <si>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</si>
  <si>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</si>
  <si>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</si>
  <si>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</si>
  <si>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</si>
  <si>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</si>
  <si>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</si>
  <si>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</si>
  <si>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</si>
  <si>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</si>
  <si>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</si>
  <si>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</si>
  <si>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</si>
  <si>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</si>
  <si>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</si>
  <si>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</si>
  <si>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</si>
  <si>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</si>
  <si>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</si>
  <si>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</si>
  <si>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</si>
  <si>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</si>
  <si>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</si>
  <si>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</si>
  <si>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</si>
  <si>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</si>
  <si>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</si>
  <si>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</si>
  <si>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</si>
  <si>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</si>
  <si>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</si>
  <si>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</si>
  <si>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</si>
  <si>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</si>
  <si>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</si>
  <si>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</si>
  <si>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</si>
  <si>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</si>
  <si>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</si>
  <si>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</si>
  <si>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</si>
  <si>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</si>
  <si>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 xml:space="preserve">Uniform </t>
  </si>
  <si>
    <t xml:space="preserve">Normal </t>
  </si>
  <si>
    <t>Parameter Type</t>
  </si>
  <si>
    <t>Parameter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</si>
</sst>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3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19" borderId="5" xfId="0" applyFill="1" applyBorder="1"/>
    <xf numFmtId="0" fontId="0" fillId="0" borderId="18" xfId="0" applyBorder="1"/>
    <xf numFmtId="0" fontId="0" fillId="0" borderId="0" xfId="0" applyBorder="1"/>
    <xf numFmtId="0" fontId="0" fillId="5" borderId="0" xfId="0" applyFill="1" applyBorder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 vertical="center"/>
    </xf>
    <xf numFmtId="0" fontId="23" fillId="17" borderId="5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E18" sqref="E18"/>
    </sheetView>
  </sheetViews>
  <sheetFormatPr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72" t="s">
        <v>29</v>
      </c>
      <c r="C3" s="373"/>
      <c r="D3" s="374"/>
      <c r="F3" s="320" t="s">
        <v>32</v>
      </c>
      <c r="G3" s="321"/>
      <c r="H3" s="321"/>
      <c r="I3" s="321"/>
      <c r="J3" s="321"/>
      <c r="K3" s="322"/>
      <c r="L3" s="14"/>
      <c r="M3" s="14"/>
      <c r="N3" s="378" t="s">
        <v>35</v>
      </c>
      <c r="O3" s="379"/>
      <c r="P3" s="380"/>
      <c r="Q3" s="14"/>
      <c r="R3" s="14"/>
      <c r="S3" s="381" t="s">
        <v>39</v>
      </c>
      <c r="T3" s="382"/>
      <c r="U3" s="382"/>
      <c r="V3" s="383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59"/>
      <c r="B5" s="26" t="s">
        <v>27</v>
      </c>
      <c r="C5" s="28" t="s">
        <v>450</v>
      </c>
      <c r="D5" s="231" t="s">
        <v>176</v>
      </c>
      <c r="E5" s="14"/>
      <c r="F5" s="24" t="s">
        <v>317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317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341</v>
      </c>
      <c r="P10" s="30" t="s">
        <v>319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342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418</v>
      </c>
      <c r="P12" s="30" t="s">
        <v>319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3"/>
      <c r="E18" s="14"/>
      <c r="F18" s="24" t="s">
        <v>316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387"/>
      <c r="X18" s="387"/>
      <c r="Y18" s="387"/>
      <c r="Z18" s="388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2" t="s">
        <v>179</v>
      </c>
      <c r="E19" s="14"/>
      <c r="F19" s="24" t="s">
        <v>319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85"/>
      <c r="Z19" s="386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2" t="s">
        <v>181</v>
      </c>
      <c r="E20" s="14"/>
      <c r="F20" s="24" t="s">
        <v>340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85"/>
      <c r="Z20" s="386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85"/>
      <c r="Z21" s="386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85"/>
      <c r="Z22" s="386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84"/>
      <c r="U23" s="384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75" t="s">
        <v>133</v>
      </c>
      <c r="O30" s="376"/>
      <c r="P30" s="377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375" t="s">
        <v>140</v>
      </c>
      <c r="T31" s="376"/>
      <c r="U31" s="376"/>
      <c r="V31" s="376"/>
      <c r="W31" s="377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19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Y35"/>
  <sheetViews>
    <sheetView topLeftCell="P15" zoomScale="113" workbookViewId="0">
      <selection activeCell="AA19" sqref="AA19"/>
    </sheetView>
  </sheetViews>
  <sheetFormatPr defaultColWidth="10.81640625" defaultRowHeight="14.5" x14ac:dyDescent="0.35"/>
  <cols>
    <col min="7" max="8" width="24.1796875" bestFit="1" customWidth="1"/>
    <col min="25" max="25" width="26.26953125" bestFit="1" customWidth="1"/>
  </cols>
  <sheetData>
    <row r="1" spans="1:25" ht="15.5" x14ac:dyDescent="0.35">
      <c r="A1" t="s">
        <v>26</v>
      </c>
      <c r="B1" t="s">
        <v>187</v>
      </c>
      <c r="F1" s="1" t="s">
        <v>16</v>
      </c>
      <c r="L1" t="s">
        <v>138</v>
      </c>
      <c r="P1" t="s">
        <v>325</v>
      </c>
    </row>
    <row r="2" spans="1:25" ht="15.5" x14ac:dyDescent="0.3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325</v>
      </c>
    </row>
    <row r="3" spans="1:25" ht="15.5" x14ac:dyDescent="0.3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5" ht="15.5" x14ac:dyDescent="0.3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5" ht="15.5" x14ac:dyDescent="0.35">
      <c r="A5" t="s">
        <v>20</v>
      </c>
      <c r="C5" t="s">
        <v>20</v>
      </c>
      <c r="F5" s="227" t="s">
        <v>215</v>
      </c>
      <c r="L5" t="s">
        <v>124</v>
      </c>
    </row>
    <row r="6" spans="1:25" x14ac:dyDescent="0.35">
      <c r="A6" t="s">
        <v>24</v>
      </c>
      <c r="C6" t="s">
        <v>24</v>
      </c>
      <c r="L6" t="s">
        <v>125</v>
      </c>
    </row>
    <row r="7" spans="1:25" x14ac:dyDescent="0.35">
      <c r="A7" t="s">
        <v>109</v>
      </c>
      <c r="L7" t="s">
        <v>123</v>
      </c>
    </row>
    <row r="8" spans="1:25" x14ac:dyDescent="0.35">
      <c r="A8" t="s">
        <v>110</v>
      </c>
      <c r="L8" t="s">
        <v>162</v>
      </c>
    </row>
    <row r="9" spans="1:25" x14ac:dyDescent="0.35">
      <c r="A9" t="s">
        <v>119</v>
      </c>
      <c r="L9" t="s">
        <v>163</v>
      </c>
    </row>
    <row r="10" spans="1:25" x14ac:dyDescent="0.35">
      <c r="A10" t="s">
        <v>120</v>
      </c>
      <c r="L10" t="s">
        <v>164</v>
      </c>
    </row>
    <row r="14" spans="1:25" x14ac:dyDescent="0.35">
      <c r="A14" t="s">
        <v>218</v>
      </c>
    </row>
    <row r="15" spans="1:25" x14ac:dyDescent="0.35">
      <c r="A15" t="s">
        <v>216</v>
      </c>
    </row>
    <row r="16" spans="1:25" x14ac:dyDescent="0.35">
      <c r="G16" s="323" t="s">
        <v>127</v>
      </c>
      <c r="H16" s="323" t="s">
        <v>149</v>
      </c>
      <c r="I16" s="323" t="s">
        <v>150</v>
      </c>
      <c r="J16" s="323" t="s">
        <v>152</v>
      </c>
      <c r="K16" s="323" t="s">
        <v>153</v>
      </c>
      <c r="L16" s="323"/>
      <c r="M16" s="323" t="s">
        <v>244</v>
      </c>
      <c r="N16" s="323"/>
      <c r="O16" s="323" t="s">
        <v>251</v>
      </c>
      <c r="P16" s="323"/>
      <c r="Q16" s="323"/>
      <c r="R16" s="323" t="s">
        <v>253</v>
      </c>
      <c r="S16" s="323"/>
      <c r="T16" s="323"/>
      <c r="U16" s="323" t="s">
        <v>252</v>
      </c>
      <c r="V16" s="323"/>
      <c r="W16" s="323" t="s">
        <v>465</v>
      </c>
      <c r="X16" s="323"/>
      <c r="Y16" s="323" t="s">
        <v>469</v>
      </c>
    </row>
    <row r="17" spans="7:25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  <c r="W17" t="s">
        <v>466</v>
      </c>
      <c r="Y17" t="s">
        <v>271</v>
      </c>
    </row>
    <row r="18" spans="7:25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  <c r="W18" t="s">
        <v>467</v>
      </c>
      <c r="Y18" t="s">
        <v>273</v>
      </c>
    </row>
    <row r="19" spans="7:25" x14ac:dyDescent="0.3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  <c r="Y19" t="s">
        <v>274</v>
      </c>
    </row>
    <row r="20" spans="7:25" x14ac:dyDescent="0.35">
      <c r="G20" t="s">
        <v>129</v>
      </c>
      <c r="H20" t="s">
        <v>137</v>
      </c>
      <c r="R20" t="s">
        <v>247</v>
      </c>
      <c r="Y20" t="s">
        <v>272</v>
      </c>
    </row>
    <row r="21" spans="7:25" x14ac:dyDescent="0.35">
      <c r="G21" t="s">
        <v>225</v>
      </c>
      <c r="H21" t="s">
        <v>288</v>
      </c>
      <c r="Y21" t="s">
        <v>263</v>
      </c>
    </row>
    <row r="22" spans="7:25" x14ac:dyDescent="0.35">
      <c r="G22" t="s">
        <v>291</v>
      </c>
      <c r="Y22" t="s">
        <v>278</v>
      </c>
    </row>
    <row r="23" spans="7:25" x14ac:dyDescent="0.35">
      <c r="Y23" s="431" t="s">
        <v>279</v>
      </c>
    </row>
    <row r="24" spans="7:25" x14ac:dyDescent="0.35">
      <c r="Y24" t="s">
        <v>122</v>
      </c>
    </row>
    <row r="25" spans="7:25" x14ac:dyDescent="0.35">
      <c r="Y25" t="s">
        <v>139</v>
      </c>
    </row>
    <row r="35" spans="2:2" x14ac:dyDescent="0.35">
      <c r="B35" t="s">
        <v>219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401" t="s">
        <v>76</v>
      </c>
      <c r="T8" s="402"/>
      <c r="U8" s="403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1" t="s">
        <v>7</v>
      </c>
      <c r="AI8" s="402"/>
      <c r="AJ8" s="403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5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G13" sqref="G13"/>
    </sheetView>
  </sheetViews>
  <sheetFormatPr defaultColWidth="10.8164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4" t="s">
        <v>293</v>
      </c>
      <c r="C5" s="412" t="s">
        <v>99</v>
      </c>
      <c r="D5" s="413"/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3"/>
      <c r="P5" s="413"/>
      <c r="Q5" s="414"/>
      <c r="R5" t="s">
        <v>22</v>
      </c>
    </row>
    <row r="6" spans="2:18" ht="18.5" x14ac:dyDescent="0.45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313</v>
      </c>
      <c r="I6" s="165" t="s">
        <v>319</v>
      </c>
      <c r="J6" s="165"/>
      <c r="K6" s="165"/>
      <c r="L6" s="165"/>
      <c r="M6" s="165"/>
      <c r="N6" s="165"/>
      <c r="O6" s="165"/>
      <c r="P6" s="165"/>
      <c r="Q6" s="327"/>
    </row>
    <row r="7" spans="2:18" ht="18.5" x14ac:dyDescent="0.4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5" x14ac:dyDescent="0.4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5" x14ac:dyDescent="0.4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 x14ac:dyDescent="0.45">
      <c r="B10" s="297"/>
      <c r="C10" s="166" t="s">
        <v>203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5" x14ac:dyDescent="0.4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5" x14ac:dyDescent="0.4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5" x14ac:dyDescent="0.4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 x14ac:dyDescent="0.45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 x14ac:dyDescent="0.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5">
      <c r="I16" s="11"/>
      <c r="J16" s="11"/>
      <c r="K16" s="11"/>
      <c r="L16" s="11"/>
    </row>
    <row r="19" spans="2:11" x14ac:dyDescent="0.35">
      <c r="B19" t="s">
        <v>297</v>
      </c>
    </row>
    <row r="20" spans="2:11" x14ac:dyDescent="0.35">
      <c r="B20" s="326" t="s">
        <v>300</v>
      </c>
      <c r="F20">
        <v>3000</v>
      </c>
    </row>
    <row r="21" spans="2:11" x14ac:dyDescent="0.35">
      <c r="B21" t="s">
        <v>298</v>
      </c>
      <c r="C21">
        <v>76</v>
      </c>
      <c r="D21" t="s">
        <v>301</v>
      </c>
    </row>
    <row r="22" spans="2:11" x14ac:dyDescent="0.35">
      <c r="B22" t="s">
        <v>299</v>
      </c>
      <c r="C22">
        <v>182</v>
      </c>
      <c r="D22" t="s">
        <v>301</v>
      </c>
    </row>
    <row r="23" spans="2:11" x14ac:dyDescent="0.35">
      <c r="B23" t="s">
        <v>456</v>
      </c>
      <c r="C23">
        <f xml:space="preserve"> (C21+C22)/2 * 1000</f>
        <v>129000</v>
      </c>
    </row>
    <row r="24" spans="2:11" x14ac:dyDescent="0.35">
      <c r="B24" t="s">
        <v>308</v>
      </c>
      <c r="C24">
        <f>_xlfn.STDEV.P(C21:C22)/AVERAGE(C21:C22)</f>
        <v>0.41085271317829458</v>
      </c>
    </row>
    <row r="25" spans="2:11" x14ac:dyDescent="0.35">
      <c r="C25">
        <f>F10 - F10*C24</f>
        <v>44775.193798449611</v>
      </c>
      <c r="F25">
        <f>500/1000000</f>
        <v>5.0000000000000001E-4</v>
      </c>
    </row>
    <row r="26" spans="2:11" x14ac:dyDescent="0.35">
      <c r="C26">
        <f>F10 + F10*C24</f>
        <v>107224.80620155038</v>
      </c>
      <c r="K26" t="s">
        <v>22</v>
      </c>
    </row>
    <row r="29" spans="2:11" x14ac:dyDescent="0.35">
      <c r="B29" s="326" t="s">
        <v>302</v>
      </c>
      <c r="F29">
        <v>2000</v>
      </c>
    </row>
    <row r="30" spans="2:11" x14ac:dyDescent="0.35">
      <c r="B30" t="s">
        <v>303</v>
      </c>
      <c r="C30">
        <v>1.04</v>
      </c>
      <c r="D30" t="s">
        <v>305</v>
      </c>
    </row>
    <row r="31" spans="2:11" x14ac:dyDescent="0.35">
      <c r="B31" t="s">
        <v>304</v>
      </c>
      <c r="C31">
        <v>0.9</v>
      </c>
      <c r="D31" t="s">
        <v>305</v>
      </c>
    </row>
    <row r="33" spans="2:6" x14ac:dyDescent="0.35">
      <c r="B33" t="s">
        <v>306</v>
      </c>
      <c r="C33">
        <v>0.78900000000000003</v>
      </c>
      <c r="D33" t="s">
        <v>307</v>
      </c>
    </row>
    <row r="35" spans="2:6" x14ac:dyDescent="0.35">
      <c r="B35" t="s">
        <v>303</v>
      </c>
      <c r="C35">
        <f>C30*C33 *1000</f>
        <v>820.56000000000006</v>
      </c>
      <c r="D35" t="s">
        <v>309</v>
      </c>
    </row>
    <row r="36" spans="2:6" x14ac:dyDescent="0.35">
      <c r="B36" t="s">
        <v>304</v>
      </c>
      <c r="C36">
        <f>C31*C33*1000</f>
        <v>710.1</v>
      </c>
      <c r="D36" t="s">
        <v>309</v>
      </c>
    </row>
    <row r="37" spans="2:6" ht="18.5" x14ac:dyDescent="0.45">
      <c r="B37" t="s">
        <v>456</v>
      </c>
      <c r="C37" s="116">
        <f>(C35+C36)/2</f>
        <v>765.33</v>
      </c>
      <c r="D37" t="s">
        <v>309</v>
      </c>
      <c r="E37" s="365"/>
    </row>
    <row r="38" spans="2:6" x14ac:dyDescent="0.35">
      <c r="B38" t="s">
        <v>308</v>
      </c>
      <c r="C38" s="328">
        <f>_xlfn.STDEV.P(C35:C36)/AVERAGE(C35:C36)</f>
        <v>7.2164948453608269E-2</v>
      </c>
      <c r="E38" t="s">
        <v>457</v>
      </c>
    </row>
    <row r="39" spans="2:6" x14ac:dyDescent="0.35">
      <c r="C39">
        <f>C37 + C37*C38</f>
        <v>820.56000000000006</v>
      </c>
    </row>
    <row r="40" spans="2:6" x14ac:dyDescent="0.35">
      <c r="C40">
        <f>C37 - C37*C38</f>
        <v>710.1</v>
      </c>
    </row>
    <row r="43" spans="2:6" x14ac:dyDescent="0.35">
      <c r="B43" s="326" t="s">
        <v>310</v>
      </c>
      <c r="F43">
        <v>4000</v>
      </c>
    </row>
    <row r="44" spans="2:6" x14ac:dyDescent="0.35">
      <c r="B44" t="s">
        <v>303</v>
      </c>
      <c r="C44">
        <v>2.4</v>
      </c>
      <c r="D44" t="s">
        <v>311</v>
      </c>
    </row>
    <row r="45" spans="2:6" x14ac:dyDescent="0.35">
      <c r="B45" t="s">
        <v>304</v>
      </c>
      <c r="C45">
        <v>3.03</v>
      </c>
      <c r="D45" t="s">
        <v>311</v>
      </c>
    </row>
    <row r="47" spans="2:6" x14ac:dyDescent="0.35">
      <c r="B47" t="s">
        <v>312</v>
      </c>
      <c r="C47">
        <f>_xlfn.STDEV.P(C44:C45)/AVERAGE(C44:C45)</f>
        <v>0.11602209944751414</v>
      </c>
    </row>
    <row r="48" spans="2:6" x14ac:dyDescent="0.35">
      <c r="B48" t="s">
        <v>303</v>
      </c>
      <c r="C48">
        <f>H10 - C47*H10</f>
        <v>2399.9999999999991</v>
      </c>
      <c r="D48" t="s">
        <v>309</v>
      </c>
    </row>
    <row r="49" spans="2:6" x14ac:dyDescent="0.35">
      <c r="B49" t="s">
        <v>304</v>
      </c>
      <c r="C49">
        <f>H10 + C47*H10</f>
        <v>3030.0000000000009</v>
      </c>
      <c r="D49" t="s">
        <v>309</v>
      </c>
    </row>
    <row r="53" spans="2:6" x14ac:dyDescent="0.35">
      <c r="B53" s="326" t="s">
        <v>318</v>
      </c>
      <c r="F53">
        <v>5000</v>
      </c>
    </row>
    <row r="54" spans="2:6" x14ac:dyDescent="0.35">
      <c r="B54" t="s">
        <v>303</v>
      </c>
      <c r="C54">
        <v>1000</v>
      </c>
      <c r="D54" t="s">
        <v>309</v>
      </c>
    </row>
    <row r="55" spans="2:6" x14ac:dyDescent="0.35">
      <c r="B55" t="s">
        <v>304</v>
      </c>
      <c r="C55">
        <v>1300</v>
      </c>
      <c r="D55" t="s">
        <v>309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zoomScale="83" zoomScaleNormal="83" workbookViewId="0">
      <selection activeCell="C5" sqref="C5"/>
    </sheetView>
  </sheetViews>
  <sheetFormatPr defaultColWidth="10.8164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204</v>
      </c>
      <c r="D5" s="415" t="s">
        <v>102</v>
      </c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7"/>
      <c r="P5" s="11"/>
      <c r="Q5" s="11"/>
    </row>
    <row r="6" spans="3:17" ht="18.5" x14ac:dyDescent="0.45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5" x14ac:dyDescent="0.45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5" x14ac:dyDescent="0.45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" thickBot="1" x14ac:dyDescent="0.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5" x14ac:dyDescent="0.45">
      <c r="C14" s="222"/>
      <c r="D14" s="148" t="s">
        <v>317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5" x14ac:dyDescent="0.45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5" x14ac:dyDescent="0.45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 x14ac:dyDescent="0.45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 x14ac:dyDescent="0.4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 x14ac:dyDescent="0.4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 x14ac:dyDescent="0.4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 x14ac:dyDescent="0.45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 x14ac:dyDescent="0.45">
      <c r="C22" s="172"/>
      <c r="D22" s="149" t="s">
        <v>316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 x14ac:dyDescent="0.45">
      <c r="C23" s="172"/>
      <c r="D23" s="149" t="s">
        <v>319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 x14ac:dyDescent="0.4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 x14ac:dyDescent="0.4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4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314</v>
      </c>
    </row>
    <row r="43" spans="2:17" x14ac:dyDescent="0.35">
      <c r="C43" t="s">
        <v>315</v>
      </c>
    </row>
    <row r="44" spans="2:17" x14ac:dyDescent="0.35">
      <c r="C44" s="331" t="s">
        <v>320</v>
      </c>
    </row>
    <row r="45" spans="2:17" x14ac:dyDescent="0.35">
      <c r="C45">
        <f>E17*100</f>
        <v>1.97</v>
      </c>
      <c r="N45" s="11" t="s">
        <v>22</v>
      </c>
    </row>
    <row r="46" spans="2:17" x14ac:dyDescent="0.3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3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4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418" t="s">
        <v>240</v>
      </c>
      <c r="D22" s="419"/>
      <c r="E22" s="419"/>
      <c r="F22" s="42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21" t="s">
        <v>111</v>
      </c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3"/>
      <c r="P5" s="11"/>
      <c r="Q5" s="11"/>
    </row>
    <row r="6" spans="3:17" ht="18.5" x14ac:dyDescent="0.45">
      <c r="C6" s="11"/>
      <c r="D6" s="216" t="s">
        <v>1</v>
      </c>
      <c r="E6" s="207" t="s">
        <v>211</v>
      </c>
      <c r="F6" s="207" t="s">
        <v>448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4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 x14ac:dyDescent="0.4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 x14ac:dyDescent="0.4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 x14ac:dyDescent="0.4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 x14ac:dyDescent="0.4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 x14ac:dyDescent="0.4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 x14ac:dyDescent="0.4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 x14ac:dyDescent="0.4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 x14ac:dyDescent="0.4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 x14ac:dyDescent="0.4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 x14ac:dyDescent="0.4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 x14ac:dyDescent="0.4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 x14ac:dyDescent="0.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26"/>
  <sheetViews>
    <sheetView tabSelected="1" topLeftCell="A77" zoomScale="46" zoomScaleNormal="55" workbookViewId="0">
      <selection activeCell="K113" sqref="K113"/>
    </sheetView>
  </sheetViews>
  <sheetFormatPr defaultColWidth="10.81640625" defaultRowHeight="14.5" x14ac:dyDescent="0.35"/>
  <cols>
    <col min="2" max="2" width="34.45312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9.453125" bestFit="1" customWidth="1"/>
    <col min="19" max="19" width="12.7265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418" t="s">
        <v>248</v>
      </c>
      <c r="C3" s="420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1" t="s">
        <v>249</v>
      </c>
      <c r="C4" s="316">
        <v>3</v>
      </c>
      <c r="D4" s="11"/>
      <c r="E4" s="11" t="s">
        <v>451</v>
      </c>
      <c r="F4" s="11" t="s">
        <v>452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89" t="s">
        <v>250</v>
      </c>
      <c r="C5" s="303" t="s">
        <v>281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427" t="s">
        <v>273</v>
      </c>
      <c r="C9" s="428"/>
      <c r="D9" s="428"/>
      <c r="E9" s="428"/>
      <c r="F9" s="428"/>
      <c r="G9" s="266"/>
      <c r="H9" s="11"/>
      <c r="I9" s="11"/>
      <c r="J9" s="368" t="s">
        <v>274</v>
      </c>
      <c r="K9" s="369"/>
      <c r="L9" s="369"/>
      <c r="M9" s="369"/>
      <c r="N9" s="369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298" t="s">
        <v>257</v>
      </c>
      <c r="C10" s="300" t="s">
        <v>33</v>
      </c>
      <c r="D10" s="301" t="s">
        <v>260</v>
      </c>
      <c r="E10" s="370" t="s">
        <v>258</v>
      </c>
      <c r="F10" s="297" t="s">
        <v>262</v>
      </c>
      <c r="G10" s="371" t="s">
        <v>462</v>
      </c>
      <c r="H10" s="429" t="s">
        <v>464</v>
      </c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371" t="s">
        <v>462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2">
        <v>11</v>
      </c>
      <c r="C11" s="293" t="s">
        <v>171</v>
      </c>
      <c r="D11" s="329">
        <f>_xlfn.STDEV.P(8.7,12.4) / AVERAGE(8.7,12.4)</f>
        <v>0.17535545023696644</v>
      </c>
      <c r="E11" s="293">
        <v>1</v>
      </c>
      <c r="F11" s="276" t="s">
        <v>268</v>
      </c>
      <c r="G11" s="295" t="s">
        <v>461</v>
      </c>
      <c r="H11" s="222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461</v>
      </c>
      <c r="R11" s="317" t="s">
        <v>284</v>
      </c>
      <c r="S11" s="11"/>
      <c r="T11" s="318" t="s">
        <v>458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78">
        <v>11</v>
      </c>
      <c r="C12" s="270" t="s">
        <v>319</v>
      </c>
      <c r="D12" s="258">
        <v>0.18</v>
      </c>
      <c r="E12" s="204">
        <v>1</v>
      </c>
      <c r="F12" s="178" t="s">
        <v>267</v>
      </c>
      <c r="G12" s="297" t="s">
        <v>461</v>
      </c>
      <c r="H12" s="172"/>
      <c r="I12" s="11"/>
      <c r="J12" s="178">
        <v>210</v>
      </c>
      <c r="K12" s="270" t="s">
        <v>319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461</v>
      </c>
      <c r="R12" s="222" t="s">
        <v>280</v>
      </c>
      <c r="S12" s="11"/>
      <c r="T12" s="172" t="s">
        <v>257</v>
      </c>
      <c r="U12" s="283" t="s">
        <v>455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78">
        <v>11</v>
      </c>
      <c r="C13" s="270" t="s">
        <v>168</v>
      </c>
      <c r="D13" s="330">
        <f>_xlfn.STDEV.P(1.02, 2.92) / AVERAGE(1.02, 2.92)</f>
        <v>0.48223350253807096</v>
      </c>
      <c r="E13" s="204">
        <v>2</v>
      </c>
      <c r="F13" s="178" t="s">
        <v>268</v>
      </c>
      <c r="G13" s="297" t="s">
        <v>463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368" t="s">
        <v>272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98" t="s">
        <v>257</v>
      </c>
      <c r="C28" s="370" t="s">
        <v>296</v>
      </c>
      <c r="D28" s="298" t="s">
        <v>33</v>
      </c>
      <c r="E28" s="370" t="s">
        <v>260</v>
      </c>
      <c r="F28" s="298" t="s">
        <v>258</v>
      </c>
      <c r="G28" s="297" t="s">
        <v>262</v>
      </c>
      <c r="H28" s="371" t="s">
        <v>462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71" t="s">
        <v>462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t="s">
        <v>459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3</v>
      </c>
      <c r="G29" s="288" t="s">
        <v>267</v>
      </c>
      <c r="H29" s="297" t="s">
        <v>463</v>
      </c>
      <c r="I29" s="11"/>
      <c r="J29" s="276"/>
      <c r="K29" s="270"/>
      <c r="L29" s="204"/>
      <c r="M29" s="287"/>
      <c r="N29" s="287"/>
      <c r="O29" s="295"/>
      <c r="P29" s="295" t="s">
        <v>461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t="s">
        <v>460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3</v>
      </c>
      <c r="G30" s="289" t="s">
        <v>267</v>
      </c>
      <c r="H30" s="297" t="s">
        <v>463</v>
      </c>
      <c r="I30" s="11"/>
      <c r="J30" s="178"/>
      <c r="K30" s="270"/>
      <c r="L30" s="204"/>
      <c r="M30" s="204"/>
      <c r="N30" s="204"/>
      <c r="O30" s="297"/>
      <c r="P30" s="297" t="s">
        <v>461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424" t="s">
        <v>263</v>
      </c>
      <c r="C46" s="425"/>
      <c r="D46" s="425"/>
      <c r="E46" s="425"/>
      <c r="F46" s="425"/>
      <c r="G46" s="426"/>
      <c r="H46" s="11"/>
      <c r="I46" s="424" t="s">
        <v>278</v>
      </c>
      <c r="J46" s="425"/>
      <c r="K46" s="425"/>
      <c r="L46" s="426"/>
      <c r="M46" s="317"/>
      <c r="O46" s="368" t="s">
        <v>279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371" t="s">
        <v>462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71" t="s">
        <v>462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71" t="s">
        <v>462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6"/>
      <c r="C48" s="293"/>
      <c r="D48" s="287"/>
      <c r="E48" s="287"/>
      <c r="F48" s="295"/>
      <c r="G48" s="295" t="s">
        <v>461</v>
      </c>
      <c r="H48" s="11"/>
      <c r="I48" s="276"/>
      <c r="J48" s="287"/>
      <c r="K48" s="288"/>
      <c r="L48" s="295"/>
      <c r="M48" s="295" t="s">
        <v>461</v>
      </c>
      <c r="O48" s="276">
        <v>2000</v>
      </c>
      <c r="P48" s="329">
        <v>7.1999999999999995E-2</v>
      </c>
      <c r="Q48" s="288">
        <v>4</v>
      </c>
      <c r="R48" s="295" t="s">
        <v>268</v>
      </c>
      <c r="S48" s="295" t="s">
        <v>461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78"/>
      <c r="C49" s="270"/>
      <c r="D49" s="204"/>
      <c r="E49" s="204"/>
      <c r="F49" s="297"/>
      <c r="G49" s="297" t="s">
        <v>461</v>
      </c>
      <c r="H49" s="11"/>
      <c r="I49" s="178"/>
      <c r="J49" s="204"/>
      <c r="K49" s="289"/>
      <c r="L49" s="297"/>
      <c r="M49" s="297" t="s">
        <v>461</v>
      </c>
      <c r="O49" s="178">
        <v>3000</v>
      </c>
      <c r="P49" s="204">
        <v>0.41</v>
      </c>
      <c r="Q49" s="289">
        <v>4</v>
      </c>
      <c r="R49" s="297" t="s">
        <v>267</v>
      </c>
      <c r="S49" s="297" t="s">
        <v>461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4">
      <c r="B67" s="305" t="s">
        <v>264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4">
      <c r="B68" s="427" t="s">
        <v>273</v>
      </c>
      <c r="C68" s="428"/>
      <c r="D68" s="428"/>
      <c r="E68" s="428"/>
      <c r="F68" s="428"/>
      <c r="G68" s="266"/>
    </row>
    <row r="69" spans="2:30" ht="15" thickBot="1" x14ac:dyDescent="0.4">
      <c r="B69" s="298" t="s">
        <v>257</v>
      </c>
      <c r="C69" s="300" t="s">
        <v>33</v>
      </c>
      <c r="D69" s="301" t="s">
        <v>260</v>
      </c>
      <c r="E69" s="370" t="s">
        <v>258</v>
      </c>
      <c r="F69" s="297" t="s">
        <v>262</v>
      </c>
      <c r="G69" s="371" t="s">
        <v>462</v>
      </c>
    </row>
    <row r="70" spans="2:30" x14ac:dyDescent="0.35">
      <c r="B70" s="292">
        <v>11</v>
      </c>
      <c r="C70" s="293" t="s">
        <v>171</v>
      </c>
      <c r="D70" s="329">
        <f>_xlfn.STDEV.P(8.7,12.4) / AVERAGE(8.7,12.4)</f>
        <v>0.17535545023696644</v>
      </c>
      <c r="E70" s="293">
        <v>1</v>
      </c>
      <c r="F70" s="276" t="s">
        <v>268</v>
      </c>
      <c r="G70" s="295" t="s">
        <v>461</v>
      </c>
    </row>
    <row r="71" spans="2:30" x14ac:dyDescent="0.35">
      <c r="B71" s="178">
        <v>11</v>
      </c>
      <c r="C71" s="270" t="s">
        <v>319</v>
      </c>
      <c r="D71" s="258">
        <v>0.18</v>
      </c>
      <c r="E71" s="204">
        <v>1</v>
      </c>
      <c r="F71" s="178" t="s">
        <v>267</v>
      </c>
      <c r="G71" s="297" t="s">
        <v>461</v>
      </c>
    </row>
    <row r="72" spans="2:30" x14ac:dyDescent="0.35">
      <c r="B72" s="178">
        <v>11</v>
      </c>
      <c r="C72" s="270" t="s">
        <v>168</v>
      </c>
      <c r="D72" s="330">
        <f>_xlfn.STDEV.P(1.02, 2.92) / AVERAGE(1.02, 2.92)</f>
        <v>0.48223350253807096</v>
      </c>
      <c r="E72" s="204">
        <v>2</v>
      </c>
      <c r="F72" s="178" t="s">
        <v>268</v>
      </c>
      <c r="G72" s="297" t="s">
        <v>463</v>
      </c>
    </row>
    <row r="73" spans="2:30" x14ac:dyDescent="0.35">
      <c r="B73" s="178"/>
      <c r="C73" s="270"/>
      <c r="D73" s="204"/>
      <c r="E73" s="204"/>
      <c r="F73" s="178"/>
      <c r="G73" s="297"/>
    </row>
    <row r="74" spans="2:30" x14ac:dyDescent="0.35">
      <c r="B74" s="178"/>
      <c r="C74" s="270"/>
      <c r="D74" s="204"/>
      <c r="E74" s="204"/>
      <c r="F74" s="178"/>
      <c r="G74" s="297"/>
    </row>
    <row r="75" spans="2:30" x14ac:dyDescent="0.35">
      <c r="B75" s="178"/>
      <c r="C75" s="270"/>
      <c r="D75" s="204"/>
      <c r="E75" s="204"/>
      <c r="F75" s="178"/>
      <c r="G75" s="297"/>
    </row>
    <row r="76" spans="2:30" x14ac:dyDescent="0.35">
      <c r="B76" s="178"/>
      <c r="C76" s="270"/>
      <c r="D76" s="204"/>
      <c r="E76" s="204"/>
      <c r="F76" s="178"/>
      <c r="G76" s="297"/>
    </row>
    <row r="77" spans="2:30" x14ac:dyDescent="0.35">
      <c r="B77" s="178"/>
      <c r="C77" s="270"/>
      <c r="D77" s="204"/>
      <c r="E77" s="204"/>
      <c r="F77" s="178"/>
      <c r="G77" s="297"/>
    </row>
    <row r="78" spans="2:30" x14ac:dyDescent="0.35">
      <c r="B78" s="178"/>
      <c r="C78" s="270"/>
      <c r="D78" s="204"/>
      <c r="E78" s="204"/>
      <c r="F78" s="178"/>
      <c r="G78" s="297"/>
    </row>
    <row r="79" spans="2:30" x14ac:dyDescent="0.35">
      <c r="B79" s="178"/>
      <c r="C79" s="270"/>
      <c r="D79" s="204"/>
      <c r="E79" s="204"/>
      <c r="F79" s="178"/>
      <c r="G79" s="297"/>
    </row>
    <row r="80" spans="2:30" x14ac:dyDescent="0.35">
      <c r="B80" s="178"/>
      <c r="C80" s="270"/>
      <c r="D80" s="204"/>
      <c r="E80" s="204"/>
      <c r="F80" s="178"/>
      <c r="G80" s="297"/>
    </row>
    <row r="81" spans="2:10" x14ac:dyDescent="0.35">
      <c r="B81" s="178"/>
      <c r="C81" s="270"/>
      <c r="D81" s="204"/>
      <c r="E81" s="204"/>
      <c r="F81" s="178"/>
      <c r="G81" s="297"/>
    </row>
    <row r="82" spans="2:10" ht="15" thickBot="1" x14ac:dyDescent="0.4">
      <c r="B82" s="283"/>
      <c r="C82" s="294"/>
      <c r="D82" s="159"/>
      <c r="E82" s="159"/>
      <c r="F82" s="283"/>
      <c r="G82" s="298"/>
    </row>
    <row r="87" spans="2:10" ht="15" thickBot="1" x14ac:dyDescent="0.4">
      <c r="C87" s="432"/>
      <c r="D87" s="432"/>
      <c r="E87" s="432"/>
      <c r="F87" s="432"/>
      <c r="G87" s="432"/>
      <c r="H87" s="432"/>
      <c r="I87" s="432"/>
    </row>
    <row r="88" spans="2:10" ht="15" thickBot="1" x14ac:dyDescent="0.4">
      <c r="B88" s="430" t="s">
        <v>468</v>
      </c>
      <c r="C88" s="262" t="s">
        <v>257</v>
      </c>
      <c r="D88" s="267" t="s">
        <v>296</v>
      </c>
      <c r="E88" s="262" t="s">
        <v>33</v>
      </c>
      <c r="F88" s="267" t="s">
        <v>260</v>
      </c>
      <c r="G88" s="262" t="s">
        <v>258</v>
      </c>
      <c r="H88" s="262" t="s">
        <v>262</v>
      </c>
      <c r="I88" s="435" t="s">
        <v>462</v>
      </c>
      <c r="J88" s="429" t="s">
        <v>464</v>
      </c>
    </row>
    <row r="89" spans="2:10" x14ac:dyDescent="0.35">
      <c r="B89" s="430" t="s">
        <v>273</v>
      </c>
      <c r="C89" s="276">
        <v>220</v>
      </c>
      <c r="D89" s="287">
        <v>320</v>
      </c>
      <c r="E89" s="293" t="s">
        <v>168</v>
      </c>
      <c r="F89" s="287">
        <v>0.6</v>
      </c>
      <c r="G89" s="288">
        <v>3</v>
      </c>
      <c r="H89" s="295" t="s">
        <v>267</v>
      </c>
      <c r="I89" s="295" t="s">
        <v>463</v>
      </c>
      <c r="J89" s="172"/>
    </row>
    <row r="90" spans="2:10" x14ac:dyDescent="0.35">
      <c r="B90" s="172" t="s">
        <v>273</v>
      </c>
      <c r="C90" s="178">
        <v>230</v>
      </c>
      <c r="D90" s="432">
        <v>330</v>
      </c>
      <c r="E90" s="434" t="s">
        <v>168</v>
      </c>
      <c r="F90" s="432">
        <v>0.19</v>
      </c>
      <c r="G90" s="289">
        <v>3</v>
      </c>
      <c r="H90" s="297" t="s">
        <v>267</v>
      </c>
      <c r="I90" s="297" t="s">
        <v>463</v>
      </c>
      <c r="J90" s="172"/>
    </row>
    <row r="91" spans="2:10" x14ac:dyDescent="0.35">
      <c r="B91" s="172"/>
      <c r="C91" s="178"/>
      <c r="D91" s="432"/>
      <c r="E91" s="434"/>
      <c r="F91" s="432"/>
      <c r="G91" s="289"/>
      <c r="H91" s="297"/>
      <c r="I91" s="297"/>
      <c r="J91" s="172"/>
    </row>
    <row r="92" spans="2:10" x14ac:dyDescent="0.35">
      <c r="B92" s="172"/>
      <c r="C92" s="89"/>
      <c r="D92" s="433"/>
      <c r="E92" s="434"/>
      <c r="F92" s="432"/>
      <c r="G92" s="289"/>
      <c r="H92" s="297"/>
      <c r="I92" s="297"/>
      <c r="J92" s="172"/>
    </row>
    <row r="93" spans="2:10" x14ac:dyDescent="0.35">
      <c r="B93" s="172"/>
      <c r="C93" s="178"/>
      <c r="D93" s="433"/>
      <c r="E93" s="434"/>
      <c r="F93" s="432"/>
      <c r="G93" s="289"/>
      <c r="H93" s="297"/>
      <c r="I93" s="297"/>
      <c r="J93" s="172"/>
    </row>
    <row r="94" spans="2:10" x14ac:dyDescent="0.35">
      <c r="B94" s="172"/>
      <c r="C94" s="178"/>
      <c r="D94" s="433"/>
      <c r="E94" s="434"/>
      <c r="F94" s="432"/>
      <c r="G94" s="289"/>
      <c r="H94" s="297"/>
      <c r="I94" s="297"/>
      <c r="J94" s="172"/>
    </row>
    <row r="95" spans="2:10" x14ac:dyDescent="0.35">
      <c r="B95" s="172"/>
      <c r="C95" s="178"/>
      <c r="D95" s="433"/>
      <c r="E95" s="434"/>
      <c r="F95" s="432"/>
      <c r="G95" s="289"/>
      <c r="H95" s="297"/>
      <c r="I95" s="297"/>
      <c r="J95" s="172"/>
    </row>
    <row r="96" spans="2:10" x14ac:dyDescent="0.35">
      <c r="B96" s="172"/>
      <c r="C96" s="178"/>
      <c r="D96" s="433"/>
      <c r="E96" s="434"/>
      <c r="F96" s="432"/>
      <c r="G96" s="289"/>
      <c r="H96" s="297"/>
      <c r="I96" s="297"/>
      <c r="J96" s="172"/>
    </row>
    <row r="97" spans="2:10" x14ac:dyDescent="0.35">
      <c r="B97" s="172"/>
      <c r="C97" s="178"/>
      <c r="D97" s="433"/>
      <c r="E97" s="434"/>
      <c r="F97" s="432"/>
      <c r="G97" s="289"/>
      <c r="H97" s="297"/>
      <c r="I97" s="297"/>
      <c r="J97" s="172"/>
    </row>
    <row r="98" spans="2:10" x14ac:dyDescent="0.35">
      <c r="B98" s="172"/>
      <c r="C98" s="178"/>
      <c r="D98" s="433"/>
      <c r="E98" s="434"/>
      <c r="F98" s="432"/>
      <c r="G98" s="289"/>
      <c r="H98" s="297"/>
      <c r="I98" s="297"/>
      <c r="J98" s="172"/>
    </row>
    <row r="99" spans="2:10" x14ac:dyDescent="0.35">
      <c r="B99" s="172"/>
      <c r="C99" s="325"/>
      <c r="D99" s="433"/>
      <c r="E99" s="434"/>
      <c r="F99" s="432"/>
      <c r="G99" s="289"/>
      <c r="H99" s="297"/>
      <c r="I99" s="297"/>
      <c r="J99" s="172"/>
    </row>
    <row r="100" spans="2:10" x14ac:dyDescent="0.35">
      <c r="B100" s="172"/>
      <c r="C100" s="178"/>
      <c r="D100" s="433"/>
      <c r="E100" s="434"/>
      <c r="F100" s="432"/>
      <c r="G100" s="289"/>
      <c r="H100" s="297"/>
      <c r="I100" s="297"/>
      <c r="J100" s="172"/>
    </row>
    <row r="101" spans="2:10" x14ac:dyDescent="0.35">
      <c r="B101" s="172"/>
      <c r="C101" s="178"/>
      <c r="D101" s="433"/>
      <c r="E101" s="432"/>
      <c r="F101" s="432"/>
      <c r="G101" s="289"/>
      <c r="H101" s="297"/>
      <c r="I101" s="297"/>
      <c r="J101" s="172"/>
    </row>
    <row r="102" spans="2:10" x14ac:dyDescent="0.35">
      <c r="B102" s="172"/>
      <c r="C102" s="89"/>
      <c r="D102" s="433"/>
      <c r="E102" s="433"/>
      <c r="F102" s="433"/>
      <c r="G102" s="88"/>
      <c r="H102" s="297"/>
      <c r="I102" s="172"/>
      <c r="J102" s="172"/>
    </row>
    <row r="103" spans="2:10" x14ac:dyDescent="0.35">
      <c r="B103" s="172"/>
      <c r="C103" s="89"/>
      <c r="D103" s="433"/>
      <c r="E103" s="433"/>
      <c r="F103" s="433"/>
      <c r="G103" s="88"/>
      <c r="H103" s="297"/>
      <c r="I103" s="172"/>
      <c r="J103" s="172"/>
    </row>
    <row r="104" spans="2:10" x14ac:dyDescent="0.35">
      <c r="B104" s="172"/>
      <c r="C104" s="89"/>
      <c r="D104" s="433"/>
      <c r="E104" s="433"/>
      <c r="F104" s="433"/>
      <c r="G104" s="88"/>
      <c r="H104" s="297"/>
      <c r="I104" s="172"/>
      <c r="J104" s="172"/>
    </row>
    <row r="105" spans="2:10" x14ac:dyDescent="0.35">
      <c r="B105" s="172"/>
      <c r="C105" s="89"/>
      <c r="D105" s="433"/>
      <c r="E105" s="433"/>
      <c r="F105" s="433"/>
      <c r="G105" s="88"/>
      <c r="H105" s="297"/>
      <c r="I105" s="172"/>
      <c r="J105" s="172"/>
    </row>
    <row r="106" spans="2:10" x14ac:dyDescent="0.35">
      <c r="B106" s="172"/>
      <c r="C106" s="89"/>
      <c r="D106" s="433"/>
      <c r="E106" s="433"/>
      <c r="F106" s="433"/>
      <c r="G106" s="88"/>
      <c r="H106" s="297"/>
      <c r="I106" s="172"/>
      <c r="J106" s="172"/>
    </row>
    <row r="107" spans="2:10" x14ac:dyDescent="0.35">
      <c r="B107" s="172"/>
      <c r="C107" s="89"/>
      <c r="D107" s="433"/>
      <c r="E107" s="433"/>
      <c r="F107" s="433"/>
      <c r="G107" s="88"/>
      <c r="H107" s="297"/>
      <c r="I107" s="172"/>
      <c r="J107" s="172"/>
    </row>
    <row r="108" spans="2:10" x14ac:dyDescent="0.35">
      <c r="B108" s="172"/>
      <c r="C108" s="89"/>
      <c r="D108" s="433"/>
      <c r="E108" s="433"/>
      <c r="F108" s="433"/>
      <c r="G108" s="88"/>
      <c r="H108" s="297"/>
      <c r="I108" s="172"/>
      <c r="J108" s="172"/>
    </row>
    <row r="109" spans="2:10" x14ac:dyDescent="0.35">
      <c r="B109" s="172"/>
      <c r="C109" s="89"/>
      <c r="D109" s="433"/>
      <c r="E109" s="433"/>
      <c r="F109" s="433"/>
      <c r="G109" s="88"/>
      <c r="H109" s="297"/>
      <c r="I109" s="172"/>
      <c r="J109" s="172"/>
    </row>
    <row r="110" spans="2:10" x14ac:dyDescent="0.35">
      <c r="B110" s="172"/>
      <c r="C110" s="89"/>
      <c r="D110" s="433"/>
      <c r="E110" s="433"/>
      <c r="F110" s="433"/>
      <c r="G110" s="88"/>
      <c r="H110" s="297"/>
      <c r="I110" s="172"/>
      <c r="J110" s="172"/>
    </row>
    <row r="111" spans="2:10" x14ac:dyDescent="0.35">
      <c r="B111" s="172"/>
      <c r="C111" s="89"/>
      <c r="D111" s="433"/>
      <c r="E111" s="433"/>
      <c r="F111" s="433"/>
      <c r="G111" s="88"/>
      <c r="H111" s="297"/>
      <c r="I111" s="172"/>
      <c r="J111" s="172"/>
    </row>
    <row r="112" spans="2:10" x14ac:dyDescent="0.35">
      <c r="B112" s="172"/>
      <c r="C112" s="89"/>
      <c r="D112" s="433"/>
      <c r="E112" s="433"/>
      <c r="F112" s="433"/>
      <c r="G112" s="88"/>
      <c r="H112" s="297"/>
      <c r="I112" s="172"/>
      <c r="J112" s="172"/>
    </row>
    <row r="113" spans="2:10" x14ac:dyDescent="0.35">
      <c r="B113" s="172"/>
      <c r="C113" s="89"/>
      <c r="D113" s="433"/>
      <c r="E113" s="433"/>
      <c r="F113" s="433"/>
      <c r="G113" s="88"/>
      <c r="H113" s="297"/>
      <c r="I113" s="172"/>
      <c r="J113" s="172"/>
    </row>
    <row r="114" spans="2:10" x14ac:dyDescent="0.35">
      <c r="B114" s="172"/>
      <c r="C114" s="89"/>
      <c r="D114" s="433"/>
      <c r="E114" s="433"/>
      <c r="F114" s="433"/>
      <c r="G114" s="88"/>
      <c r="H114" s="297"/>
      <c r="I114" s="172"/>
      <c r="J114" s="172"/>
    </row>
    <row r="115" spans="2:10" ht="15" thickBot="1" x14ac:dyDescent="0.4">
      <c r="B115" s="173"/>
      <c r="C115" s="263"/>
      <c r="D115" s="90"/>
      <c r="E115" s="90"/>
      <c r="F115" s="90"/>
      <c r="G115" s="142"/>
      <c r="H115" s="142"/>
      <c r="I115" s="173"/>
      <c r="J115" s="173"/>
    </row>
    <row r="116" spans="2:10" x14ac:dyDescent="0.35">
      <c r="B116" s="431"/>
      <c r="C116" s="431"/>
      <c r="D116" s="431"/>
      <c r="E116" s="431"/>
      <c r="F116" s="431"/>
      <c r="G116" s="431"/>
      <c r="H116" s="431"/>
      <c r="I116" s="431"/>
    </row>
    <row r="117" spans="2:10" x14ac:dyDescent="0.35">
      <c r="B117" s="431"/>
      <c r="C117" s="431"/>
      <c r="D117" s="431"/>
      <c r="E117" s="431"/>
      <c r="F117" s="431"/>
      <c r="G117" s="431"/>
      <c r="H117" s="431"/>
      <c r="I117" s="431"/>
    </row>
    <row r="118" spans="2:10" x14ac:dyDescent="0.35">
      <c r="B118" s="431"/>
      <c r="C118" s="431"/>
      <c r="D118" s="431"/>
      <c r="E118" s="431"/>
      <c r="F118" s="431"/>
      <c r="G118" s="431"/>
      <c r="H118" s="431"/>
      <c r="I118" s="431"/>
    </row>
    <row r="119" spans="2:10" x14ac:dyDescent="0.35">
      <c r="B119" s="431"/>
      <c r="C119" s="431"/>
      <c r="D119" s="431"/>
      <c r="E119" s="431"/>
      <c r="F119" s="431"/>
      <c r="G119" s="431"/>
      <c r="H119" s="431"/>
      <c r="I119" s="431"/>
    </row>
    <row r="120" spans="2:10" x14ac:dyDescent="0.35">
      <c r="B120" s="431"/>
      <c r="C120" s="431"/>
      <c r="D120" s="431"/>
      <c r="E120" s="431"/>
      <c r="F120" s="431"/>
      <c r="G120" s="431"/>
      <c r="H120" s="431"/>
      <c r="I120" s="431"/>
    </row>
    <row r="121" spans="2:10" x14ac:dyDescent="0.35">
      <c r="B121" s="431"/>
      <c r="C121" s="431"/>
      <c r="D121" s="431"/>
      <c r="E121" s="431"/>
      <c r="F121" s="431"/>
      <c r="G121" s="431"/>
      <c r="H121" s="431"/>
      <c r="I121" s="431"/>
    </row>
    <row r="122" spans="2:10" x14ac:dyDescent="0.35">
      <c r="B122" s="431"/>
      <c r="C122" s="431"/>
      <c r="D122" s="431"/>
      <c r="E122" s="431"/>
      <c r="F122" s="431"/>
      <c r="G122" s="431"/>
      <c r="H122" s="431"/>
      <c r="I122" s="431"/>
    </row>
    <row r="123" spans="2:10" x14ac:dyDescent="0.35">
      <c r="B123" s="431"/>
      <c r="C123" s="431"/>
      <c r="D123" s="431"/>
      <c r="E123" s="431"/>
      <c r="F123" s="431"/>
      <c r="G123" s="431"/>
      <c r="H123" s="431"/>
      <c r="I123" s="431"/>
    </row>
    <row r="124" spans="2:10" x14ac:dyDescent="0.35">
      <c r="B124" s="431"/>
      <c r="C124" s="431"/>
      <c r="D124" s="431"/>
      <c r="E124" s="431"/>
      <c r="F124" s="431"/>
      <c r="G124" s="431"/>
      <c r="H124" s="431"/>
      <c r="I124" s="431"/>
    </row>
    <row r="125" spans="2:10" x14ac:dyDescent="0.35">
      <c r="B125" s="431"/>
      <c r="C125" s="431"/>
      <c r="D125" s="431"/>
      <c r="E125" s="431"/>
      <c r="F125" s="431"/>
      <c r="G125" s="431"/>
      <c r="H125" s="431"/>
      <c r="I125" s="431"/>
    </row>
    <row r="126" spans="2:10" x14ac:dyDescent="0.35">
      <c r="B126" s="431"/>
      <c r="C126" s="431"/>
      <c r="D126" s="431"/>
      <c r="E126" s="431"/>
      <c r="F126" s="431"/>
      <c r="G126" s="431"/>
      <c r="H126" s="431"/>
      <c r="I126" s="431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91" zoomScaleNormal="91" workbookViewId="0">
      <selection activeCell="L29" sqref="L2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8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381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317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317</v>
      </c>
      <c r="O14" s="71"/>
      <c r="P14" s="71"/>
      <c r="Q14" s="66"/>
      <c r="R14" s="5"/>
      <c r="S14" s="99">
        <v>110</v>
      </c>
      <c r="T14" s="71" t="s">
        <v>319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319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319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317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319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316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4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26" t="s">
        <v>326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>
        <v>250</v>
      </c>
      <c r="E34" s="5" t="s">
        <v>327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 t="s">
        <v>329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330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34" t="s">
        <v>443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444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44" t="s">
        <v>445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/>
      <c r="E47" s="6"/>
      <c r="F47" s="6"/>
      <c r="G47" s="6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317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319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319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317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26" t="s">
        <v>331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26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332" t="s">
        <v>323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37" zoomScale="75" zoomScaleNormal="47" workbookViewId="0">
      <selection activeCell="C75" sqref="C7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20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319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319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 x14ac:dyDescent="0.3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 t="s">
        <v>333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26" t="s">
        <v>332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324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26" t="s">
        <v>322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topLeftCell="A18" zoomScale="58" zoomScaleNormal="58" workbookViewId="0">
      <selection activeCell="D75" sqref="D7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9.542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9" style="3" bestFit="1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341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340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319</v>
      </c>
      <c r="AI10" s="121">
        <v>6</v>
      </c>
      <c r="AJ10" s="123">
        <v>-1</v>
      </c>
      <c r="AK10" s="111"/>
      <c r="AL10" s="124">
        <v>6</v>
      </c>
      <c r="AM10" s="125" t="s">
        <v>319</v>
      </c>
      <c r="AN10" s="126">
        <v>0.6</v>
      </c>
      <c r="AO10" s="83"/>
    </row>
    <row r="11" spans="3:41" ht="19" thickBot="1" x14ac:dyDescent="0.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319</v>
      </c>
      <c r="AD11" s="102"/>
      <c r="AE11" s="71"/>
      <c r="AF11" s="104"/>
      <c r="AG11" s="116"/>
      <c r="AH11" s="122" t="s">
        <v>340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316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317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340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335" t="s">
        <v>356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26" t="s">
        <v>334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 t="s">
        <v>335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 t="s">
        <v>336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 t="s">
        <v>337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3" t="s">
        <v>338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" t="s">
        <v>339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11" t="s">
        <v>343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349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344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>
        <v>5</v>
      </c>
      <c r="E47" s="5" t="s">
        <v>345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>
        <v>4</v>
      </c>
      <c r="E48" s="5" t="s">
        <v>346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>
        <f>5/(4*3600)</f>
        <v>3.4722222222222224E-4</v>
      </c>
      <c r="E49" s="5" t="s">
        <v>347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>
        <f>D49*D48</f>
        <v>1.3888888888888889E-3</v>
      </c>
      <c r="E50" s="5" t="s">
        <v>348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35">
      <c r="D75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37" zoomScale="98" zoomScaleNormal="98" workbookViewId="0">
      <selection activeCell="D74" sqref="D7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32.179687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 x14ac:dyDescent="0.4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5">
      <c r="A6" s="5"/>
      <c r="B6" s="5"/>
      <c r="C6" s="82"/>
      <c r="D6" s="5"/>
      <c r="E6" s="5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83"/>
    </row>
    <row r="7" spans="1:37" ht="15" thickBot="1" x14ac:dyDescent="0.4">
      <c r="A7" s="5"/>
      <c r="B7" s="5"/>
      <c r="C7" s="82"/>
      <c r="AK7" s="83"/>
    </row>
    <row r="8" spans="1:37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 x14ac:dyDescent="0.45">
      <c r="A10" s="5"/>
      <c r="B10" s="5"/>
      <c r="C10" s="82"/>
      <c r="D10" s="63" t="s">
        <v>1</v>
      </c>
      <c r="E10" s="64" t="s">
        <v>449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 x14ac:dyDescent="0.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 x14ac:dyDescent="0.45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5">
      <c r="A30" s="5"/>
      <c r="B30" s="5"/>
      <c r="C30" s="82"/>
      <c r="D30" s="335" t="s">
        <v>356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 x14ac:dyDescent="0.3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5">
      <c r="A33" s="5"/>
      <c r="B33" s="5"/>
      <c r="C33" s="82"/>
      <c r="D33" s="5" t="s">
        <v>353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5">
      <c r="A34" s="5"/>
      <c r="B34" s="5"/>
      <c r="C34" s="82"/>
      <c r="D34" s="326" t="s">
        <v>350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5">
      <c r="A35" s="5"/>
      <c r="B35" s="5"/>
      <c r="C35" s="82"/>
      <c r="D35" s="5" t="s">
        <v>351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5">
      <c r="A36" s="5"/>
      <c r="B36" s="5"/>
      <c r="C36" s="82"/>
      <c r="D36" s="5" t="s">
        <v>352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5">
      <c r="A39" s="5"/>
      <c r="B39" s="5"/>
      <c r="C39" s="82"/>
      <c r="D39" s="5" t="s">
        <v>354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5">
      <c r="A40" s="5"/>
      <c r="B40" s="5"/>
      <c r="C40" s="82"/>
      <c r="D40" s="5" t="s">
        <v>355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5">
      <c r="A41" s="5"/>
      <c r="B41" s="5"/>
      <c r="C41" s="82"/>
      <c r="D41" s="326" t="s">
        <v>350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21" zoomScale="75" zoomScaleNormal="47" workbookViewId="0">
      <selection activeCell="D73" sqref="D7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317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319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 x14ac:dyDescent="0.4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 x14ac:dyDescent="0.4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317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319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34" zoomScale="75" zoomScaleNormal="47" workbookViewId="0">
      <selection activeCell="C84" sqref="C8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1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348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49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317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319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317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319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391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48">
        <f xml:space="preserve"> 183628/1000000</f>
        <v>0.18362800000000001</v>
      </c>
      <c r="E35" s="5" t="s">
        <v>392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500</v>
      </c>
      <c r="E36" s="5" t="s">
        <v>393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51" t="s">
        <v>394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>
        <v>718</v>
      </c>
      <c r="E38" s="5" t="s">
        <v>365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50" t="s">
        <v>395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f>D38*D36/1000</f>
        <v>359</v>
      </c>
      <c r="E40" s="3" t="s">
        <v>396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" t="s">
        <v>397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>
        <v>5</v>
      </c>
      <c r="E42" s="5" t="s">
        <v>390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 x14ac:dyDescent="0.4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2.5000000000000001E-2</v>
      </c>
      <c r="E48" s="5" t="s">
        <v>398</v>
      </c>
      <c r="F48" s="93">
        <f>530*3/60</f>
        <v>26.5</v>
      </c>
      <c r="G48" s="93" t="s">
        <v>399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352">
        <f>D48/D40</f>
        <v>6.9637883008356549E-5</v>
      </c>
      <c r="E49" s="3" t="s">
        <v>400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 x14ac:dyDescent="0.45">
      <c r="A52" s="5"/>
      <c r="B52" s="5"/>
      <c r="C52" s="82"/>
      <c r="D52" s="338" t="s">
        <v>386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326" t="s">
        <v>388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5">
        <v>2.1</v>
      </c>
      <c r="E54" s="5" t="s">
        <v>387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>
        <v>9.6</v>
      </c>
      <c r="E55" s="5" t="s">
        <v>387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3">
        <f>AVERAGE(D54:D55)</f>
        <v>5.85</v>
      </c>
      <c r="E56" s="3" t="s">
        <v>374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348">
        <f>_xlfn.STDEV.P(D54:D55)/AVERAGE(D54:D55)*100</f>
        <v>64.102564102564102</v>
      </c>
      <c r="E57" s="5" t="s">
        <v>372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 t="s">
        <v>375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>
        <f>(1.02 + 2.92)/(2*100)</f>
        <v>1.9699999999999999E-2</v>
      </c>
      <c r="E60" s="5" t="s">
        <v>376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3" t="s">
        <v>389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>
        <f>D60/0.2</f>
        <v>9.849999999999999E-2</v>
      </c>
      <c r="E62" s="5" t="s">
        <v>377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 t="s">
        <v>378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3">
        <f>D64*100</f>
        <v>5.9390862944162439</v>
      </c>
      <c r="E65" s="3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A40"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348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2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317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319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317</v>
      </c>
      <c r="J18" s="210" t="s">
        <v>176</v>
      </c>
      <c r="K18" s="5"/>
      <c r="L18" s="5"/>
      <c r="M18" s="73"/>
      <c r="N18" s="105" t="s">
        <v>316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319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363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>
        <v>3023813</v>
      </c>
      <c r="E35" s="5" t="s">
        <v>364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 t="s">
        <v>401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">
        <v>718</v>
      </c>
      <c r="E37" s="5" t="s">
        <v>365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">
        <v>718</v>
      </c>
      <c r="E39" s="3" t="s">
        <v>367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v>100</v>
      </c>
      <c r="E40" s="3" t="s">
        <v>361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 x14ac:dyDescent="0.4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344" t="s">
        <v>358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v>0.1</v>
      </c>
      <c r="E46" s="5" t="s">
        <v>360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44" t="s">
        <v>359</v>
      </c>
      <c r="E47" s="5"/>
      <c r="F47" s="6"/>
      <c r="G47" s="6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100</v>
      </c>
      <c r="E48" s="5" t="s">
        <v>361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3">
        <f>0.1*100/(60)</f>
        <v>0.16666666666666666</v>
      </c>
      <c r="E50" s="3" t="s">
        <v>402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3">
        <f>D50*D37/1000</f>
        <v>0.11966666666666666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 x14ac:dyDescent="0.35">
      <c r="A53" s="5"/>
      <c r="B53" s="5"/>
      <c r="C53" s="82"/>
      <c r="D53" s="346" t="s">
        <v>369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t="s">
        <v>368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 x14ac:dyDescent="0.35">
      <c r="A55" s="5"/>
      <c r="B55" s="5"/>
      <c r="C55" s="82"/>
      <c r="D55" s="9" t="s">
        <v>370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 t="s">
        <v>371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>
        <v>6.3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>
        <v>9.3000000000000007</v>
      </c>
      <c r="E58" s="5" t="s">
        <v>373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3">
        <f>AVERAGE(D57:D58)</f>
        <v>7.8000000000000007</v>
      </c>
      <c r="E59" s="3" t="s">
        <v>374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348">
        <f>_xlfn.STDEV.P(D57:D58)/AVERAGE(D57:D58)*100</f>
        <v>19.230769230769198</v>
      </c>
      <c r="E60" s="5" t="s">
        <v>372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 t="s">
        <v>375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>
        <f>(1.02 + 2.92)/(2*100)</f>
        <v>1.9699999999999999E-2</v>
      </c>
      <c r="E63" s="5" t="s">
        <v>376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 t="s">
        <v>389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>
        <f>D63/0.2</f>
        <v>9.849999999999999E-2</v>
      </c>
      <c r="E65" s="5" t="s">
        <v>377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 t="s">
        <v>378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3">
        <f>D67*100</f>
        <v>7.9187817258883255</v>
      </c>
      <c r="E68" s="3" t="s">
        <v>379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5"/>
      <c r="D69" s="5" t="s">
        <v>380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 x14ac:dyDescent="0.4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 x14ac:dyDescent="0.4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 x14ac:dyDescent="0.4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 t="s">
        <v>362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44" t="s">
        <v>403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405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406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409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 x14ac:dyDescent="0.4">
      <c r="A40" s="5"/>
      <c r="B40" s="5"/>
      <c r="C40" s="82"/>
      <c r="D40" s="354">
        <v>4.1859999999999999</v>
      </c>
      <c r="E40" s="5" t="s">
        <v>407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>
        <f>D40*(100-25)</f>
        <v>313.95</v>
      </c>
      <c r="E41" s="5" t="s">
        <v>408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410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55">
        <v>2257</v>
      </c>
      <c r="E43" s="5" t="s">
        <v>408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 t="s">
        <v>411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f>D43 + D41</f>
        <v>2570.9499999999998</v>
      </c>
      <c r="E46" s="5" t="s">
        <v>408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 t="s">
        <v>413</v>
      </c>
      <c r="E47" s="6"/>
      <c r="F47" s="6"/>
      <c r="G47" s="6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 t="s">
        <v>414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>
        <f>D46/(8*3600)</f>
        <v>8.9269097222222218E-2</v>
      </c>
      <c r="E50" s="345" t="s">
        <v>415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>
        <f>D50</f>
        <v>8.9269097222222218E-2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 t="s">
        <v>416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" thickBot="1" x14ac:dyDescent="0.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319</v>
      </c>
      <c r="AN11" s="127">
        <v>0.6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319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319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44" t="s">
        <v>417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356" t="s">
        <v>335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5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356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357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357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 x14ac:dyDescent="0.4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58" t="s">
        <v>419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 t="s">
        <v>420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421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422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3">
        <f>AVERAGE(0.46, 0.26)</f>
        <v>0.36</v>
      </c>
      <c r="E47" s="5" t="s">
        <v>423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348">
        <f>_xlfn.STDEV.P(0.46, 0.26)/D47</f>
        <v>0.2777777777777779</v>
      </c>
      <c r="E48" s="5" t="s">
        <v>424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 x14ac:dyDescent="0.4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11" t="s">
        <v>343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326" t="s">
        <v>349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344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>
        <v>5</v>
      </c>
      <c r="E57" s="5" t="s">
        <v>345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>
        <v>4</v>
      </c>
      <c r="E58" s="5" t="s">
        <v>346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>
        <f>5/(4*3600)</f>
        <v>3.4722222222222224E-4</v>
      </c>
      <c r="E59" s="5" t="s">
        <v>347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>
        <f>D59*D58</f>
        <v>1.3888888888888889E-3</v>
      </c>
      <c r="E60" s="5" t="s">
        <v>348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35">
      <c r="D89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0.17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257" t="s">
        <v>447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348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5" x14ac:dyDescent="0.45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317</v>
      </c>
      <c r="AN12" s="127">
        <v>0.6</v>
      </c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317</v>
      </c>
      <c r="O13" s="121" t="s">
        <v>317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319</v>
      </c>
      <c r="AN13" s="114">
        <v>0.2</v>
      </c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319</v>
      </c>
      <c r="O16" s="71" t="s">
        <v>319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317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317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319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 t="s">
        <v>426</v>
      </c>
      <c r="E45" s="360">
        <v>100</v>
      </c>
      <c r="F45" s="5" t="s">
        <v>327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425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 t="s">
        <v>427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 t="s">
        <v>428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 t="s">
        <v>432</v>
      </c>
      <c r="E50" s="5">
        <v>260</v>
      </c>
      <c r="F50" s="5" t="s">
        <v>433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 t="s">
        <v>429</v>
      </c>
      <c r="E52" s="5">
        <f>E49*(E45*E46)</f>
        <v>2640</v>
      </c>
      <c r="F52" s="5" t="s">
        <v>398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 t="s">
        <v>430</v>
      </c>
      <c r="E53" s="5">
        <f>E49*(E45*E47)</f>
        <v>33000</v>
      </c>
      <c r="F53" s="5" t="s">
        <v>398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 t="s">
        <v>431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 t="s">
        <v>429</v>
      </c>
      <c r="E55" s="347">
        <f>E52/260/1000</f>
        <v>1.0153846153846154E-2</v>
      </c>
      <c r="F55" s="5" t="s">
        <v>434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430</v>
      </c>
      <c r="E56" s="361">
        <f>E53/E50/1000</f>
        <v>0.12692307692307692</v>
      </c>
      <c r="F56" s="5" t="s">
        <v>434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5">
      <c r="D76" s="336" t="s">
        <v>435</v>
      </c>
    </row>
    <row r="77" spans="3:41" x14ac:dyDescent="0.35">
      <c r="D77" s="3" t="s">
        <v>442</v>
      </c>
    </row>
    <row r="95" spans="4:6" x14ac:dyDescent="0.35">
      <c r="D95" s="3" t="s">
        <v>412</v>
      </c>
    </row>
    <row r="96" spans="4:6" x14ac:dyDescent="0.35">
      <c r="D96" s="3" t="s">
        <v>436</v>
      </c>
      <c r="E96" s="3">
        <v>7.1699999999999997E-4</v>
      </c>
      <c r="F96" s="3" t="s">
        <v>437</v>
      </c>
    </row>
    <row r="97" spans="4:6" x14ac:dyDescent="0.35">
      <c r="D97" s="3" t="s">
        <v>438</v>
      </c>
      <c r="E97" s="3">
        <v>190</v>
      </c>
      <c r="F97" s="3" t="s">
        <v>439</v>
      </c>
    </row>
    <row r="98" spans="4:6" x14ac:dyDescent="0.35">
      <c r="D98" s="3" t="s">
        <v>440</v>
      </c>
      <c r="E98" s="3">
        <f>E97*E96</f>
        <v>0.13622999999999999</v>
      </c>
      <c r="F98" s="3" t="s">
        <v>441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5" x14ac:dyDescent="0.45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 x14ac:dyDescent="0.4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 x14ac:dyDescent="0.45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35">
      <c r="D82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5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446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" thickBot="1" x14ac:dyDescent="0.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35">
      <c r="D86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2024-02-05T14:45:53Z</dcterms:modified>
</cp:coreProperties>
</file>