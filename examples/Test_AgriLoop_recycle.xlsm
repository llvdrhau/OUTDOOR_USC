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B1861390-D9A9-419E-9A09-ADF63CFC42ED}" xr6:coauthVersionLast="47" xr6:coauthVersionMax="47" xr10:uidLastSave="{00000000-0000-0000-0000-000000000000}"/>
  <bookViews>
    <workbookView xWindow="-110" yWindow="-110" windowWidth="19420" windowHeight="10300" tabRatio="609" firstSheet="7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Distributor" sheetId="119" r:id="rId10"/>
    <sheet name="Microwave assisted extraction" sheetId="125" r:id="rId11"/>
    <sheet name="recovery" sheetId="13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15" l="1"/>
  <c r="H13" i="115"/>
  <c r="E27" i="132"/>
  <c r="J12" i="132"/>
  <c r="E27" i="125"/>
  <c r="E27" i="121"/>
  <c r="E26" i="103"/>
  <c r="E27" i="120"/>
  <c r="E27" i="90"/>
  <c r="E27" i="83"/>
  <c r="J12" i="125"/>
  <c r="J12" i="121"/>
  <c r="J12" i="120"/>
  <c r="J11" i="103"/>
  <c r="J12" i="90"/>
  <c r="J12" i="83"/>
  <c r="F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<sst xmlns="http://schemas.openxmlformats.org/spreadsheetml/2006/main" count="925" uniqueCount="210">
  <si>
    <t>Value</t>
  </si>
  <si>
    <t>Name</t>
  </si>
  <si>
    <t>Faktor</t>
  </si>
  <si>
    <t>Nummer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</si>
  <si>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</si>
  <si>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</si>
  <si>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</si>
  <si>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</si>
  <si>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</si>
  <si>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</si>
  <si>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</si>
  <si>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</si>
  <si>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</si>
  <si>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 xml:space="preserve">Detailgrad </t>
  </si>
  <si>
    <t>Productload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</si>
  <si>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</si>
  <si>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</si>
  <si>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</si>
  <si>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</si>
  <si>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</si>
  <si>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</si>
  <si>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</si>
  <si>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</si>
  <si>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b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</si>
  <si>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</si>
  <si>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</si>
  <si>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</si>
  <si>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</si>
  <si>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</si>
  <si>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</si>
  <si>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</si>
  <si>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</si>
  <si>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</si>
  <si>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</si>
  <si>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</si>
  <si>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</si>
  <si>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</si>
  <si>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</si>
  <si>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</si>
  <si>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</si>
  <si>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</si>
  <si>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</si>
  <si>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</si>
  <si>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</si>
  <si>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</si>
  <si>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</si>
  <si>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</si>
  <si>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</si>
  <si>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</si>
  <si>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</si>
  <si>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</si>
  <si>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</si>
  <si>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</si>
  <si>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</si>
  <si>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</si>
  <si>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</si>
  <si>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</si>
  <si>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</si>
  <si>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</si>
  <si>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</si>
  <si>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</si>
  <si>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</si>
  <si>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</si>
  <si>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</si>
  <si>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</si>
  <si>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</si>
  <si>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</si>
  <si>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</si>
  <si>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</si>
  <si>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</si>
  <si>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</si>
  <si>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</si>
  <si>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</si>
  <si>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</si>
  <si>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</si>
  <si>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</si>
  <si>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</si>
  <si>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</si>
  <si>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</si>
  <si>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</si>
  <si>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</si>
  <si>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</si>
  <si>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</si>
  <si>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</si>
  <si>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</si>
  <si>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</si>
  <si>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</si>
  <si>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</si>
  <si>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</si>
  <si>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</si>
  <si>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</si>
  <si>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</si>
  <si>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</si>
  <si>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</si>
  <si>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</si>
  <si>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</si>
  <si>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</si>
  <si>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</si>
  <si>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</si>
  <si>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</si>
  <si>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</si>
  <si>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</si>
  <si>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</si>
  <si>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</si>
  <si>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</si>
  <si>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</si>
  <si>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FIN_M</t>
  </si>
  <si>
    <t>FOUT_M</t>
  </si>
  <si>
    <t>Distributors</t>
  </si>
  <si>
    <t>Targets</t>
  </si>
  <si>
    <t>Decimal place</t>
  </si>
  <si>
    <t>MinProduction</t>
  </si>
  <si>
    <t>MaxProduction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</si>
  <si>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</si>
  <si>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</si>
  <si>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</si>
  <si>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</si>
  <si>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</si>
  <si>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</si>
  <si>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</si>
  <si>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</si>
  <si>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</si>
  <si>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</si>
  <si>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</si>
  <si>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</si>
  <si>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</si>
  <si>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</si>
  <si>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</si>
  <si>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</si>
  <si>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</si>
  <si>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</si>
  <si>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</si>
  <si>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</si>
  <si>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</si>
  <si>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</si>
  <si>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</si>
  <si>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</si>
  <si>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</si>
  <si>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</si>
  <si>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</si>
  <si>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</si>
  <si>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</si>
  <si>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</si>
  <si>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</si>
  <si>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</si>
  <si>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</si>
  <si>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</si>
  <si>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</si>
  <si>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</si>
  <si>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</si>
  <si>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</si>
  <si>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</si>
  <si>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</si>
  <si>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</si>
  <si>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</si>
  <si>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</si>
  <si>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</si>
  <si>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</si>
  <si>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</si>
  <si>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</si>
  <si>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</si>
  <si>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</si>
  <si>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</si>
  <si>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</si>
  <si>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</si>
  <si>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</si>
  <si>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</si>
  <si>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</si>
  <si>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</si>
  <si>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</si>
  <si>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</si>
  <si>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</si>
  <si>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</si>
  <si>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</si>
  <si>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</si>
  <si>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</si>
  <si>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</si>
  <si>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</si>
  <si>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</si>
  <si>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</si>
  <si>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</si>
  <si>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</si>
  <si>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</si>
  <si>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</si>
  <si>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</si>
  <si>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</si>
  <si>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</si>
  <si>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K or C</t>
  </si>
  <si>
    <t>MWh/{unit specific}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</si>
  <si>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</si>
  <si>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</si>
  <si>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</si>
  <si>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</si>
  <si>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</si>
  <si>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</si>
  <si>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</si>
  <si>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</si>
  <si>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</si>
  <si>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</si>
  <si>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</si>
  <si>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</si>
  <si>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</si>
  <si>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</si>
  <si>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</si>
  <si>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</si>
  <si>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</si>
  <si>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</si>
  <si>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recovery</t>
  </si>
  <si>
    <t>Solvent</t>
  </si>
  <si>
    <t>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</si>
</sst>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0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14" fillId="5" borderId="0" xfId="1" applyFont="1" applyFill="1" applyAlignment="1" applyProtection="1">
      <alignment vertic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9" fillId="5" borderId="18" xfId="4" applyFont="1" applyFill="1" applyBorder="1" applyAlignment="1" applyProtection="1">
      <alignment horizontal="center"/>
      <protection locked="0"/>
    </xf>
    <xf numFmtId="0" fontId="19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9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21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20" fillId="5" borderId="18" xfId="0" applyFont="1" applyFill="1" applyBorder="1" applyAlignment="1">
      <alignment horizontal="center"/>
    </xf>
    <xf numFmtId="0" fontId="20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20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2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3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4" fillId="7" borderId="10" xfId="1" applyFont="1" applyFill="1" applyBorder="1" applyAlignment="1" applyProtection="1">
      <alignment horizontal="center" vertical="center"/>
      <protection locked="0"/>
    </xf>
    <xf numFmtId="0" fontId="14" fillId="7" borderId="3" xfId="1" applyFont="1" applyFill="1" applyBorder="1" applyAlignment="1" applyProtection="1">
      <alignment horizontal="center" vertical="center"/>
      <protection locked="0"/>
    </xf>
    <xf numFmtId="0" fontId="14" fillId="7" borderId="11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5" zoomScale="70" zoomScaleNormal="70" workbookViewId="0">
      <selection activeCell="O15" sqref="O15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7.453125" style="2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4">
      <c r="A3" s="38"/>
      <c r="B3" s="261" t="s">
        <v>27</v>
      </c>
      <c r="C3" s="262"/>
      <c r="D3" s="263"/>
      <c r="E3" s="256" t="s">
        <v>30</v>
      </c>
      <c r="F3" s="257"/>
      <c r="G3" s="257"/>
      <c r="H3" s="257"/>
      <c r="I3" s="257"/>
      <c r="J3" s="258"/>
      <c r="K3" s="33"/>
      <c r="L3" s="14"/>
      <c r="M3" s="14"/>
      <c r="N3" s="267" t="s">
        <v>33</v>
      </c>
      <c r="O3" s="268"/>
      <c r="P3" s="269"/>
      <c r="Q3" s="14"/>
      <c r="R3" s="14"/>
      <c r="S3" s="270" t="s">
        <v>37</v>
      </c>
      <c r="T3" s="271"/>
      <c r="U3" s="271"/>
      <c r="V3" s="272"/>
      <c r="W3" s="14"/>
      <c r="X3" s="14"/>
      <c r="Y3" s="14"/>
      <c r="Z3" s="37"/>
      <c r="AA3" s="14"/>
      <c r="AB3" s="14"/>
      <c r="AC3" s="14"/>
    </row>
    <row r="4" spans="1:29" ht="107.15" customHeight="1" thickBot="1" x14ac:dyDescent="0.4">
      <c r="A4" s="38"/>
      <c r="B4" s="187" t="s">
        <v>28</v>
      </c>
      <c r="C4" s="188" t="s">
        <v>0</v>
      </c>
      <c r="D4" s="231" t="s">
        <v>173</v>
      </c>
      <c r="E4" s="183" t="s">
        <v>31</v>
      </c>
      <c r="F4" s="184" t="s">
        <v>182</v>
      </c>
      <c r="G4" s="184" t="s">
        <v>180</v>
      </c>
      <c r="H4" s="184" t="s">
        <v>181</v>
      </c>
      <c r="I4" s="185" t="s">
        <v>32</v>
      </c>
      <c r="J4" s="186"/>
      <c r="K4" s="14"/>
      <c r="L4" s="32"/>
      <c r="M4" s="32"/>
      <c r="N4" s="47" t="s">
        <v>34</v>
      </c>
      <c r="O4" s="48" t="s">
        <v>36</v>
      </c>
      <c r="P4" s="47" t="s">
        <v>35</v>
      </c>
      <c r="Q4" s="14"/>
      <c r="R4" s="14"/>
      <c r="S4" s="164" t="s">
        <v>46</v>
      </c>
      <c r="T4" s="164" t="s">
        <v>45</v>
      </c>
      <c r="U4" s="165" t="s">
        <v>47</v>
      </c>
      <c r="V4" s="165" t="s">
        <v>114</v>
      </c>
      <c r="W4" s="14"/>
      <c r="X4" s="14"/>
      <c r="Z4" s="37"/>
      <c r="AA4" s="14"/>
      <c r="AB4" s="14"/>
      <c r="AC4" s="14"/>
    </row>
    <row r="5" spans="1:29" ht="18.5" x14ac:dyDescent="0.45">
      <c r="A5" s="63"/>
      <c r="B5" s="26" t="s">
        <v>25</v>
      </c>
      <c r="C5" s="28" t="s">
        <v>167</v>
      </c>
      <c r="D5" s="232" t="s">
        <v>174</v>
      </c>
      <c r="E5" s="24" t="s">
        <v>170</v>
      </c>
      <c r="F5" s="44"/>
      <c r="G5" s="45">
        <v>2</v>
      </c>
      <c r="H5" s="44">
        <v>1000</v>
      </c>
      <c r="I5" s="44">
        <v>0</v>
      </c>
      <c r="J5" s="37"/>
      <c r="K5" s="14"/>
      <c r="L5" s="14"/>
      <c r="M5" s="14"/>
      <c r="N5" s="49"/>
      <c r="O5" s="50"/>
      <c r="P5" s="28"/>
      <c r="Q5" s="14"/>
      <c r="R5" s="14"/>
      <c r="S5" s="20" t="s">
        <v>15</v>
      </c>
      <c r="T5" s="43">
        <v>87</v>
      </c>
      <c r="U5" s="43">
        <v>1.4E-2</v>
      </c>
      <c r="V5" s="166"/>
      <c r="W5" s="14"/>
      <c r="X5" s="14"/>
      <c r="Y5" s="14"/>
      <c r="Z5" s="37"/>
      <c r="AA5" s="14"/>
      <c r="AB5" s="14"/>
      <c r="AC5" s="14"/>
    </row>
    <row r="6" spans="1:29" ht="18.5" x14ac:dyDescent="0.45">
      <c r="A6" s="38"/>
      <c r="B6" s="24" t="s">
        <v>26</v>
      </c>
      <c r="C6" s="30" t="s">
        <v>166</v>
      </c>
      <c r="D6" s="233" t="s">
        <v>174</v>
      </c>
      <c r="E6" s="24" t="s">
        <v>171</v>
      </c>
      <c r="F6" s="44"/>
      <c r="G6" s="45">
        <v>2</v>
      </c>
      <c r="H6" s="44">
        <v>445</v>
      </c>
      <c r="I6" s="44">
        <v>0</v>
      </c>
      <c r="J6" s="37"/>
      <c r="K6" s="14"/>
      <c r="L6" s="14"/>
      <c r="M6" s="14"/>
      <c r="N6" s="51"/>
      <c r="O6" s="52"/>
      <c r="P6" s="30"/>
      <c r="Q6" s="14"/>
      <c r="R6" s="14"/>
      <c r="S6" s="24" t="s">
        <v>16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" thickBot="1" x14ac:dyDescent="0.5">
      <c r="A7" s="38"/>
      <c r="B7" s="189" t="s">
        <v>129</v>
      </c>
      <c r="C7" s="190" t="s">
        <v>127</v>
      </c>
      <c r="D7" s="233" t="s">
        <v>174</v>
      </c>
      <c r="E7" s="24" t="s">
        <v>172</v>
      </c>
      <c r="F7" s="44"/>
      <c r="G7" s="45">
        <v>2</v>
      </c>
      <c r="H7" s="44">
        <v>180</v>
      </c>
      <c r="I7" s="44">
        <v>0</v>
      </c>
      <c r="J7" s="37"/>
      <c r="K7" s="14"/>
      <c r="L7" s="14"/>
      <c r="M7" s="14"/>
      <c r="N7" s="51"/>
      <c r="O7" s="52"/>
      <c r="P7" s="30"/>
      <c r="Q7" s="14"/>
      <c r="R7" s="14"/>
      <c r="S7" s="25" t="s">
        <v>113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5" x14ac:dyDescent="0.45">
      <c r="A8" s="38"/>
      <c r="B8" s="229" t="s">
        <v>201</v>
      </c>
      <c r="C8" s="230" t="s">
        <v>200</v>
      </c>
      <c r="D8" s="233" t="s">
        <v>174</v>
      </c>
      <c r="E8" s="24" t="s">
        <v>168</v>
      </c>
      <c r="F8" s="44"/>
      <c r="G8" s="45">
        <v>2</v>
      </c>
      <c r="H8" s="44">
        <v>100</v>
      </c>
      <c r="I8" s="44">
        <v>0</v>
      </c>
      <c r="J8" s="37"/>
      <c r="K8" s="14"/>
      <c r="L8" s="14"/>
      <c r="M8" s="14"/>
      <c r="N8" s="51"/>
      <c r="O8" s="52"/>
      <c r="P8" s="30"/>
      <c r="Q8" s="14"/>
      <c r="R8" s="14"/>
      <c r="S8" s="59"/>
      <c r="T8" s="35"/>
      <c r="U8" s="35"/>
      <c r="V8" s="166"/>
      <c r="W8" s="14"/>
      <c r="X8" s="14"/>
      <c r="Y8" s="14"/>
      <c r="Z8" s="37"/>
      <c r="AA8" s="14"/>
      <c r="AB8" s="14"/>
      <c r="AC8" s="14"/>
    </row>
    <row r="9" spans="1:29" ht="18.5" x14ac:dyDescent="0.45">
      <c r="A9" s="38"/>
      <c r="B9" s="21" t="s">
        <v>10</v>
      </c>
      <c r="C9" s="30"/>
      <c r="D9" s="233" t="s">
        <v>174</v>
      </c>
      <c r="E9" s="24" t="s">
        <v>209</v>
      </c>
      <c r="F9" s="44"/>
      <c r="G9" s="45">
        <v>1</v>
      </c>
      <c r="H9" s="44">
        <v>100</v>
      </c>
      <c r="I9" s="44">
        <v>0</v>
      </c>
      <c r="J9" s="37"/>
      <c r="K9" s="14"/>
      <c r="L9" s="14"/>
      <c r="M9" s="14"/>
      <c r="N9" s="51"/>
      <c r="O9" s="19"/>
      <c r="P9" s="30"/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9" thickBot="1" x14ac:dyDescent="0.5">
      <c r="A10" s="38"/>
      <c r="B10" s="27" t="s">
        <v>14</v>
      </c>
      <c r="C10" s="29"/>
      <c r="D10" s="233" t="s">
        <v>175</v>
      </c>
      <c r="E10" s="24"/>
      <c r="F10" s="44"/>
      <c r="G10" s="45"/>
      <c r="H10" s="44"/>
      <c r="I10" s="44"/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18.5" x14ac:dyDescent="0.45">
      <c r="A11" s="38"/>
      <c r="B11" s="20" t="s">
        <v>165</v>
      </c>
      <c r="C11" s="28">
        <v>8000</v>
      </c>
      <c r="D11" s="233" t="s">
        <v>176</v>
      </c>
      <c r="E11" s="24"/>
      <c r="F11" s="44"/>
      <c r="G11" s="45"/>
      <c r="H11" s="44"/>
      <c r="I11" s="44"/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" thickBot="1" x14ac:dyDescent="0.5">
      <c r="A12" s="38"/>
      <c r="B12" s="21" t="s">
        <v>29</v>
      </c>
      <c r="C12" s="30">
        <v>2018</v>
      </c>
      <c r="D12" s="234"/>
      <c r="E12" s="24"/>
      <c r="F12" s="44"/>
      <c r="G12" s="45"/>
      <c r="H12" s="44"/>
      <c r="I12" s="44"/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18.5" customHeight="1" thickBot="1" x14ac:dyDescent="0.5">
      <c r="A13" s="38"/>
      <c r="B13" s="21" t="s">
        <v>130</v>
      </c>
      <c r="C13" s="30">
        <v>0.05</v>
      </c>
      <c r="D13" s="234"/>
      <c r="E13" s="24"/>
      <c r="F13" s="44"/>
      <c r="G13" s="45"/>
      <c r="H13" s="44"/>
      <c r="I13" s="44"/>
      <c r="J13" s="37"/>
      <c r="K13" s="14"/>
      <c r="L13" s="14"/>
      <c r="M13" s="14"/>
      <c r="N13" s="53"/>
      <c r="O13" s="19"/>
      <c r="P13" s="54"/>
      <c r="Q13" s="14"/>
      <c r="R13" s="14"/>
      <c r="S13" s="60" t="s">
        <v>38</v>
      </c>
      <c r="T13" s="61" t="s">
        <v>44</v>
      </c>
      <c r="U13" s="62" t="s">
        <v>45</v>
      </c>
      <c r="V13" s="60"/>
      <c r="W13" s="14"/>
      <c r="X13" s="14"/>
      <c r="Y13" s="14"/>
      <c r="Z13" s="37"/>
      <c r="AA13" s="14"/>
      <c r="AB13" s="14"/>
      <c r="AC13" s="14"/>
    </row>
    <row r="14" spans="1:29" ht="18.5" x14ac:dyDescent="0.45">
      <c r="A14" s="38"/>
      <c r="B14" s="23" t="s">
        <v>131</v>
      </c>
      <c r="C14" s="30" t="s">
        <v>115</v>
      </c>
      <c r="D14" s="234"/>
      <c r="E14" s="24"/>
      <c r="F14" s="44"/>
      <c r="G14" s="45"/>
      <c r="H14" s="44"/>
      <c r="I14" s="44"/>
      <c r="J14" s="37"/>
      <c r="K14" s="14"/>
      <c r="L14" s="14"/>
      <c r="M14" s="14"/>
      <c r="N14" s="53"/>
      <c r="O14" s="19"/>
      <c r="P14" s="54"/>
      <c r="Q14" s="14"/>
      <c r="R14" s="14"/>
      <c r="S14" s="26" t="s">
        <v>39</v>
      </c>
      <c r="T14" s="43">
        <v>600</v>
      </c>
      <c r="U14" s="28">
        <v>34</v>
      </c>
      <c r="V14" s="166"/>
      <c r="W14" s="14"/>
      <c r="X14" s="14"/>
      <c r="Y14" s="14"/>
      <c r="Z14" s="37"/>
      <c r="AA14" s="14"/>
      <c r="AB14" s="14"/>
      <c r="AC14" s="14"/>
    </row>
    <row r="15" spans="1:29" ht="19" thickBot="1" x14ac:dyDescent="0.5">
      <c r="A15" s="38"/>
      <c r="B15" s="27" t="s">
        <v>164</v>
      </c>
      <c r="C15" s="29">
        <v>0.04</v>
      </c>
      <c r="D15" s="234"/>
      <c r="E15" s="24"/>
      <c r="F15" s="44"/>
      <c r="G15" s="45"/>
      <c r="H15" s="44"/>
      <c r="I15" s="44"/>
      <c r="J15" s="37"/>
      <c r="K15" s="14"/>
      <c r="L15" s="14"/>
      <c r="M15" s="14"/>
      <c r="N15" s="53"/>
      <c r="O15" s="19"/>
      <c r="P15" s="54"/>
      <c r="Q15" s="14"/>
      <c r="R15" s="14"/>
      <c r="S15" s="24" t="s">
        <v>40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8.5" x14ac:dyDescent="0.45">
      <c r="A16" s="38"/>
      <c r="B16" s="26" t="s">
        <v>91</v>
      </c>
      <c r="C16" s="28" t="s">
        <v>92</v>
      </c>
      <c r="D16" s="234"/>
      <c r="J16" s="37"/>
      <c r="K16" s="14"/>
      <c r="L16" s="14"/>
      <c r="M16" s="14"/>
      <c r="N16" s="53"/>
      <c r="O16" s="19"/>
      <c r="P16" s="54"/>
      <c r="Q16" s="14"/>
      <c r="R16" s="14"/>
      <c r="S16" s="24" t="s">
        <v>41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5" x14ac:dyDescent="0.45">
      <c r="A17" s="64"/>
      <c r="B17" s="142" t="s">
        <v>93</v>
      </c>
      <c r="C17" s="143">
        <v>2.5</v>
      </c>
      <c r="D17" s="234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42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8"/>
      <c r="B18" s="24" t="s">
        <v>94</v>
      </c>
      <c r="C18" s="30">
        <v>450</v>
      </c>
      <c r="D18" s="234"/>
      <c r="E18" s="24"/>
      <c r="F18" s="44"/>
      <c r="G18" s="45"/>
      <c r="H18" s="44"/>
      <c r="I18" s="44"/>
      <c r="J18" s="163"/>
      <c r="K18" s="14"/>
      <c r="L18" s="14"/>
      <c r="M18" s="14"/>
      <c r="N18" s="25"/>
      <c r="O18" s="55"/>
      <c r="P18" s="56"/>
      <c r="Q18" s="8"/>
      <c r="R18" s="57"/>
      <c r="S18" s="25" t="s">
        <v>43</v>
      </c>
      <c r="T18" s="46">
        <v>15</v>
      </c>
      <c r="U18" s="29">
        <v>0.22</v>
      </c>
      <c r="V18" s="56"/>
      <c r="W18" s="259"/>
      <c r="X18" s="259"/>
      <c r="Y18" s="259"/>
      <c r="Z18" s="260"/>
      <c r="AA18" s="14"/>
      <c r="AB18" s="14"/>
      <c r="AC18" s="14"/>
    </row>
    <row r="19" spans="1:29" ht="18.5" x14ac:dyDescent="0.45">
      <c r="A19" s="38"/>
      <c r="B19" s="24" t="s">
        <v>53</v>
      </c>
      <c r="C19" s="30">
        <v>15</v>
      </c>
      <c r="D19" s="233" t="s">
        <v>177</v>
      </c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254"/>
      <c r="Z19" s="255"/>
      <c r="AA19" s="14"/>
      <c r="AB19" s="14"/>
      <c r="AC19" s="14"/>
    </row>
    <row r="20" spans="1:29" ht="18.5" x14ac:dyDescent="0.45">
      <c r="A20" s="38"/>
      <c r="B20" s="24" t="s">
        <v>95</v>
      </c>
      <c r="C20" s="30">
        <v>15</v>
      </c>
      <c r="D20" s="233" t="s">
        <v>179</v>
      </c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254"/>
      <c r="Z20" s="255"/>
      <c r="AA20" s="14"/>
      <c r="AB20" s="14"/>
      <c r="AC20" s="14"/>
    </row>
    <row r="21" spans="1:29" ht="19" thickBot="1" x14ac:dyDescent="0.5">
      <c r="A21" s="38"/>
      <c r="B21" s="25" t="s">
        <v>96</v>
      </c>
      <c r="C21" s="29">
        <v>40</v>
      </c>
      <c r="D21" s="235" t="s">
        <v>179</v>
      </c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254"/>
      <c r="Z21" s="255"/>
      <c r="AA21" s="14"/>
      <c r="AB21" s="14"/>
      <c r="AC21" s="14"/>
    </row>
    <row r="22" spans="1:29" ht="18.5" x14ac:dyDescent="0.45">
      <c r="A22" s="38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254"/>
      <c r="Z22" s="255"/>
      <c r="AA22" s="14"/>
      <c r="AB22" s="14"/>
      <c r="AC22" s="14"/>
    </row>
    <row r="23" spans="1:29" ht="18.5" x14ac:dyDescent="0.45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273"/>
      <c r="U23" s="273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" thickBot="1" x14ac:dyDescent="0.4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5" thickBot="1" x14ac:dyDescent="0.5500000000000000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264" t="s">
        <v>132</v>
      </c>
      <c r="O30" s="265"/>
      <c r="P30" s="266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5" thickBot="1" x14ac:dyDescent="0.5500000000000000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194" t="s">
        <v>133</v>
      </c>
      <c r="O31" s="194" t="s">
        <v>134</v>
      </c>
      <c r="P31" s="194" t="s">
        <v>135</v>
      </c>
      <c r="Q31" s="14"/>
      <c r="R31" s="14"/>
      <c r="S31" s="264" t="s">
        <v>139</v>
      </c>
      <c r="T31" s="265"/>
      <c r="U31" s="265"/>
      <c r="V31" s="265"/>
      <c r="W31" s="266"/>
      <c r="X31" s="14"/>
      <c r="Y31" s="14"/>
      <c r="Z31" s="37"/>
      <c r="AA31" s="14"/>
      <c r="AB31" s="14"/>
      <c r="AC31" s="14"/>
    </row>
    <row r="32" spans="1:29" ht="21.5" thickBot="1" x14ac:dyDescent="0.5500000000000000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86</v>
      </c>
      <c r="O32" s="195">
        <v>0.55000000000000004</v>
      </c>
      <c r="P32" s="166">
        <v>325</v>
      </c>
      <c r="Q32" s="14"/>
      <c r="R32" s="14"/>
      <c r="S32" s="196" t="s">
        <v>140</v>
      </c>
      <c r="T32" s="196" t="s">
        <v>141</v>
      </c>
      <c r="U32" s="196" t="s">
        <v>142</v>
      </c>
      <c r="V32" s="196" t="s">
        <v>143</v>
      </c>
      <c r="W32" s="197" t="s">
        <v>144</v>
      </c>
      <c r="X32" s="14"/>
      <c r="Y32" s="14"/>
      <c r="Z32" s="37"/>
      <c r="AA32" s="14"/>
      <c r="AB32" s="14"/>
      <c r="AC32" s="14"/>
    </row>
    <row r="33" spans="1:29" ht="18.5" x14ac:dyDescent="0.45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147</v>
      </c>
      <c r="O33" s="19">
        <v>0.27</v>
      </c>
      <c r="P33" s="54">
        <v>0.58599999999999997</v>
      </c>
      <c r="Q33" s="14"/>
      <c r="R33" s="14"/>
      <c r="S33" s="26" t="s">
        <v>163</v>
      </c>
      <c r="T33" s="204">
        <v>5000</v>
      </c>
      <c r="U33" s="195">
        <v>10</v>
      </c>
      <c r="V33" s="195">
        <v>50</v>
      </c>
      <c r="W33" s="166">
        <v>3</v>
      </c>
      <c r="X33" s="14"/>
      <c r="Y33" s="14"/>
      <c r="Z33" s="37"/>
      <c r="AA33" s="14"/>
      <c r="AB33" s="14"/>
      <c r="AC33" s="14"/>
    </row>
    <row r="34" spans="1:29" ht="19" thickBot="1" x14ac:dyDescent="0.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136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5" x14ac:dyDescent="0.45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191"/>
      <c r="O36" s="193"/>
      <c r="P36" s="192"/>
      <c r="Q36" s="193"/>
      <c r="R36" s="193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5" x14ac:dyDescent="0.45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" thickBot="1" x14ac:dyDescent="0.5">
      <c r="A38" s="38"/>
      <c r="B38" s="14"/>
      <c r="C38" s="14"/>
      <c r="D38" s="14"/>
      <c r="E38" s="236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205" t="s">
        <v>19</v>
      </c>
      <c r="AC38" s="14"/>
    </row>
    <row r="39" spans="1:29" ht="18.5" x14ac:dyDescent="0.45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5" x14ac:dyDescent="0.45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181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" thickBot="1" x14ac:dyDescent="0.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5" t="s">
        <v>19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23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19</v>
      </c>
    </row>
    <row r="79" spans="1:29" x14ac:dyDescent="0.35">
      <c r="V79" s="2" t="s">
        <v>19</v>
      </c>
    </row>
  </sheetData>
  <mergeCells count="12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E3:J3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M12" sqref="M12:Q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85"/>
      <c r="E6" s="285"/>
      <c r="F6" s="5"/>
      <c r="G6" s="5"/>
      <c r="H6" s="285"/>
      <c r="I6" s="285"/>
      <c r="J6" s="15"/>
      <c r="K6" s="15"/>
      <c r="L6" s="5"/>
      <c r="M6" s="285"/>
      <c r="N6" s="285"/>
      <c r="O6" s="285"/>
      <c r="P6" s="285"/>
      <c r="Q6" s="5"/>
      <c r="R6" s="5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86" t="s">
        <v>48</v>
      </c>
      <c r="E8" s="287"/>
      <c r="F8" s="288"/>
      <c r="G8" s="5"/>
      <c r="H8" s="289" t="s">
        <v>49</v>
      </c>
      <c r="I8" s="290"/>
      <c r="J8" s="291"/>
      <c r="K8" s="16"/>
      <c r="L8" s="5"/>
      <c r="M8" s="281" t="s">
        <v>68</v>
      </c>
      <c r="N8" s="282"/>
      <c r="O8" s="282"/>
      <c r="P8" s="282"/>
      <c r="Q8" s="283"/>
      <c r="R8" s="5"/>
      <c r="S8" s="275" t="s">
        <v>74</v>
      </c>
      <c r="T8" s="276"/>
      <c r="U8" s="277"/>
      <c r="V8" s="12"/>
      <c r="W8" s="278" t="s">
        <v>104</v>
      </c>
      <c r="X8" s="279"/>
      <c r="Y8" s="279"/>
      <c r="Z8" s="280"/>
      <c r="AA8" s="11"/>
      <c r="AB8" s="278" t="s">
        <v>81</v>
      </c>
      <c r="AC8" s="279"/>
      <c r="AD8" s="279"/>
      <c r="AE8" s="279"/>
      <c r="AF8" s="280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28</v>
      </c>
      <c r="E9" s="210" t="s">
        <v>0</v>
      </c>
      <c r="F9" s="213" t="s">
        <v>173</v>
      </c>
      <c r="G9" s="5"/>
      <c r="H9" s="74" t="s">
        <v>28</v>
      </c>
      <c r="I9" s="74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85" t="s">
        <v>100</v>
      </c>
      <c r="X9" s="198" t="s">
        <v>157</v>
      </c>
      <c r="Y9" s="198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/>
      <c r="F10" s="211" t="s">
        <v>174</v>
      </c>
      <c r="G10" s="5"/>
      <c r="H10" s="67" t="s">
        <v>2</v>
      </c>
      <c r="I10" s="68"/>
      <c r="J10" s="214" t="s">
        <v>174</v>
      </c>
      <c r="K10" s="5"/>
      <c r="L10" s="5"/>
      <c r="M10" s="67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84"/>
      <c r="W10" s="137"/>
      <c r="X10" s="83"/>
      <c r="Y10" s="138"/>
      <c r="Z10" s="136"/>
      <c r="AA10" s="15"/>
      <c r="AB10" s="135"/>
      <c r="AC10" s="83"/>
      <c r="AD10" s="138"/>
      <c r="AE10" s="83"/>
      <c r="AF10" s="136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/>
      <c r="F11" s="211" t="s">
        <v>174</v>
      </c>
      <c r="G11" s="5"/>
      <c r="H11" s="69" t="s">
        <v>63</v>
      </c>
      <c r="I11" s="104"/>
      <c r="J11" s="211" t="s">
        <v>183</v>
      </c>
      <c r="K11" s="5"/>
      <c r="L11" s="5"/>
      <c r="M11" s="76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84"/>
      <c r="W11" s="108"/>
      <c r="X11" s="75"/>
      <c r="Y11" s="105"/>
      <c r="Z11" s="107"/>
      <c r="AA11" s="15"/>
      <c r="AB11" s="106"/>
      <c r="AC11" s="75"/>
      <c r="AD11" s="105"/>
      <c r="AE11" s="75"/>
      <c r="AF11" s="107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38</v>
      </c>
      <c r="E12" s="70"/>
      <c r="F12" s="211" t="s">
        <v>174</v>
      </c>
      <c r="G12" s="5"/>
      <c r="H12" s="69" t="s">
        <v>64</v>
      </c>
      <c r="I12" s="104"/>
      <c r="J12" s="211" t="str">
        <f>J15</f>
        <v>t/h</v>
      </c>
      <c r="K12" s="5"/>
      <c r="L12" s="5"/>
      <c r="M12" s="243" t="s">
        <v>73</v>
      </c>
      <c r="N12" s="251"/>
      <c r="O12" s="177"/>
      <c r="P12" s="178"/>
      <c r="Q12" s="179"/>
      <c r="R12" s="5"/>
      <c r="S12" s="125"/>
      <c r="T12" s="124"/>
      <c r="U12" s="126"/>
      <c r="V12" s="84"/>
      <c r="W12" s="108"/>
      <c r="X12" s="75"/>
      <c r="Y12" s="44"/>
      <c r="Z12" s="30"/>
      <c r="AA12" s="42"/>
      <c r="AB12" s="51"/>
      <c r="AC12" s="75"/>
      <c r="AD12" s="44"/>
      <c r="AE12" s="75"/>
      <c r="AF12" s="107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52</v>
      </c>
      <c r="E13" s="200"/>
      <c r="F13" s="211" t="s">
        <v>174</v>
      </c>
      <c r="G13" s="5"/>
      <c r="H13" s="69" t="s">
        <v>65</v>
      </c>
      <c r="I13" s="104"/>
      <c r="J13" s="211" t="s">
        <v>174</v>
      </c>
      <c r="K13" s="5"/>
      <c r="L13" s="5"/>
      <c r="M13" s="244"/>
      <c r="N13" s="125"/>
      <c r="O13" s="75"/>
      <c r="P13" s="75"/>
      <c r="Q13" s="70"/>
      <c r="R13" s="5"/>
      <c r="S13" s="118"/>
      <c r="T13" s="119"/>
      <c r="U13" s="120"/>
      <c r="V13" s="42"/>
      <c r="W13" s="108"/>
      <c r="X13" s="75"/>
      <c r="Y13" s="44"/>
      <c r="Z13" s="30"/>
      <c r="AA13" s="42"/>
      <c r="AB13" s="51"/>
      <c r="AC13" s="75"/>
      <c r="AD13" s="44"/>
      <c r="AE13" s="75"/>
      <c r="AF13" s="107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/>
      <c r="J14" s="211" t="s">
        <v>186</v>
      </c>
      <c r="K14" s="5"/>
      <c r="L14" s="5"/>
      <c r="M14" s="245"/>
      <c r="N14" s="109"/>
      <c r="O14" s="79"/>
      <c r="P14" s="79"/>
      <c r="Q14" s="82"/>
      <c r="R14" s="5"/>
      <c r="S14" s="51"/>
      <c r="T14" s="75"/>
      <c r="U14" s="30"/>
      <c r="V14" s="42"/>
      <c r="W14" s="108"/>
      <c r="X14" s="75"/>
      <c r="Y14" s="44"/>
      <c r="Z14" s="30"/>
      <c r="AA14" s="42"/>
      <c r="AB14" s="51"/>
      <c r="AC14" s="75"/>
      <c r="AD14" s="44"/>
      <c r="AE14" s="75"/>
      <c r="AF14" s="107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54</v>
      </c>
      <c r="E15" s="70">
        <v>2.6</v>
      </c>
      <c r="F15" s="211" t="s">
        <v>174</v>
      </c>
      <c r="G15" s="5"/>
      <c r="H15" s="252" t="s">
        <v>67</v>
      </c>
      <c r="I15" s="70" t="s">
        <v>11</v>
      </c>
      <c r="J15" s="211" t="s">
        <v>184</v>
      </c>
      <c r="K15" s="5"/>
      <c r="L15" s="5"/>
      <c r="M15" s="245"/>
      <c r="N15" s="109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8"/>
      <c r="AC15" s="75"/>
      <c r="AD15" s="75"/>
      <c r="AE15" s="75"/>
      <c r="AF15" s="107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39"/>
      <c r="J16" s="214" t="s">
        <v>174</v>
      </c>
      <c r="K16" s="5"/>
      <c r="L16" s="5"/>
      <c r="M16" s="245"/>
      <c r="N16" s="109"/>
      <c r="O16" s="79"/>
      <c r="P16" s="79"/>
      <c r="Q16" s="82"/>
      <c r="R16" s="5"/>
      <c r="S16" s="108"/>
      <c r="T16" s="75"/>
      <c r="U16" s="70"/>
      <c r="V16" s="15"/>
      <c r="W16" s="89"/>
      <c r="X16" s="15"/>
      <c r="Y16" s="15"/>
      <c r="Z16" s="66"/>
      <c r="AA16" s="15"/>
      <c r="AB16" s="108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56</v>
      </c>
      <c r="E17" s="70"/>
      <c r="F17" s="211" t="s">
        <v>187</v>
      </c>
      <c r="G17" s="5"/>
      <c r="H17" s="76"/>
      <c r="I17" s="240"/>
      <c r="J17" s="211" t="s">
        <v>174</v>
      </c>
      <c r="K17" s="5"/>
      <c r="L17" s="5"/>
      <c r="M17" s="245"/>
      <c r="N17" s="109"/>
      <c r="O17" s="79"/>
      <c r="P17" s="79"/>
      <c r="Q17" s="82"/>
      <c r="R17" s="5"/>
      <c r="S17" s="108"/>
      <c r="T17" s="75"/>
      <c r="U17" s="70"/>
      <c r="V17" s="15"/>
      <c r="W17" s="89"/>
      <c r="X17" s="15"/>
      <c r="Y17" s="15"/>
      <c r="Z17" s="66"/>
      <c r="AA17" s="15"/>
      <c r="AB17" s="108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57</v>
      </c>
      <c r="E18" s="70"/>
      <c r="F18" s="211" t="s">
        <v>187</v>
      </c>
      <c r="G18" s="5"/>
      <c r="H18" s="77"/>
      <c r="I18" s="240"/>
      <c r="J18" s="211" t="s">
        <v>174</v>
      </c>
      <c r="K18" s="5"/>
      <c r="L18" s="5"/>
      <c r="M18" s="245"/>
      <c r="N18" s="109"/>
      <c r="O18" s="79"/>
      <c r="P18" s="79"/>
      <c r="Q18" s="82"/>
      <c r="R18" s="5"/>
      <c r="S18" s="108"/>
      <c r="T18" s="75"/>
      <c r="U18" s="70"/>
      <c r="V18" s="15"/>
      <c r="W18" s="89"/>
      <c r="X18" s="15"/>
      <c r="Y18" s="15"/>
      <c r="Z18" s="66"/>
      <c r="AA18" s="15"/>
      <c r="AB18" s="108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58</v>
      </c>
      <c r="E19" s="70"/>
      <c r="F19" s="211" t="s">
        <v>187</v>
      </c>
      <c r="G19" s="5"/>
      <c r="H19" s="77"/>
      <c r="I19" s="240"/>
      <c r="J19" s="211" t="s">
        <v>174</v>
      </c>
      <c r="K19" s="5"/>
      <c r="L19" s="5"/>
      <c r="M19" s="245"/>
      <c r="N19" s="109"/>
      <c r="O19" s="79"/>
      <c r="P19" s="79"/>
      <c r="Q19" s="82"/>
      <c r="R19" s="5"/>
      <c r="S19" s="108"/>
      <c r="T19" s="75"/>
      <c r="U19" s="70"/>
      <c r="V19" s="15"/>
      <c r="W19" s="89"/>
      <c r="X19" s="15"/>
      <c r="Y19" s="15"/>
      <c r="Z19" s="66"/>
      <c r="AA19" s="15"/>
      <c r="AB19" s="108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59</v>
      </c>
      <c r="E20" s="70"/>
      <c r="F20" s="211" t="s">
        <v>187</v>
      </c>
      <c r="G20" s="5"/>
      <c r="H20" s="77"/>
      <c r="I20" s="240"/>
      <c r="J20" s="211" t="s">
        <v>174</v>
      </c>
      <c r="K20" s="5"/>
      <c r="L20" s="5"/>
      <c r="M20" s="241"/>
      <c r="N20" s="109"/>
      <c r="O20" s="79"/>
      <c r="P20" s="79"/>
      <c r="Q20" s="82"/>
      <c r="R20" s="5"/>
      <c r="S20" s="108"/>
      <c r="T20" s="75"/>
      <c r="U20" s="70"/>
      <c r="V20" s="15"/>
      <c r="W20" s="89"/>
      <c r="X20" s="15"/>
      <c r="Y20" s="15"/>
      <c r="Z20" s="66"/>
      <c r="AA20" s="15"/>
      <c r="AB20" s="108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60</v>
      </c>
      <c r="E21" s="141" t="s">
        <v>90</v>
      </c>
      <c r="F21" s="211" t="s">
        <v>174</v>
      </c>
      <c r="G21" s="5"/>
      <c r="H21" s="109"/>
      <c r="I21" s="240"/>
      <c r="J21" s="211" t="s">
        <v>174</v>
      </c>
      <c r="K21" s="5"/>
      <c r="L21" s="5"/>
      <c r="M21" s="241"/>
      <c r="N21" s="109"/>
      <c r="O21" s="79"/>
      <c r="P21" s="79"/>
      <c r="Q21" s="82"/>
      <c r="R21" s="5"/>
      <c r="S21" s="108"/>
      <c r="T21" s="75"/>
      <c r="U21" s="70"/>
      <c r="V21" s="15"/>
      <c r="W21" s="89"/>
      <c r="X21" s="15"/>
      <c r="Y21" s="15"/>
      <c r="Z21" s="66"/>
      <c r="AA21" s="15"/>
      <c r="AB21" s="108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5"/>
      <c r="L22" s="5"/>
      <c r="M22" s="241"/>
      <c r="N22" s="109"/>
      <c r="O22" s="79"/>
      <c r="P22" s="79"/>
      <c r="Q22" s="82"/>
      <c r="R22" s="5"/>
      <c r="S22" s="108"/>
      <c r="T22" s="75"/>
      <c r="U22" s="70"/>
      <c r="V22" s="15"/>
      <c r="W22" s="89"/>
      <c r="X22" s="15"/>
      <c r="Y22" s="15"/>
      <c r="Z22" s="66"/>
      <c r="AA22" s="15"/>
      <c r="AB22" s="108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5"/>
      <c r="L23" s="5"/>
      <c r="M23" s="241"/>
      <c r="N23" s="109"/>
      <c r="O23" s="79"/>
      <c r="P23" s="79"/>
      <c r="Q23" s="82"/>
      <c r="R23" s="5"/>
      <c r="S23" s="108"/>
      <c r="T23" s="75"/>
      <c r="U23" s="70"/>
      <c r="V23" s="15"/>
      <c r="W23" s="89"/>
      <c r="X23" s="15"/>
      <c r="Y23" s="15"/>
      <c r="Z23" s="66"/>
      <c r="AA23" s="15"/>
      <c r="AB23" s="108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11"/>
      <c r="L24" s="11"/>
      <c r="M24" s="241"/>
      <c r="N24" s="109"/>
      <c r="O24" s="79"/>
      <c r="P24" s="79"/>
      <c r="Q24" s="82"/>
      <c r="R24" s="5"/>
      <c r="S24" s="108"/>
      <c r="T24" s="75"/>
      <c r="U24" s="70"/>
      <c r="V24" s="15"/>
      <c r="W24" s="89"/>
      <c r="X24" s="15"/>
      <c r="Y24" s="15"/>
      <c r="Z24" s="66"/>
      <c r="AA24" s="15"/>
      <c r="AB24" s="108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11"/>
      <c r="L25" s="11"/>
      <c r="M25" s="241"/>
      <c r="N25" s="109"/>
      <c r="O25" s="79"/>
      <c r="P25" s="79"/>
      <c r="Q25" s="82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5"/>
      <c r="L26" s="5"/>
      <c r="M26" s="241"/>
      <c r="N26" s="109"/>
      <c r="O26" s="79"/>
      <c r="P26" s="79"/>
      <c r="Q26" s="82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5"/>
      <c r="L27" s="5"/>
      <c r="M27" s="242"/>
      <c r="N27" s="110"/>
      <c r="O27" s="80"/>
      <c r="P27" s="80"/>
      <c r="Q27" s="81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84"/>
      <c r="E47" s="284"/>
      <c r="F47" s="284"/>
      <c r="G47" s="284"/>
      <c r="H47" s="284"/>
      <c r="I47" s="284"/>
      <c r="J47" s="284"/>
      <c r="K47" s="284"/>
      <c r="L47" s="28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19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N13 N12:Q12 N14:Q27 T10:T27 AC10:AC27 AE10:AE27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18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295"/>
      <c r="E6" s="295"/>
      <c r="F6" s="5"/>
      <c r="G6" s="5"/>
      <c r="H6" s="295"/>
      <c r="I6" s="295"/>
      <c r="J6" s="15"/>
      <c r="K6" s="15"/>
      <c r="L6" s="5"/>
      <c r="M6" s="295"/>
      <c r="N6" s="295"/>
      <c r="O6" s="295"/>
      <c r="P6" s="295"/>
      <c r="Q6" s="5"/>
      <c r="R6" s="5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48</v>
      </c>
      <c r="E8" s="287"/>
      <c r="F8" s="288"/>
      <c r="G8" s="5"/>
      <c r="H8" s="289" t="s">
        <v>49</v>
      </c>
      <c r="I8" s="290"/>
      <c r="J8" s="291"/>
      <c r="K8" s="16"/>
      <c r="L8" s="5"/>
      <c r="M8" s="281" t="s">
        <v>68</v>
      </c>
      <c r="N8" s="282"/>
      <c r="O8" s="282"/>
      <c r="P8" s="282"/>
      <c r="Q8" s="283"/>
      <c r="R8" s="5"/>
      <c r="S8" s="275" t="s">
        <v>74</v>
      </c>
      <c r="T8" s="276"/>
      <c r="U8" s="277"/>
      <c r="V8" s="12"/>
      <c r="W8" s="278" t="s">
        <v>104</v>
      </c>
      <c r="X8" s="279"/>
      <c r="Y8" s="279"/>
      <c r="Z8" s="280"/>
      <c r="AA8" s="11"/>
      <c r="AB8" s="278" t="s">
        <v>81</v>
      </c>
      <c r="AC8" s="279"/>
      <c r="AD8" s="279"/>
      <c r="AE8" s="279"/>
      <c r="AF8" s="280"/>
      <c r="AG8" s="11"/>
      <c r="AH8" s="292" t="s">
        <v>4</v>
      </c>
      <c r="AI8" s="293"/>
      <c r="AJ8" s="294"/>
      <c r="AK8" s="98"/>
      <c r="AL8" s="292" t="s">
        <v>5</v>
      </c>
      <c r="AM8" s="293"/>
      <c r="AN8" s="294"/>
      <c r="AO8" s="87"/>
    </row>
    <row r="9" spans="3:41" ht="21.5" thickBot="1" x14ac:dyDescent="0.55000000000000004">
      <c r="C9" s="86"/>
      <c r="D9" s="73" t="s">
        <v>28</v>
      </c>
      <c r="E9" s="210" t="s">
        <v>0</v>
      </c>
      <c r="F9" s="213" t="s">
        <v>173</v>
      </c>
      <c r="G9" s="5"/>
      <c r="H9" s="74" t="s">
        <v>28</v>
      </c>
      <c r="I9" s="74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101" t="s">
        <v>100</v>
      </c>
      <c r="X9" s="201" t="s">
        <v>157</v>
      </c>
      <c r="Y9" s="201" t="s">
        <v>158</v>
      </c>
      <c r="Z9" s="202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11"/>
      <c r="AH9" s="140" t="s">
        <v>31</v>
      </c>
      <c r="AI9" s="140" t="s">
        <v>87</v>
      </c>
      <c r="AJ9" s="140" t="s">
        <v>0</v>
      </c>
      <c r="AK9" s="97"/>
      <c r="AL9" s="140" t="s">
        <v>87</v>
      </c>
      <c r="AM9" s="140" t="s">
        <v>88</v>
      </c>
      <c r="AN9" s="140" t="s">
        <v>89</v>
      </c>
      <c r="AO9" s="87"/>
    </row>
    <row r="10" spans="3:41" ht="18.5" x14ac:dyDescent="0.45">
      <c r="C10" s="86"/>
      <c r="D10" s="67" t="s">
        <v>1</v>
      </c>
      <c r="E10" s="68"/>
      <c r="F10" s="211" t="s">
        <v>174</v>
      </c>
      <c r="G10" s="5"/>
      <c r="H10" s="69" t="s">
        <v>2</v>
      </c>
      <c r="I10" s="70"/>
      <c r="J10" s="214" t="s">
        <v>174</v>
      </c>
      <c r="K10" s="79"/>
      <c r="L10" s="79"/>
      <c r="M10" s="249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105"/>
      <c r="W10" s="137"/>
      <c r="X10" s="83"/>
      <c r="Y10" s="138"/>
      <c r="Z10" s="136"/>
      <c r="AA10" s="75"/>
      <c r="AB10" s="135"/>
      <c r="AC10" s="83"/>
      <c r="AD10" s="138"/>
      <c r="AE10" s="83"/>
      <c r="AF10" s="136"/>
      <c r="AG10" s="119"/>
      <c r="AH10" s="125"/>
      <c r="AI10" s="124"/>
      <c r="AJ10" s="126"/>
      <c r="AK10" s="114"/>
      <c r="AL10" s="127"/>
      <c r="AM10" s="128"/>
      <c r="AN10" s="129"/>
      <c r="AO10" s="87"/>
    </row>
    <row r="11" spans="3:41" ht="19" thickBot="1" x14ac:dyDescent="0.5">
      <c r="C11" s="86"/>
      <c r="D11" s="69" t="s">
        <v>3</v>
      </c>
      <c r="E11" s="70"/>
      <c r="F11" s="211" t="s">
        <v>174</v>
      </c>
      <c r="G11" s="5"/>
      <c r="H11" s="69" t="s">
        <v>63</v>
      </c>
      <c r="I11" s="104"/>
      <c r="J11" s="211" t="s">
        <v>183</v>
      </c>
      <c r="K11" s="79"/>
      <c r="L11" s="79"/>
      <c r="M11" s="250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105"/>
      <c r="W11" s="108"/>
      <c r="X11" s="75"/>
      <c r="Y11" s="105"/>
      <c r="Z11" s="107"/>
      <c r="AA11" s="75"/>
      <c r="AB11" s="106"/>
      <c r="AC11" s="75"/>
      <c r="AD11" s="105"/>
      <c r="AE11" s="75"/>
      <c r="AF11" s="107"/>
      <c r="AG11" s="119"/>
      <c r="AH11" s="125"/>
      <c r="AI11" s="124"/>
      <c r="AJ11" s="126"/>
      <c r="AK11" s="114"/>
      <c r="AL11" s="115"/>
      <c r="AM11" s="6"/>
      <c r="AN11" s="130"/>
      <c r="AO11" s="87"/>
    </row>
    <row r="12" spans="3:41" ht="18.5" x14ac:dyDescent="0.45">
      <c r="C12" s="86"/>
      <c r="D12" s="69" t="s">
        <v>38</v>
      </c>
      <c r="E12" s="203" t="s">
        <v>204</v>
      </c>
      <c r="F12" s="211" t="s">
        <v>174</v>
      </c>
      <c r="G12" s="5"/>
      <c r="H12" s="69" t="s">
        <v>64</v>
      </c>
      <c r="I12" s="104"/>
      <c r="J12" s="211" t="str">
        <f>J15</f>
        <v>t/h</v>
      </c>
      <c r="K12" s="79"/>
      <c r="L12" s="79"/>
      <c r="M12" s="243" t="s">
        <v>73</v>
      </c>
      <c r="N12" s="251"/>
      <c r="O12" s="177"/>
      <c r="P12" s="178"/>
      <c r="Q12" s="179"/>
      <c r="R12" s="113"/>
      <c r="S12" s="125"/>
      <c r="T12" s="124"/>
      <c r="U12" s="126"/>
      <c r="V12" s="105"/>
      <c r="W12" s="108"/>
      <c r="X12" s="75"/>
      <c r="Y12" s="44"/>
      <c r="Z12" s="30"/>
      <c r="AA12" s="44"/>
      <c r="AB12" s="51"/>
      <c r="AC12" s="75"/>
      <c r="AD12" s="44"/>
      <c r="AE12" s="75"/>
      <c r="AF12" s="107"/>
      <c r="AG12" s="119"/>
      <c r="AH12" s="125"/>
      <c r="AI12" s="124"/>
      <c r="AJ12" s="126"/>
      <c r="AK12" s="114"/>
      <c r="AL12" s="115"/>
      <c r="AM12" s="6"/>
      <c r="AN12" s="130"/>
      <c r="AO12" s="87"/>
    </row>
    <row r="13" spans="3:41" ht="18.5" x14ac:dyDescent="0.45">
      <c r="C13" s="86"/>
      <c r="D13" s="69" t="s">
        <v>52</v>
      </c>
      <c r="F13" s="211" t="s">
        <v>174</v>
      </c>
      <c r="G13" s="5"/>
      <c r="H13" s="69" t="s">
        <v>65</v>
      </c>
      <c r="I13" s="104"/>
      <c r="J13" s="211" t="s">
        <v>174</v>
      </c>
      <c r="K13" s="79"/>
      <c r="L13" s="79"/>
      <c r="M13" s="244"/>
      <c r="N13" s="125"/>
      <c r="O13" s="75"/>
      <c r="P13" s="75"/>
      <c r="Q13" s="70"/>
      <c r="R13" s="113"/>
      <c r="S13" s="118"/>
      <c r="T13" s="119"/>
      <c r="U13" s="120"/>
      <c r="V13" s="44"/>
      <c r="W13" s="108"/>
      <c r="X13" s="75"/>
      <c r="Y13" s="44"/>
      <c r="Z13" s="30"/>
      <c r="AA13" s="44"/>
      <c r="AB13" s="51"/>
      <c r="AC13" s="75"/>
      <c r="AD13" s="44"/>
      <c r="AE13" s="75"/>
      <c r="AF13" s="107"/>
      <c r="AG13" s="119"/>
      <c r="AH13" s="106"/>
      <c r="AI13" s="105"/>
      <c r="AJ13" s="107"/>
      <c r="AK13" s="114"/>
      <c r="AL13" s="116"/>
      <c r="AM13" s="6"/>
      <c r="AN13" s="117"/>
      <c r="AO13" s="87"/>
    </row>
    <row r="14" spans="3:41" ht="18.5" x14ac:dyDescent="0.45"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/>
      <c r="J14" s="211" t="s">
        <v>186</v>
      </c>
      <c r="K14" s="79"/>
      <c r="L14" s="79"/>
      <c r="M14" s="245"/>
      <c r="N14" s="109"/>
      <c r="O14" s="79"/>
      <c r="P14" s="79"/>
      <c r="Q14" s="82"/>
      <c r="R14" s="113"/>
      <c r="S14" s="51"/>
      <c r="T14" s="75"/>
      <c r="U14" s="30"/>
      <c r="V14" s="44"/>
      <c r="W14" s="108"/>
      <c r="X14" s="75"/>
      <c r="Y14" s="44"/>
      <c r="Z14" s="30"/>
      <c r="AA14" s="44"/>
      <c r="AB14" s="51"/>
      <c r="AC14" s="75"/>
      <c r="AD14" s="44"/>
      <c r="AE14" s="75"/>
      <c r="AF14" s="107"/>
      <c r="AG14" s="119"/>
      <c r="AH14" s="106"/>
      <c r="AI14" s="105"/>
      <c r="AJ14" s="107"/>
      <c r="AK14" s="114"/>
      <c r="AL14" s="116"/>
      <c r="AM14" s="6"/>
      <c r="AN14" s="117"/>
      <c r="AO14" s="87"/>
    </row>
    <row r="15" spans="3:41" ht="19" thickBot="1" x14ac:dyDescent="0.5">
      <c r="C15" s="86"/>
      <c r="D15" s="69" t="s">
        <v>54</v>
      </c>
      <c r="E15" s="70">
        <v>2.6</v>
      </c>
      <c r="F15" s="211" t="s">
        <v>174</v>
      </c>
      <c r="G15" s="5"/>
      <c r="H15" s="76" t="s">
        <v>67</v>
      </c>
      <c r="I15" s="70"/>
      <c r="J15" s="211" t="s">
        <v>184</v>
      </c>
      <c r="K15" s="79"/>
      <c r="L15" s="79"/>
      <c r="M15" s="245"/>
      <c r="N15" s="109"/>
      <c r="O15" s="79"/>
      <c r="P15" s="79"/>
      <c r="Q15" s="82"/>
      <c r="R15" s="113"/>
      <c r="S15" s="51"/>
      <c r="T15" s="75"/>
      <c r="U15" s="30"/>
      <c r="V15" s="44"/>
      <c r="W15" s="89"/>
      <c r="X15" s="15"/>
      <c r="Y15" s="15"/>
      <c r="Z15" s="66"/>
      <c r="AA15" s="75"/>
      <c r="AB15" s="108"/>
      <c r="AC15" s="75"/>
      <c r="AD15" s="75"/>
      <c r="AE15" s="75"/>
      <c r="AF15" s="107"/>
      <c r="AG15" s="119"/>
      <c r="AH15" s="106"/>
      <c r="AI15" s="105"/>
      <c r="AJ15" s="107"/>
      <c r="AK15" s="114"/>
      <c r="AL15" s="116"/>
      <c r="AM15" s="6"/>
      <c r="AN15" s="117"/>
      <c r="AO15" s="87"/>
    </row>
    <row r="16" spans="3:41" ht="19" thickBot="1" x14ac:dyDescent="0.5"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39"/>
      <c r="J16" s="214" t="s">
        <v>174</v>
      </c>
      <c r="K16" s="79"/>
      <c r="L16" s="79"/>
      <c r="M16" s="245"/>
      <c r="N16" s="109"/>
      <c r="O16" s="79"/>
      <c r="P16" s="79"/>
      <c r="Q16" s="82"/>
      <c r="R16" s="113"/>
      <c r="S16" s="108"/>
      <c r="T16" s="75"/>
      <c r="U16" s="70"/>
      <c r="V16" s="75"/>
      <c r="W16" s="89"/>
      <c r="X16" s="15"/>
      <c r="Y16" s="15"/>
      <c r="Z16" s="66"/>
      <c r="AA16" s="75"/>
      <c r="AB16" s="108"/>
      <c r="AC16" s="75"/>
      <c r="AD16" s="75"/>
      <c r="AE16" s="75"/>
      <c r="AF16" s="70"/>
      <c r="AG16" s="119"/>
      <c r="AH16" s="106"/>
      <c r="AI16" s="75"/>
      <c r="AJ16" s="70"/>
      <c r="AK16" s="79"/>
      <c r="AL16" s="109"/>
      <c r="AM16" s="6"/>
      <c r="AN16" s="82"/>
      <c r="AO16" s="87"/>
    </row>
    <row r="17" spans="3:41" ht="18.5" x14ac:dyDescent="0.45">
      <c r="C17" s="86"/>
      <c r="D17" s="69" t="s">
        <v>56</v>
      </c>
      <c r="E17" s="70"/>
      <c r="F17" s="211" t="s">
        <v>178</v>
      </c>
      <c r="G17" s="5"/>
      <c r="H17" s="76"/>
      <c r="I17" s="240"/>
      <c r="J17" s="211" t="s">
        <v>174</v>
      </c>
      <c r="K17" s="79"/>
      <c r="L17" s="79"/>
      <c r="M17" s="245"/>
      <c r="N17" s="109"/>
      <c r="O17" s="79"/>
      <c r="P17" s="79"/>
      <c r="Q17" s="82"/>
      <c r="R17" s="113"/>
      <c r="S17" s="108"/>
      <c r="T17" s="75"/>
      <c r="U17" s="70"/>
      <c r="V17" s="75"/>
      <c r="W17" s="89"/>
      <c r="X17" s="15"/>
      <c r="Y17" s="15"/>
      <c r="Z17" s="66"/>
      <c r="AA17" s="75"/>
      <c r="AB17" s="108"/>
      <c r="AC17" s="75"/>
      <c r="AD17" s="75"/>
      <c r="AE17" s="75"/>
      <c r="AF17" s="70"/>
      <c r="AG17" s="119"/>
      <c r="AH17" s="106"/>
      <c r="AI17" s="75"/>
      <c r="AJ17" s="70"/>
      <c r="AK17" s="79"/>
      <c r="AL17" s="109"/>
      <c r="AM17" s="6"/>
      <c r="AN17" s="82"/>
      <c r="AO17" s="87"/>
    </row>
    <row r="18" spans="3:41" ht="18.5" x14ac:dyDescent="0.45">
      <c r="C18" s="86"/>
      <c r="D18" s="71" t="s">
        <v>57</v>
      </c>
      <c r="E18" s="70"/>
      <c r="F18" s="211" t="s">
        <v>178</v>
      </c>
      <c r="G18" s="5"/>
      <c r="H18" s="77"/>
      <c r="I18" s="240"/>
      <c r="J18" s="211" t="s">
        <v>174</v>
      </c>
      <c r="K18" s="79"/>
      <c r="L18" s="79"/>
      <c r="M18" s="245"/>
      <c r="N18" s="109"/>
      <c r="O18" s="79"/>
      <c r="P18" s="79"/>
      <c r="Q18" s="82"/>
      <c r="R18" s="113"/>
      <c r="S18" s="108"/>
      <c r="T18" s="75"/>
      <c r="U18" s="70"/>
      <c r="V18" s="75"/>
      <c r="W18" s="89"/>
      <c r="X18" s="15"/>
      <c r="Y18" s="15"/>
      <c r="Z18" s="66"/>
      <c r="AA18" s="75"/>
      <c r="AB18" s="108"/>
      <c r="AC18" s="75"/>
      <c r="AD18" s="75"/>
      <c r="AE18" s="75"/>
      <c r="AF18" s="70"/>
      <c r="AG18" s="119"/>
      <c r="AH18" s="106"/>
      <c r="AI18" s="75"/>
      <c r="AJ18" s="70"/>
      <c r="AK18" s="79"/>
      <c r="AL18" s="109"/>
      <c r="AM18" s="6"/>
      <c r="AN18" s="82"/>
      <c r="AO18" s="87"/>
    </row>
    <row r="19" spans="3:41" ht="18.5" x14ac:dyDescent="0.45">
      <c r="C19" s="86"/>
      <c r="D19" s="69" t="s">
        <v>58</v>
      </c>
      <c r="E19" s="70"/>
      <c r="F19" s="211" t="s">
        <v>178</v>
      </c>
      <c r="G19" s="5"/>
      <c r="H19" s="77"/>
      <c r="I19" s="240"/>
      <c r="J19" s="211" t="s">
        <v>174</v>
      </c>
      <c r="K19" s="79"/>
      <c r="L19" s="79"/>
      <c r="M19" s="245"/>
      <c r="N19" s="109"/>
      <c r="O19" s="79"/>
      <c r="P19" s="79"/>
      <c r="Q19" s="82"/>
      <c r="R19" s="113"/>
      <c r="S19" s="108"/>
      <c r="T19" s="75"/>
      <c r="U19" s="70"/>
      <c r="V19" s="75"/>
      <c r="W19" s="89"/>
      <c r="X19" s="15"/>
      <c r="Y19" s="15"/>
      <c r="Z19" s="66"/>
      <c r="AA19" s="75"/>
      <c r="AB19" s="108"/>
      <c r="AC19" s="75"/>
      <c r="AD19" s="75"/>
      <c r="AE19" s="75"/>
      <c r="AF19" s="70"/>
      <c r="AG19" s="119"/>
      <c r="AH19" s="106"/>
      <c r="AI19" s="75"/>
      <c r="AJ19" s="70"/>
      <c r="AK19" s="79"/>
      <c r="AL19" s="109"/>
      <c r="AM19" s="6"/>
      <c r="AN19" s="82"/>
      <c r="AO19" s="87"/>
    </row>
    <row r="20" spans="3:41" ht="18.5" x14ac:dyDescent="0.45">
      <c r="C20" s="86"/>
      <c r="D20" s="71" t="s">
        <v>59</v>
      </c>
      <c r="E20" s="70"/>
      <c r="F20" s="211" t="s">
        <v>178</v>
      </c>
      <c r="G20" s="5"/>
      <c r="H20" s="77"/>
      <c r="I20" s="240"/>
      <c r="J20" s="211" t="s">
        <v>174</v>
      </c>
      <c r="K20" s="79"/>
      <c r="L20" s="79"/>
      <c r="M20" s="241"/>
      <c r="N20" s="109"/>
      <c r="O20" s="79"/>
      <c r="P20" s="79"/>
      <c r="Q20" s="82"/>
      <c r="R20" s="113"/>
      <c r="S20" s="108"/>
      <c r="T20" s="75"/>
      <c r="U20" s="70"/>
      <c r="V20" s="75"/>
      <c r="W20" s="89"/>
      <c r="X20" s="15"/>
      <c r="Y20" s="15"/>
      <c r="Z20" s="66"/>
      <c r="AA20" s="75"/>
      <c r="AB20" s="108"/>
      <c r="AC20" s="75"/>
      <c r="AD20" s="75"/>
      <c r="AE20" s="75"/>
      <c r="AF20" s="70"/>
      <c r="AG20" s="119"/>
      <c r="AH20" s="106"/>
      <c r="AI20" s="75"/>
      <c r="AJ20" s="70"/>
      <c r="AK20" s="79"/>
      <c r="AL20" s="109"/>
      <c r="AM20" s="6"/>
      <c r="AN20" s="82"/>
      <c r="AO20" s="87"/>
    </row>
    <row r="21" spans="3:41" ht="18.5" x14ac:dyDescent="0.45">
      <c r="C21" s="86"/>
      <c r="D21" s="71" t="s">
        <v>60</v>
      </c>
      <c r="E21" s="141" t="s">
        <v>90</v>
      </c>
      <c r="F21" s="211" t="s">
        <v>174</v>
      </c>
      <c r="G21" s="5"/>
      <c r="H21" s="109"/>
      <c r="I21" s="240"/>
      <c r="J21" s="211" t="s">
        <v>174</v>
      </c>
      <c r="K21" s="79"/>
      <c r="L21" s="79"/>
      <c r="M21" s="241"/>
      <c r="N21" s="109"/>
      <c r="O21" s="79"/>
      <c r="P21" s="79"/>
      <c r="Q21" s="82"/>
      <c r="R21" s="113"/>
      <c r="S21" s="108"/>
      <c r="T21" s="75"/>
      <c r="U21" s="70"/>
      <c r="V21" s="75"/>
      <c r="W21" s="89"/>
      <c r="X21" s="15"/>
      <c r="Y21" s="15"/>
      <c r="Z21" s="66"/>
      <c r="AA21" s="75"/>
      <c r="AB21" s="108"/>
      <c r="AC21" s="75"/>
      <c r="AD21" s="75"/>
      <c r="AE21" s="75"/>
      <c r="AF21" s="70"/>
      <c r="AG21" s="119"/>
      <c r="AH21" s="106"/>
      <c r="AI21" s="75"/>
      <c r="AJ21" s="70"/>
      <c r="AK21" s="79"/>
      <c r="AL21" s="109"/>
      <c r="AM21" s="6"/>
      <c r="AN21" s="82"/>
      <c r="AO21" s="87"/>
    </row>
    <row r="22" spans="3:41" ht="18.5" x14ac:dyDescent="0.45"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79"/>
      <c r="L22" s="79"/>
      <c r="M22" s="241"/>
      <c r="N22" s="109"/>
      <c r="O22" s="79"/>
      <c r="P22" s="79"/>
      <c r="Q22" s="82"/>
      <c r="R22" s="113"/>
      <c r="S22" s="108"/>
      <c r="T22" s="75"/>
      <c r="U22" s="70"/>
      <c r="V22" s="75"/>
      <c r="W22" s="89"/>
      <c r="X22" s="15"/>
      <c r="Y22" s="15"/>
      <c r="Z22" s="66"/>
      <c r="AA22" s="75"/>
      <c r="AB22" s="108"/>
      <c r="AC22" s="75"/>
      <c r="AD22" s="75"/>
      <c r="AE22" s="75"/>
      <c r="AF22" s="70"/>
      <c r="AG22" s="119"/>
      <c r="AH22" s="106"/>
      <c r="AI22" s="75"/>
      <c r="AJ22" s="70"/>
      <c r="AK22" s="79"/>
      <c r="AL22" s="109"/>
      <c r="AM22" s="6"/>
      <c r="AN22" s="82"/>
      <c r="AO22" s="87"/>
    </row>
    <row r="23" spans="3:41" ht="18.5" x14ac:dyDescent="0.45"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79"/>
      <c r="L23" s="79"/>
      <c r="M23" s="241"/>
      <c r="N23" s="109"/>
      <c r="O23" s="79"/>
      <c r="P23" s="79"/>
      <c r="Q23" s="82"/>
      <c r="R23" s="113"/>
      <c r="S23" s="108"/>
      <c r="T23" s="75"/>
      <c r="U23" s="70"/>
      <c r="V23" s="75"/>
      <c r="W23" s="89"/>
      <c r="X23" s="15"/>
      <c r="Y23" s="15"/>
      <c r="Z23" s="66"/>
      <c r="AA23" s="75"/>
      <c r="AB23" s="108"/>
      <c r="AC23" s="75"/>
      <c r="AD23" s="75"/>
      <c r="AE23" s="75"/>
      <c r="AF23" s="70"/>
      <c r="AG23" s="119"/>
      <c r="AH23" s="106"/>
      <c r="AI23" s="75"/>
      <c r="AJ23" s="70"/>
      <c r="AK23" s="79"/>
      <c r="AL23" s="109"/>
      <c r="AM23" s="6"/>
      <c r="AN23" s="82"/>
      <c r="AO23" s="87"/>
    </row>
    <row r="24" spans="3:41" ht="18.5" x14ac:dyDescent="0.45">
      <c r="C24" s="86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79"/>
      <c r="L24" s="79"/>
      <c r="M24" s="241"/>
      <c r="N24" s="109"/>
      <c r="O24" s="79"/>
      <c r="P24" s="79"/>
      <c r="Q24" s="82"/>
      <c r="R24" s="113"/>
      <c r="S24" s="108"/>
      <c r="T24" s="75"/>
      <c r="U24" s="70"/>
      <c r="V24" s="75"/>
      <c r="W24" s="89"/>
      <c r="X24" s="15"/>
      <c r="Y24" s="15"/>
      <c r="Z24" s="66"/>
      <c r="AA24" s="75"/>
      <c r="AB24" s="108"/>
      <c r="AC24" s="75"/>
      <c r="AD24" s="75"/>
      <c r="AE24" s="75"/>
      <c r="AF24" s="70"/>
      <c r="AG24" s="119"/>
      <c r="AH24" s="106"/>
      <c r="AI24" s="75"/>
      <c r="AJ24" s="70"/>
      <c r="AK24" s="79"/>
      <c r="AL24" s="109"/>
      <c r="AM24" s="6"/>
      <c r="AN24" s="82"/>
      <c r="AO24" s="87"/>
    </row>
    <row r="25" spans="3:41" ht="18.5" x14ac:dyDescent="0.45">
      <c r="C25" s="86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79"/>
      <c r="L25" s="79"/>
      <c r="M25" s="241"/>
      <c r="N25" s="109"/>
      <c r="O25" s="79"/>
      <c r="P25" s="79"/>
      <c r="Q25" s="82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5"/>
      <c r="AJ25" s="70"/>
      <c r="AK25" s="79"/>
      <c r="AL25" s="109"/>
      <c r="AM25" s="6"/>
      <c r="AN25" s="82"/>
      <c r="AO25" s="87"/>
    </row>
    <row r="26" spans="3:41" ht="19" thickBot="1" x14ac:dyDescent="0.5">
      <c r="C26" s="86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79"/>
      <c r="L26" s="79"/>
      <c r="M26" s="241"/>
      <c r="N26" s="109"/>
      <c r="O26" s="79"/>
      <c r="P26" s="79"/>
      <c r="Q26" s="82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5"/>
      <c r="AJ26" s="70"/>
      <c r="AK26" s="79"/>
      <c r="AL26" s="109"/>
      <c r="AM26" s="6"/>
      <c r="AN26" s="82"/>
      <c r="AO26" s="87"/>
    </row>
    <row r="27" spans="3:41" ht="19" thickBot="1" x14ac:dyDescent="0.5">
      <c r="C27" s="86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79"/>
      <c r="L27" s="79"/>
      <c r="M27" s="242"/>
      <c r="N27" s="110"/>
      <c r="O27" s="80"/>
      <c r="P27" s="80"/>
      <c r="Q27" s="81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2"/>
      <c r="AK27" s="79"/>
      <c r="AL27" s="110"/>
      <c r="AM27" s="134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19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AE10:AE27 N13 N12:Q12 N14:Q27 I16:I27 T10:T27 AH10:AH27 AC10:AC27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0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6"/>
      <c r="AL3" s="5"/>
      <c r="AM3" s="5"/>
      <c r="AN3" s="5"/>
      <c r="AO3" s="5"/>
    </row>
    <row r="4" spans="1:41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7"/>
      <c r="AL4" s="5"/>
      <c r="AM4" s="5"/>
      <c r="AN4" s="5"/>
      <c r="AO4" s="5"/>
    </row>
    <row r="5" spans="1:41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7"/>
      <c r="AL5" s="5"/>
      <c r="AM5" s="5"/>
      <c r="AN5" s="5"/>
      <c r="AO5" s="5"/>
    </row>
    <row r="6" spans="1:41" ht="15" thickBot="1" x14ac:dyDescent="0.4">
      <c r="A6" s="5"/>
      <c r="B6" s="5"/>
      <c r="C6" s="86"/>
      <c r="D6" s="295"/>
      <c r="E6" s="295"/>
      <c r="F6" s="5"/>
      <c r="G6" s="5"/>
      <c r="H6" s="295"/>
      <c r="I6" s="295"/>
      <c r="J6" s="15"/>
      <c r="K6" s="15"/>
      <c r="L6" s="5"/>
      <c r="M6" s="295"/>
      <c r="N6" s="295"/>
      <c r="O6" s="295"/>
      <c r="P6" s="295"/>
      <c r="Q6" s="5"/>
      <c r="R6" s="5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11"/>
      <c r="AH6" s="11"/>
      <c r="AI6" s="11"/>
      <c r="AJ6" s="11"/>
      <c r="AK6" s="87"/>
      <c r="AL6" s="5"/>
      <c r="AM6" s="5"/>
      <c r="AN6" s="5"/>
      <c r="AO6" s="5"/>
    </row>
    <row r="7" spans="1:41" ht="24" thickBot="1" x14ac:dyDescent="0.6">
      <c r="A7" s="5"/>
      <c r="B7" s="5"/>
      <c r="C7" s="86"/>
      <c r="D7" s="286" t="s">
        <v>48</v>
      </c>
      <c r="E7" s="287"/>
      <c r="F7" s="288"/>
      <c r="G7" s="5"/>
      <c r="H7" s="289" t="s">
        <v>49</v>
      </c>
      <c r="I7" s="290"/>
      <c r="J7" s="29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7"/>
      <c r="AL7" s="5"/>
      <c r="AM7" s="5"/>
      <c r="AN7" s="5"/>
      <c r="AO7" s="5"/>
    </row>
    <row r="8" spans="1:41" ht="24" thickBot="1" x14ac:dyDescent="0.6">
      <c r="A8" s="5"/>
      <c r="B8" s="5"/>
      <c r="C8" s="86"/>
      <c r="D8" s="73" t="s">
        <v>28</v>
      </c>
      <c r="E8" s="210" t="s">
        <v>0</v>
      </c>
      <c r="F8" s="213" t="s">
        <v>173</v>
      </c>
      <c r="G8" s="5"/>
      <c r="H8" s="99" t="s">
        <v>28</v>
      </c>
      <c r="I8" s="99" t="s">
        <v>50</v>
      </c>
      <c r="J8" s="74" t="s">
        <v>173</v>
      </c>
      <c r="K8" s="16"/>
      <c r="L8" s="5"/>
      <c r="M8" s="281" t="s">
        <v>68</v>
      </c>
      <c r="N8" s="282"/>
      <c r="O8" s="282"/>
      <c r="P8" s="282"/>
      <c r="Q8" s="283"/>
      <c r="R8" s="5"/>
      <c r="S8" s="275" t="s">
        <v>74</v>
      </c>
      <c r="T8" s="276"/>
      <c r="U8" s="277"/>
      <c r="V8" s="12"/>
      <c r="W8" s="278" t="s">
        <v>104</v>
      </c>
      <c r="X8" s="279"/>
      <c r="Y8" s="279"/>
      <c r="Z8" s="280"/>
      <c r="AA8" s="11"/>
      <c r="AB8" s="278" t="s">
        <v>81</v>
      </c>
      <c r="AC8" s="279"/>
      <c r="AD8" s="279"/>
      <c r="AE8" s="279"/>
      <c r="AF8" s="280"/>
      <c r="AG8" s="11"/>
      <c r="AH8" s="278" t="s">
        <v>6</v>
      </c>
      <c r="AI8" s="279"/>
      <c r="AJ8" s="280"/>
      <c r="AK8" s="87"/>
      <c r="AL8" s="5"/>
      <c r="AM8" s="5"/>
      <c r="AN8" s="5"/>
      <c r="AO8" s="5"/>
    </row>
    <row r="9" spans="1:41" ht="21.5" thickBot="1" x14ac:dyDescent="0.55000000000000004">
      <c r="A9" s="5"/>
      <c r="B9" s="5"/>
      <c r="C9" s="86"/>
      <c r="D9" s="67" t="s">
        <v>1</v>
      </c>
      <c r="E9" s="68"/>
      <c r="F9" s="211" t="s">
        <v>174</v>
      </c>
      <c r="G9" s="5"/>
      <c r="H9" s="67" t="s">
        <v>2</v>
      </c>
      <c r="I9" s="68"/>
      <c r="J9" s="96" t="s">
        <v>174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85" t="s">
        <v>100</v>
      </c>
      <c r="X9" s="198" t="s">
        <v>154</v>
      </c>
      <c r="Y9" s="198" t="s">
        <v>155</v>
      </c>
      <c r="Z9" s="199" t="s">
        <v>156</v>
      </c>
      <c r="AA9" s="11"/>
      <c r="AB9" s="85" t="s">
        <v>78</v>
      </c>
      <c r="AC9" s="85" t="s">
        <v>77</v>
      </c>
      <c r="AD9" s="85" t="s">
        <v>79</v>
      </c>
      <c r="AE9" s="85" t="s">
        <v>31</v>
      </c>
      <c r="AF9" s="85" t="s">
        <v>80</v>
      </c>
      <c r="AG9" s="11"/>
      <c r="AH9" s="176" t="s">
        <v>31</v>
      </c>
      <c r="AI9" s="176" t="s">
        <v>0</v>
      </c>
      <c r="AJ9" s="176" t="s">
        <v>120</v>
      </c>
      <c r="AK9" s="87"/>
      <c r="AL9" s="5"/>
      <c r="AM9" s="5"/>
      <c r="AN9" s="5"/>
      <c r="AO9" s="5"/>
    </row>
    <row r="10" spans="1:41" ht="18.5" x14ac:dyDescent="0.45">
      <c r="A10" s="5"/>
      <c r="B10" s="5"/>
      <c r="C10" s="86"/>
      <c r="D10" s="69" t="s">
        <v>3</v>
      </c>
      <c r="E10" s="70"/>
      <c r="F10" s="211" t="s">
        <v>174</v>
      </c>
      <c r="G10" s="5"/>
      <c r="H10" s="69" t="s">
        <v>63</v>
      </c>
      <c r="I10" s="104"/>
      <c r="J10" s="87" t="s">
        <v>183</v>
      </c>
      <c r="K10" s="79"/>
      <c r="L10" s="79"/>
      <c r="M10" s="67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105"/>
      <c r="W10" s="137"/>
      <c r="X10" s="83"/>
      <c r="Y10" s="138"/>
      <c r="Z10" s="136"/>
      <c r="AA10" s="75"/>
      <c r="AB10" s="102"/>
      <c r="AC10" s="103"/>
      <c r="AD10" s="103"/>
      <c r="AE10" s="103"/>
      <c r="AF10" s="70"/>
      <c r="AG10" s="119"/>
      <c r="AH10" s="139"/>
      <c r="AI10" s="83"/>
      <c r="AJ10" s="162"/>
      <c r="AK10" s="87"/>
      <c r="AL10" s="5"/>
      <c r="AM10" s="5"/>
      <c r="AN10" s="5"/>
      <c r="AO10" s="5"/>
    </row>
    <row r="11" spans="1:41" ht="19" thickBot="1" x14ac:dyDescent="0.5">
      <c r="A11" s="5"/>
      <c r="B11" s="5"/>
      <c r="C11" s="86"/>
      <c r="D11" s="69" t="s">
        <v>38</v>
      </c>
      <c r="E11" s="253" t="s">
        <v>205</v>
      </c>
      <c r="F11" s="211" t="s">
        <v>174</v>
      </c>
      <c r="G11" s="5"/>
      <c r="H11" s="69" t="s">
        <v>64</v>
      </c>
      <c r="I11" s="104"/>
      <c r="J11" s="87" t="str">
        <f>J14</f>
        <v>t/h</v>
      </c>
      <c r="K11" s="79"/>
      <c r="L11" s="79"/>
      <c r="M11" s="76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105"/>
      <c r="W11" s="108"/>
      <c r="X11" s="75"/>
      <c r="Y11" s="105"/>
      <c r="Z11" s="107"/>
      <c r="AA11" s="75"/>
      <c r="AB11" s="106"/>
      <c r="AC11" s="75"/>
      <c r="AD11" s="105"/>
      <c r="AE11" s="75"/>
      <c r="AF11" s="107"/>
      <c r="AG11" s="119"/>
      <c r="AH11" s="102"/>
      <c r="AI11" s="75"/>
      <c r="AJ11" s="92"/>
      <c r="AK11" s="87"/>
      <c r="AL11" s="5"/>
      <c r="AM11" s="5"/>
      <c r="AN11" s="5"/>
      <c r="AO11" s="5"/>
    </row>
    <row r="12" spans="1:41" ht="18.5" x14ac:dyDescent="0.45">
      <c r="A12" s="5"/>
      <c r="B12" s="5"/>
      <c r="C12" s="86"/>
      <c r="D12" s="69" t="s">
        <v>52</v>
      </c>
      <c r="F12" s="211" t="s">
        <v>174</v>
      </c>
      <c r="G12" s="5"/>
      <c r="H12" s="69" t="s">
        <v>65</v>
      </c>
      <c r="I12" s="104"/>
      <c r="J12" s="87" t="s">
        <v>174</v>
      </c>
      <c r="K12" s="79"/>
      <c r="L12" s="79"/>
      <c r="M12" s="243" t="s">
        <v>73</v>
      </c>
      <c r="N12" s="251"/>
      <c r="O12" s="177"/>
      <c r="P12" s="178"/>
      <c r="Q12" s="179"/>
      <c r="R12" s="113"/>
      <c r="S12" s="108"/>
      <c r="T12" s="124"/>
      <c r="U12" s="70"/>
      <c r="V12" s="105"/>
      <c r="W12" s="108"/>
      <c r="X12" s="75"/>
      <c r="Y12" s="44"/>
      <c r="Z12" s="30"/>
      <c r="AA12" s="44"/>
      <c r="AB12" s="51"/>
      <c r="AC12" s="75"/>
      <c r="AD12" s="44"/>
      <c r="AE12" s="75"/>
      <c r="AF12" s="107"/>
      <c r="AG12" s="119"/>
      <c r="AH12" s="102"/>
      <c r="AI12" s="75"/>
      <c r="AJ12" s="92"/>
      <c r="AK12" s="87"/>
      <c r="AL12" s="5"/>
      <c r="AM12" s="5"/>
      <c r="AN12" s="5"/>
      <c r="AO12" s="5"/>
    </row>
    <row r="13" spans="1:41" ht="18.5" x14ac:dyDescent="0.45">
      <c r="A13" s="5"/>
      <c r="B13" s="5"/>
      <c r="C13" s="86"/>
      <c r="D13" s="69" t="s">
        <v>53</v>
      </c>
      <c r="E13" s="70">
        <v>25</v>
      </c>
      <c r="F13" s="211" t="s">
        <v>174</v>
      </c>
      <c r="G13" s="5"/>
      <c r="H13" s="69" t="s">
        <v>66</v>
      </c>
      <c r="I13" s="104"/>
      <c r="J13" s="87" t="s">
        <v>186</v>
      </c>
      <c r="K13" s="79"/>
      <c r="L13" s="79"/>
      <c r="M13" s="244"/>
      <c r="N13" s="125"/>
      <c r="O13" s="75"/>
      <c r="P13" s="75"/>
      <c r="Q13" s="70"/>
      <c r="R13" s="113"/>
      <c r="S13" s="108"/>
      <c r="T13" s="119"/>
      <c r="U13" s="70"/>
      <c r="V13" s="44"/>
      <c r="W13" s="108"/>
      <c r="X13" s="75"/>
      <c r="Y13" s="44"/>
      <c r="Z13" s="30"/>
      <c r="AA13" s="44"/>
      <c r="AB13" s="51"/>
      <c r="AC13" s="75"/>
      <c r="AD13" s="44"/>
      <c r="AE13" s="75"/>
      <c r="AF13" s="107"/>
      <c r="AG13" s="119"/>
      <c r="AH13" s="102"/>
      <c r="AI13" s="75"/>
      <c r="AJ13" s="92"/>
      <c r="AK13" s="87"/>
      <c r="AL13" s="5"/>
      <c r="AM13" s="5"/>
      <c r="AN13" s="5"/>
      <c r="AO13" s="5"/>
    </row>
    <row r="14" spans="1:41" ht="19" thickBot="1" x14ac:dyDescent="0.5">
      <c r="A14" s="5"/>
      <c r="B14" s="5"/>
      <c r="C14" s="86"/>
      <c r="D14" s="69" t="s">
        <v>54</v>
      </c>
      <c r="E14" s="70">
        <v>2.6</v>
      </c>
      <c r="F14" s="211" t="s">
        <v>174</v>
      </c>
      <c r="G14" s="5"/>
      <c r="H14" s="76" t="s">
        <v>67</v>
      </c>
      <c r="I14" s="70"/>
      <c r="J14" s="87" t="s">
        <v>184</v>
      </c>
      <c r="K14" s="79"/>
      <c r="L14" s="79"/>
      <c r="M14" s="245"/>
      <c r="N14" s="109"/>
      <c r="O14" s="79"/>
      <c r="P14" s="79"/>
      <c r="Q14" s="82"/>
      <c r="R14" s="113"/>
      <c r="S14" s="108"/>
      <c r="T14" s="75"/>
      <c r="U14" s="70"/>
      <c r="V14" s="44"/>
      <c r="W14" s="108"/>
      <c r="X14" s="75"/>
      <c r="Y14" s="44"/>
      <c r="Z14" s="30"/>
      <c r="AA14" s="44"/>
      <c r="AB14" s="51"/>
      <c r="AC14" s="75"/>
      <c r="AD14" s="44"/>
      <c r="AE14" s="75"/>
      <c r="AF14" s="107"/>
      <c r="AG14" s="119"/>
      <c r="AH14" s="102"/>
      <c r="AI14" s="75"/>
      <c r="AJ14" s="92"/>
      <c r="AK14" s="87"/>
      <c r="AL14" s="5"/>
      <c r="AM14" s="5"/>
      <c r="AN14" s="5"/>
      <c r="AO14" s="5"/>
    </row>
    <row r="15" spans="1:41" ht="19" thickBot="1" x14ac:dyDescent="0.5">
      <c r="A15" s="5"/>
      <c r="B15" s="5"/>
      <c r="C15" s="86"/>
      <c r="D15" s="69" t="s">
        <v>55</v>
      </c>
      <c r="E15" s="70">
        <v>1.44</v>
      </c>
      <c r="F15" s="211" t="s">
        <v>174</v>
      </c>
      <c r="G15" s="5"/>
      <c r="H15" s="238" t="s">
        <v>51</v>
      </c>
      <c r="I15" s="239"/>
      <c r="J15" s="214" t="s">
        <v>174</v>
      </c>
      <c r="K15" s="79"/>
      <c r="L15" s="79"/>
      <c r="M15" s="245"/>
      <c r="N15" s="109"/>
      <c r="O15" s="79"/>
      <c r="P15" s="79"/>
      <c r="Q15" s="82"/>
      <c r="R15" s="113"/>
      <c r="S15" s="108"/>
      <c r="T15" s="75"/>
      <c r="U15" s="70"/>
      <c r="V15" s="44"/>
      <c r="W15" s="89"/>
      <c r="X15" s="15"/>
      <c r="Y15" s="15"/>
      <c r="Z15" s="66"/>
      <c r="AA15" s="75"/>
      <c r="AB15" s="108"/>
      <c r="AC15" s="75"/>
      <c r="AD15" s="75"/>
      <c r="AE15" s="75"/>
      <c r="AF15" s="107"/>
      <c r="AG15" s="119"/>
      <c r="AH15" s="102"/>
      <c r="AI15" s="75"/>
      <c r="AJ15" s="92"/>
      <c r="AK15" s="87"/>
      <c r="AL15" s="5"/>
      <c r="AM15" s="5"/>
      <c r="AN15" s="5"/>
      <c r="AO15" s="5"/>
    </row>
    <row r="16" spans="1:41" ht="18.5" x14ac:dyDescent="0.45">
      <c r="A16" s="5"/>
      <c r="B16" s="5"/>
      <c r="C16" s="86"/>
      <c r="D16" s="69" t="s">
        <v>56</v>
      </c>
      <c r="E16" s="70"/>
      <c r="F16" s="211" t="s">
        <v>178</v>
      </c>
      <c r="G16" s="5"/>
      <c r="H16" s="76"/>
      <c r="I16" s="240"/>
      <c r="J16" s="211" t="s">
        <v>174</v>
      </c>
      <c r="K16" s="79"/>
      <c r="L16" s="79"/>
      <c r="M16" s="245"/>
      <c r="N16" s="109"/>
      <c r="O16" s="79"/>
      <c r="P16" s="79"/>
      <c r="Q16" s="82"/>
      <c r="R16" s="113"/>
      <c r="S16" s="108"/>
      <c r="T16" s="75"/>
      <c r="U16" s="70"/>
      <c r="V16" s="75"/>
      <c r="W16" s="89"/>
      <c r="X16" s="15"/>
      <c r="Y16" s="15"/>
      <c r="Z16" s="66"/>
      <c r="AA16" s="75"/>
      <c r="AB16" s="108"/>
      <c r="AC16" s="75"/>
      <c r="AD16" s="75"/>
      <c r="AE16" s="75"/>
      <c r="AF16" s="70"/>
      <c r="AG16" s="119"/>
      <c r="AH16" s="108"/>
      <c r="AI16" s="75"/>
      <c r="AJ16" s="92"/>
      <c r="AK16" s="87"/>
      <c r="AL16" s="5"/>
      <c r="AM16" s="5"/>
      <c r="AN16" s="5"/>
      <c r="AO16" s="5"/>
    </row>
    <row r="17" spans="1:41" ht="18.5" x14ac:dyDescent="0.45">
      <c r="A17" s="5"/>
      <c r="B17" s="5"/>
      <c r="C17" s="86"/>
      <c r="D17" s="71" t="s">
        <v>57</v>
      </c>
      <c r="E17" s="70"/>
      <c r="F17" s="211" t="s">
        <v>178</v>
      </c>
      <c r="G17" s="5"/>
      <c r="H17" s="77"/>
      <c r="I17" s="240"/>
      <c r="J17" s="211" t="s">
        <v>174</v>
      </c>
      <c r="K17" s="79"/>
      <c r="L17" s="79"/>
      <c r="M17" s="245"/>
      <c r="N17" s="109"/>
      <c r="O17" s="79"/>
      <c r="P17" s="79"/>
      <c r="Q17" s="82"/>
      <c r="R17" s="113"/>
      <c r="S17" s="108"/>
      <c r="T17" s="75"/>
      <c r="U17" s="70"/>
      <c r="V17" s="75"/>
      <c r="W17" s="89"/>
      <c r="X17" s="15"/>
      <c r="Y17" s="15"/>
      <c r="Z17" s="66"/>
      <c r="AA17" s="75"/>
      <c r="AB17" s="108"/>
      <c r="AC17" s="75"/>
      <c r="AD17" s="75"/>
      <c r="AE17" s="75"/>
      <c r="AF17" s="70"/>
      <c r="AG17" s="119"/>
      <c r="AH17" s="108"/>
      <c r="AI17" s="75"/>
      <c r="AJ17" s="92"/>
      <c r="AK17" s="87"/>
      <c r="AL17" s="5"/>
      <c r="AM17" s="5"/>
      <c r="AN17" s="5"/>
      <c r="AO17" s="5"/>
    </row>
    <row r="18" spans="1:41" ht="18.5" x14ac:dyDescent="0.45">
      <c r="A18" s="5"/>
      <c r="B18" s="5"/>
      <c r="C18" s="86"/>
      <c r="D18" s="69" t="s">
        <v>58</v>
      </c>
      <c r="E18" s="70"/>
      <c r="F18" s="211" t="s">
        <v>178</v>
      </c>
      <c r="G18" s="5"/>
      <c r="H18" s="77"/>
      <c r="I18" s="240"/>
      <c r="J18" s="211" t="s">
        <v>174</v>
      </c>
      <c r="K18" s="79"/>
      <c r="L18" s="79"/>
      <c r="M18" s="245"/>
      <c r="N18" s="109"/>
      <c r="O18" s="79"/>
      <c r="P18" s="79"/>
      <c r="Q18" s="82"/>
      <c r="R18" s="113"/>
      <c r="S18" s="108"/>
      <c r="T18" s="75"/>
      <c r="U18" s="70"/>
      <c r="V18" s="75"/>
      <c r="W18" s="89"/>
      <c r="X18" s="15"/>
      <c r="Y18" s="15"/>
      <c r="Z18" s="66"/>
      <c r="AA18" s="75"/>
      <c r="AB18" s="108"/>
      <c r="AC18" s="75"/>
      <c r="AD18" s="75"/>
      <c r="AE18" s="75"/>
      <c r="AF18" s="70"/>
      <c r="AG18" s="119"/>
      <c r="AH18" s="108"/>
      <c r="AI18" s="75"/>
      <c r="AJ18" s="92"/>
      <c r="AK18" s="87"/>
      <c r="AL18" s="5"/>
      <c r="AM18" s="5"/>
      <c r="AN18" s="5"/>
      <c r="AO18" s="5"/>
    </row>
    <row r="19" spans="1:41" ht="18.5" x14ac:dyDescent="0.45">
      <c r="A19" s="5"/>
      <c r="B19" s="5"/>
      <c r="C19" s="86"/>
      <c r="D19" s="71" t="s">
        <v>59</v>
      </c>
      <c r="E19" s="70"/>
      <c r="F19" s="211" t="s">
        <v>178</v>
      </c>
      <c r="G19" s="5"/>
      <c r="H19" s="77"/>
      <c r="I19" s="240"/>
      <c r="J19" s="211" t="s">
        <v>174</v>
      </c>
      <c r="K19" s="79"/>
      <c r="L19" s="79"/>
      <c r="M19" s="245"/>
      <c r="N19" s="109"/>
      <c r="O19" s="79"/>
      <c r="P19" s="79"/>
      <c r="Q19" s="82"/>
      <c r="R19" s="113"/>
      <c r="S19" s="108"/>
      <c r="T19" s="75"/>
      <c r="U19" s="70"/>
      <c r="V19" s="75"/>
      <c r="W19" s="89"/>
      <c r="X19" s="15"/>
      <c r="Y19" s="15"/>
      <c r="Z19" s="66"/>
      <c r="AA19" s="75"/>
      <c r="AB19" s="108"/>
      <c r="AC19" s="75"/>
      <c r="AD19" s="75"/>
      <c r="AE19" s="75"/>
      <c r="AF19" s="70"/>
      <c r="AG19" s="119"/>
      <c r="AH19" s="108"/>
      <c r="AI19" s="75"/>
      <c r="AJ19" s="92"/>
      <c r="AK19" s="87"/>
      <c r="AL19" s="5"/>
      <c r="AM19" s="5"/>
      <c r="AN19" s="5"/>
      <c r="AO19" s="5"/>
    </row>
    <row r="20" spans="1:41" ht="18.5" x14ac:dyDescent="0.45">
      <c r="A20" s="5"/>
      <c r="B20" s="5"/>
      <c r="C20" s="86"/>
      <c r="D20" s="71" t="s">
        <v>60</v>
      </c>
      <c r="E20" s="141" t="s">
        <v>90</v>
      </c>
      <c r="F20" s="211" t="s">
        <v>174</v>
      </c>
      <c r="G20" s="5"/>
      <c r="H20" s="109"/>
      <c r="I20" s="240"/>
      <c r="J20" s="211" t="s">
        <v>174</v>
      </c>
      <c r="K20" s="79"/>
      <c r="L20" s="79"/>
      <c r="M20" s="241"/>
      <c r="N20" s="109"/>
      <c r="O20" s="79"/>
      <c r="P20" s="79"/>
      <c r="Q20" s="82"/>
      <c r="R20" s="113"/>
      <c r="S20" s="108"/>
      <c r="T20" s="75"/>
      <c r="U20" s="70"/>
      <c r="V20" s="75"/>
      <c r="W20" s="89"/>
      <c r="X20" s="15"/>
      <c r="Y20" s="15"/>
      <c r="Z20" s="66"/>
      <c r="AA20" s="75"/>
      <c r="AB20" s="108"/>
      <c r="AC20" s="75"/>
      <c r="AD20" s="75"/>
      <c r="AE20" s="75"/>
      <c r="AF20" s="70"/>
      <c r="AG20" s="119"/>
      <c r="AH20" s="108"/>
      <c r="AI20" s="75"/>
      <c r="AJ20" s="92"/>
      <c r="AK20" s="87"/>
      <c r="AL20" s="5"/>
      <c r="AM20" s="5"/>
      <c r="AN20" s="5"/>
      <c r="AO20" s="5"/>
    </row>
    <row r="21" spans="1:41" ht="18.5" x14ac:dyDescent="0.45">
      <c r="A21" s="5"/>
      <c r="B21" s="5"/>
      <c r="C21" s="86"/>
      <c r="D21" s="71" t="s">
        <v>61</v>
      </c>
      <c r="E21" s="70"/>
      <c r="F21" s="211" t="s">
        <v>174</v>
      </c>
      <c r="G21" s="5"/>
      <c r="H21" s="109"/>
      <c r="I21" s="240"/>
      <c r="J21" s="211" t="s">
        <v>174</v>
      </c>
      <c r="K21" s="79"/>
      <c r="L21" s="79"/>
      <c r="M21" s="241"/>
      <c r="N21" s="109"/>
      <c r="O21" s="79"/>
      <c r="P21" s="79"/>
      <c r="Q21" s="82"/>
      <c r="R21" s="113"/>
      <c r="S21" s="108"/>
      <c r="T21" s="75"/>
      <c r="U21" s="70"/>
      <c r="V21" s="75"/>
      <c r="W21" s="89"/>
      <c r="X21" s="15"/>
      <c r="Y21" s="15"/>
      <c r="Z21" s="66"/>
      <c r="AA21" s="75"/>
      <c r="AB21" s="108"/>
      <c r="AC21" s="75"/>
      <c r="AD21" s="75"/>
      <c r="AE21" s="75"/>
      <c r="AF21" s="70"/>
      <c r="AG21" s="119"/>
      <c r="AH21" s="108"/>
      <c r="AI21" s="75"/>
      <c r="AJ21" s="92"/>
      <c r="AK21" s="87"/>
      <c r="AL21" s="5"/>
      <c r="AM21" s="5"/>
      <c r="AN21" s="5"/>
      <c r="AO21" s="5"/>
    </row>
    <row r="22" spans="1:41" ht="18.5" x14ac:dyDescent="0.45">
      <c r="A22" s="5"/>
      <c r="B22" s="5"/>
      <c r="C22" s="86"/>
      <c r="D22" s="71" t="s">
        <v>62</v>
      </c>
      <c r="E22" s="70"/>
      <c r="F22" s="211" t="s">
        <v>174</v>
      </c>
      <c r="G22" s="5"/>
      <c r="H22" s="109"/>
      <c r="I22" s="241"/>
      <c r="J22" s="211" t="s">
        <v>174</v>
      </c>
      <c r="K22" s="79"/>
      <c r="L22" s="79"/>
      <c r="M22" s="241"/>
      <c r="N22" s="109"/>
      <c r="O22" s="79"/>
      <c r="P22" s="79"/>
      <c r="Q22" s="82"/>
      <c r="R22" s="113"/>
      <c r="S22" s="108"/>
      <c r="T22" s="75"/>
      <c r="U22" s="70"/>
      <c r="V22" s="75"/>
      <c r="W22" s="89"/>
      <c r="X22" s="15"/>
      <c r="Y22" s="15"/>
      <c r="Z22" s="66"/>
      <c r="AA22" s="75"/>
      <c r="AB22" s="108"/>
      <c r="AC22" s="75"/>
      <c r="AD22" s="75"/>
      <c r="AE22" s="75"/>
      <c r="AF22" s="70"/>
      <c r="AG22" s="119"/>
      <c r="AH22" s="108"/>
      <c r="AI22" s="75"/>
      <c r="AJ22" s="92"/>
      <c r="AK22" s="87"/>
      <c r="AL22" s="5"/>
      <c r="AM22" s="5"/>
      <c r="AN22" s="5"/>
      <c r="AO22" s="5"/>
    </row>
    <row r="23" spans="1:41" ht="18.5" x14ac:dyDescent="0.45">
      <c r="A23" s="5"/>
      <c r="B23" s="5"/>
      <c r="C23" s="86"/>
      <c r="D23" s="131" t="s">
        <v>82</v>
      </c>
      <c r="E23" s="92"/>
      <c r="F23" s="211" t="s">
        <v>174</v>
      </c>
      <c r="G23" s="11"/>
      <c r="H23" s="109"/>
      <c r="I23" s="241"/>
      <c r="J23" s="211" t="s">
        <v>174</v>
      </c>
      <c r="K23" s="79"/>
      <c r="L23" s="79"/>
      <c r="M23" s="241"/>
      <c r="N23" s="109"/>
      <c r="O23" s="79"/>
      <c r="P23" s="79"/>
      <c r="Q23" s="82"/>
      <c r="R23" s="113"/>
      <c r="S23" s="108"/>
      <c r="T23" s="75"/>
      <c r="U23" s="70"/>
      <c r="V23" s="75"/>
      <c r="W23" s="89"/>
      <c r="X23" s="15"/>
      <c r="Y23" s="15"/>
      <c r="Z23" s="66"/>
      <c r="AA23" s="75"/>
      <c r="AB23" s="108"/>
      <c r="AC23" s="75"/>
      <c r="AD23" s="75"/>
      <c r="AE23" s="75"/>
      <c r="AF23" s="70"/>
      <c r="AG23" s="119"/>
      <c r="AH23" s="108"/>
      <c r="AI23" s="75"/>
      <c r="AJ23" s="92"/>
      <c r="AK23" s="87"/>
      <c r="AL23" s="5"/>
      <c r="AM23" s="5"/>
      <c r="AN23" s="5"/>
      <c r="AO23" s="5"/>
    </row>
    <row r="24" spans="1:41" ht="18.5" x14ac:dyDescent="0.45">
      <c r="A24" s="5"/>
      <c r="B24" s="5"/>
      <c r="C24" s="86"/>
      <c r="D24" s="131" t="s">
        <v>83</v>
      </c>
      <c r="E24" s="92"/>
      <c r="F24" s="211" t="s">
        <v>174</v>
      </c>
      <c r="G24" s="11"/>
      <c r="H24" s="109"/>
      <c r="I24" s="241"/>
      <c r="J24" s="211" t="s">
        <v>174</v>
      </c>
      <c r="K24" s="79"/>
      <c r="L24" s="79"/>
      <c r="M24" s="241"/>
      <c r="N24" s="109"/>
      <c r="O24" s="79"/>
      <c r="P24" s="79"/>
      <c r="Q24" s="82"/>
      <c r="R24" s="113"/>
      <c r="S24" s="108"/>
      <c r="T24" s="75"/>
      <c r="U24" s="70"/>
      <c r="V24" s="75"/>
      <c r="W24" s="89"/>
      <c r="X24" s="15"/>
      <c r="Y24" s="15"/>
      <c r="Z24" s="66"/>
      <c r="AA24" s="75"/>
      <c r="AB24" s="108"/>
      <c r="AC24" s="75"/>
      <c r="AD24" s="75"/>
      <c r="AE24" s="75"/>
      <c r="AF24" s="70"/>
      <c r="AG24" s="119"/>
      <c r="AH24" s="108"/>
      <c r="AI24" s="75"/>
      <c r="AJ24" s="92"/>
      <c r="AK24" s="87"/>
      <c r="AL24" s="5"/>
      <c r="AM24" s="5"/>
      <c r="AN24" s="5"/>
      <c r="AO24" s="5"/>
    </row>
    <row r="25" spans="1:41" ht="19" thickBot="1" x14ac:dyDescent="0.5">
      <c r="A25" s="5"/>
      <c r="B25" s="5"/>
      <c r="C25" s="86"/>
      <c r="D25" s="132" t="s">
        <v>84</v>
      </c>
      <c r="E25" s="65"/>
      <c r="F25" s="212" t="s">
        <v>174</v>
      </c>
      <c r="G25" s="5"/>
      <c r="H25" s="109"/>
      <c r="I25" s="241"/>
      <c r="J25" s="211" t="s">
        <v>174</v>
      </c>
      <c r="K25" s="79"/>
      <c r="L25" s="79"/>
      <c r="M25" s="241"/>
      <c r="N25" s="109"/>
      <c r="O25" s="79"/>
      <c r="P25" s="79"/>
      <c r="Q25" s="82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5"/>
      <c r="AJ25" s="92"/>
      <c r="AK25" s="87"/>
      <c r="AL25" s="5"/>
      <c r="AM25" s="5"/>
      <c r="AN25" s="5"/>
      <c r="AO25" s="5"/>
    </row>
    <row r="26" spans="1:41" ht="19" thickBot="1" x14ac:dyDescent="0.5">
      <c r="A26" s="5"/>
      <c r="B26" s="5"/>
      <c r="C26" s="86"/>
      <c r="D26" s="132" t="s">
        <v>105</v>
      </c>
      <c r="E26" s="72">
        <f>Systemblatt!C11</f>
        <v>8000</v>
      </c>
      <c r="F26" s="212" t="s">
        <v>176</v>
      </c>
      <c r="G26" s="5"/>
      <c r="H26" s="110"/>
      <c r="I26" s="242"/>
      <c r="J26" s="212" t="s">
        <v>174</v>
      </c>
      <c r="K26" s="79"/>
      <c r="L26" s="79"/>
      <c r="M26" s="241"/>
      <c r="N26" s="109"/>
      <c r="O26" s="79"/>
      <c r="P26" s="79"/>
      <c r="Q26" s="82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5"/>
      <c r="AJ26" s="92"/>
      <c r="AK26" s="87"/>
      <c r="AL26" s="5"/>
      <c r="AM26" s="5"/>
      <c r="AN26" s="5"/>
      <c r="AO26" s="5"/>
    </row>
    <row r="27" spans="1:41" ht="19" thickBot="1" x14ac:dyDescent="0.5">
      <c r="A27" s="5"/>
      <c r="B27" s="5"/>
      <c r="C27" s="86"/>
      <c r="D27" s="79"/>
      <c r="E27" s="79"/>
      <c r="F27" s="79"/>
      <c r="G27" s="79"/>
      <c r="H27" s="79"/>
      <c r="I27" s="79"/>
      <c r="J27" s="79"/>
      <c r="K27" s="79"/>
      <c r="L27" s="79"/>
      <c r="M27" s="242"/>
      <c r="N27" s="110"/>
      <c r="O27" s="80"/>
      <c r="P27" s="80"/>
      <c r="Q27" s="81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4"/>
      <c r="AK27" s="87"/>
      <c r="AL27" s="5"/>
      <c r="AM27" s="5"/>
      <c r="AN27" s="5"/>
      <c r="AO27" s="5"/>
    </row>
    <row r="28" spans="1:41" x14ac:dyDescent="0.35">
      <c r="A28" s="5"/>
      <c r="B28" s="5"/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7"/>
      <c r="AL28" s="5"/>
      <c r="AM28" s="5"/>
      <c r="AN28" s="5"/>
      <c r="AO28" s="5"/>
    </row>
    <row r="29" spans="1:41" x14ac:dyDescent="0.35">
      <c r="A29" s="5"/>
      <c r="B29" s="5"/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7"/>
      <c r="AL29" s="5"/>
      <c r="AM29" s="5"/>
      <c r="AN29" s="5"/>
      <c r="AO29" s="5"/>
    </row>
    <row r="30" spans="1:41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7"/>
      <c r="AL30" s="5"/>
      <c r="AM30" s="5"/>
      <c r="AN30" s="5"/>
      <c r="AO30" s="5"/>
    </row>
    <row r="31" spans="1:41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7"/>
      <c r="AL31" s="5"/>
      <c r="AM31" s="5"/>
      <c r="AN31" s="5"/>
      <c r="AO31" s="5"/>
    </row>
    <row r="32" spans="1:41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7"/>
      <c r="AL32" s="5"/>
      <c r="AM32" s="5"/>
      <c r="AN32" s="5"/>
      <c r="AO32" s="5"/>
    </row>
    <row r="33" spans="1:41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7"/>
      <c r="AL33" s="5"/>
      <c r="AM33" s="5"/>
      <c r="AN33" s="5"/>
      <c r="AO33" s="5"/>
    </row>
    <row r="34" spans="1:41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7"/>
      <c r="AL34" s="5"/>
      <c r="AM34" s="5"/>
      <c r="AN34" s="5"/>
      <c r="AO34" s="5"/>
    </row>
    <row r="35" spans="1:41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7"/>
      <c r="AL35" s="5"/>
      <c r="AM35" s="5"/>
      <c r="AN35" s="5"/>
      <c r="AO35" s="5"/>
    </row>
    <row r="36" spans="1:41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7"/>
      <c r="AL36" s="5"/>
      <c r="AM36" s="5"/>
      <c r="AN36" s="5"/>
      <c r="AO36" s="5"/>
    </row>
    <row r="37" spans="1:41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7"/>
      <c r="AL37" s="5"/>
      <c r="AM37" s="5"/>
      <c r="AN37" s="5"/>
      <c r="AO37" s="5"/>
    </row>
    <row r="38" spans="1:41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7"/>
      <c r="AL38" s="5"/>
      <c r="AM38" s="5"/>
      <c r="AN38" s="5"/>
      <c r="AO38" s="5"/>
    </row>
    <row r="39" spans="1:41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7"/>
      <c r="AL39" s="5"/>
      <c r="AM39" s="5"/>
      <c r="AN39" s="5"/>
      <c r="AO39" s="5"/>
    </row>
    <row r="40" spans="1:41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7"/>
      <c r="AL40" s="5"/>
      <c r="AM40" s="5"/>
      <c r="AN40" s="5"/>
      <c r="AO40" s="5"/>
    </row>
    <row r="41" spans="1:41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7"/>
      <c r="AL41" s="5"/>
      <c r="AM41" s="5"/>
      <c r="AN41" s="5"/>
      <c r="AO41" s="5"/>
    </row>
    <row r="42" spans="1:41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7"/>
      <c r="AL42" s="5"/>
      <c r="AM42" s="5"/>
      <c r="AN42" s="5"/>
      <c r="AO42" s="5"/>
    </row>
    <row r="43" spans="1:41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7"/>
      <c r="AL43" s="5"/>
      <c r="AM43" s="5"/>
      <c r="AN43" s="5"/>
      <c r="AO43" s="5"/>
    </row>
    <row r="44" spans="1:41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7"/>
      <c r="AL44" s="5"/>
      <c r="AM44" s="5"/>
      <c r="AN44" s="5"/>
      <c r="AO44" s="5"/>
    </row>
    <row r="45" spans="1:41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7"/>
      <c r="AL45" s="5"/>
      <c r="AM45" s="5"/>
      <c r="AN45" s="5"/>
      <c r="AO45" s="5"/>
    </row>
    <row r="46" spans="1:41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7"/>
      <c r="AL46" s="5"/>
      <c r="AM46" s="5"/>
      <c r="AN46" s="5"/>
      <c r="AO46" s="5"/>
    </row>
    <row r="47" spans="1:41" ht="18.5" x14ac:dyDescent="0.35">
      <c r="A47" s="5"/>
      <c r="B47" s="5"/>
      <c r="C47" s="86"/>
      <c r="D47" s="5"/>
      <c r="E47" s="5"/>
      <c r="F47" s="5"/>
      <c r="G47" s="5"/>
      <c r="H47" s="5"/>
      <c r="I47" s="5"/>
      <c r="J47" s="5"/>
      <c r="K47" s="98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7"/>
      <c r="AL47" s="5"/>
      <c r="AM47" s="5"/>
      <c r="AN47" s="5"/>
      <c r="AO47" s="5"/>
    </row>
    <row r="48" spans="1:41" ht="15.5" x14ac:dyDescent="0.35">
      <c r="A48" s="5"/>
      <c r="B48" s="5"/>
      <c r="C48" s="86"/>
      <c r="D48" s="5"/>
      <c r="E48" s="5"/>
      <c r="F48" s="5"/>
      <c r="G48" s="5"/>
      <c r="H48" s="5"/>
      <c r="I48" s="5"/>
      <c r="J48" s="5"/>
      <c r="K48" s="9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7"/>
      <c r="AL48" s="5"/>
      <c r="AM48" s="5"/>
      <c r="AN48" s="5"/>
      <c r="AO48" s="5"/>
    </row>
    <row r="49" spans="1:41" ht="15.5" x14ac:dyDescent="0.35">
      <c r="A49" s="5"/>
      <c r="B49" s="5"/>
      <c r="C49" s="86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7"/>
      <c r="AL49" s="5"/>
      <c r="AM49" s="5"/>
      <c r="AN49" s="5"/>
      <c r="AO49" s="5"/>
    </row>
    <row r="50" spans="1:41" ht="15.5" x14ac:dyDescent="0.35">
      <c r="A50" s="5"/>
      <c r="B50" s="5"/>
      <c r="C50" s="86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7"/>
      <c r="AL50" s="5"/>
      <c r="AM50" s="5"/>
      <c r="AN50" s="5"/>
      <c r="AO50" s="5"/>
    </row>
    <row r="51" spans="1:41" ht="15.5" x14ac:dyDescent="0.35">
      <c r="A51" s="5"/>
      <c r="B51" s="5"/>
      <c r="C51" s="86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7"/>
      <c r="AL51" s="5"/>
      <c r="AM51" s="5"/>
      <c r="AN51" s="5"/>
      <c r="AO51" s="5"/>
    </row>
    <row r="52" spans="1:41" ht="15.5" x14ac:dyDescent="0.35">
      <c r="A52" s="5"/>
      <c r="B52" s="5"/>
      <c r="C52" s="86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7"/>
      <c r="AL52" s="5"/>
      <c r="AM52" s="5"/>
      <c r="AN52" s="5"/>
      <c r="AO52" s="5"/>
    </row>
    <row r="53" spans="1:41" ht="15.5" x14ac:dyDescent="0.35">
      <c r="A53" s="5"/>
      <c r="B53" s="5"/>
      <c r="C53" s="86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7"/>
      <c r="AL53" s="5"/>
      <c r="AM53" s="5"/>
      <c r="AN53" s="5"/>
      <c r="AO53" s="5"/>
    </row>
    <row r="54" spans="1:41" ht="15.5" x14ac:dyDescent="0.35">
      <c r="A54" s="5"/>
      <c r="B54" s="5"/>
      <c r="C54" s="86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7"/>
      <c r="AL54" s="5"/>
      <c r="AM54" s="5"/>
      <c r="AN54" s="5"/>
      <c r="AO54" s="5"/>
    </row>
    <row r="55" spans="1:41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7"/>
      <c r="AL55" s="5"/>
      <c r="AM55" s="5"/>
      <c r="AN55" s="5"/>
      <c r="AO55" s="5"/>
    </row>
    <row r="56" spans="1:41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7"/>
      <c r="AL56" s="5"/>
      <c r="AM56" s="5"/>
      <c r="AN56" s="5"/>
      <c r="AO56" s="5"/>
    </row>
    <row r="57" spans="1:41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7"/>
      <c r="AL57" s="5"/>
      <c r="AM57" s="5"/>
      <c r="AN57" s="5"/>
      <c r="AO57" s="5"/>
    </row>
    <row r="58" spans="1:41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7"/>
      <c r="AL58" s="5"/>
      <c r="AM58" s="5"/>
      <c r="AN58" s="5"/>
      <c r="AO58" s="5"/>
    </row>
    <row r="59" spans="1:41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7"/>
      <c r="AL59" s="5"/>
      <c r="AM59" s="5"/>
      <c r="AN59" s="5"/>
      <c r="AO59" s="5"/>
    </row>
    <row r="60" spans="1:41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7"/>
      <c r="AL60" s="5"/>
      <c r="AM60" s="5"/>
      <c r="AN60" s="5"/>
      <c r="AO60" s="5"/>
    </row>
    <row r="61" spans="1:41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7"/>
      <c r="AL61" s="5"/>
      <c r="AM61" s="5"/>
      <c r="AN61" s="5"/>
      <c r="AO61" s="5"/>
    </row>
    <row r="62" spans="1:41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7"/>
      <c r="AL62" s="5"/>
      <c r="AM62" s="5"/>
      <c r="AN62" s="5"/>
      <c r="AO62" s="5"/>
    </row>
    <row r="63" spans="1:41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7"/>
      <c r="AL63" s="5"/>
      <c r="AM63" s="5"/>
      <c r="AN63" s="5"/>
      <c r="AO63" s="5"/>
    </row>
    <row r="64" spans="1:41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7"/>
      <c r="AL64" s="5"/>
      <c r="AM64" s="5"/>
      <c r="AN64" s="5"/>
      <c r="AO64" s="5"/>
    </row>
    <row r="65" spans="1:41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7"/>
      <c r="AL65" s="5"/>
      <c r="AM65" s="5"/>
      <c r="AN65" s="5"/>
      <c r="AO65" s="5"/>
    </row>
    <row r="66" spans="1:41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7"/>
      <c r="AL66" s="5"/>
      <c r="AM66" s="5"/>
      <c r="AN66" s="5"/>
      <c r="AO66" s="5"/>
    </row>
    <row r="67" spans="1:41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7"/>
      <c r="AL67" s="5"/>
      <c r="AM67" s="5"/>
      <c r="AN67" s="5"/>
      <c r="AO67" s="5"/>
    </row>
    <row r="68" spans="1:41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7"/>
      <c r="AL68" s="5"/>
      <c r="AM68" s="5"/>
      <c r="AN68" s="5"/>
      <c r="AO68" s="5"/>
    </row>
    <row r="69" spans="1:41" x14ac:dyDescent="0.35">
      <c r="A69" s="5"/>
      <c r="B69" s="5"/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7"/>
      <c r="AL69" s="5"/>
      <c r="AM69" s="5"/>
      <c r="AN69" s="5"/>
      <c r="AO69" s="5"/>
    </row>
    <row r="70" spans="1:41" ht="15" thickBot="1" x14ac:dyDescent="0.4">
      <c r="A70" s="5"/>
      <c r="B70" s="5"/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19</v>
      </c>
    </row>
    <row r="137" spans="18:18" x14ac:dyDescent="0.35">
      <c r="R137" s="3" t="s">
        <v>19</v>
      </c>
    </row>
  </sheetData>
  <mergeCells count="11">
    <mergeCell ref="D7:F7"/>
    <mergeCell ref="H7:J7"/>
    <mergeCell ref="AH8:AJ8"/>
    <mergeCell ref="M8:Q8"/>
    <mergeCell ref="D6:E6"/>
    <mergeCell ref="H6:I6"/>
    <mergeCell ref="M6:P6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E18:E19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E25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I14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J14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N13 N12:Q12 N14:Q27 I15:I27 AC10:AC27 AE10:AE27 T10:T27 AJ10:AJ27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18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295"/>
      <c r="E6" s="295"/>
      <c r="F6" s="5"/>
      <c r="G6" s="5"/>
      <c r="H6" s="295"/>
      <c r="I6" s="295"/>
      <c r="J6" s="15"/>
      <c r="K6" s="15"/>
      <c r="L6" s="5"/>
      <c r="M6" s="295"/>
      <c r="N6" s="295"/>
      <c r="O6" s="295"/>
      <c r="P6" s="295"/>
      <c r="Q6" s="5"/>
      <c r="R6" s="5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48</v>
      </c>
      <c r="E8" s="287"/>
      <c r="F8" s="288"/>
      <c r="G8" s="5"/>
      <c r="H8" s="289" t="s">
        <v>49</v>
      </c>
      <c r="I8" s="290"/>
      <c r="J8" s="291"/>
      <c r="K8" s="16"/>
      <c r="L8" s="5"/>
      <c r="M8" s="281" t="s">
        <v>68</v>
      </c>
      <c r="N8" s="282"/>
      <c r="O8" s="282"/>
      <c r="P8" s="282"/>
      <c r="Q8" s="283"/>
      <c r="R8" s="5"/>
      <c r="S8" s="275" t="s">
        <v>74</v>
      </c>
      <c r="T8" s="276"/>
      <c r="U8" s="277"/>
      <c r="V8" s="12"/>
      <c r="W8" s="278" t="s">
        <v>104</v>
      </c>
      <c r="X8" s="279"/>
      <c r="Y8" s="279"/>
      <c r="Z8" s="280"/>
      <c r="AA8" s="11"/>
      <c r="AB8" s="278" t="s">
        <v>81</v>
      </c>
      <c r="AC8" s="279"/>
      <c r="AD8" s="279"/>
      <c r="AE8" s="279"/>
      <c r="AF8" s="280"/>
      <c r="AG8" s="11"/>
      <c r="AH8" s="292" t="s">
        <v>4</v>
      </c>
      <c r="AI8" s="293"/>
      <c r="AJ8" s="294"/>
      <c r="AK8" s="98"/>
      <c r="AL8" s="292" t="s">
        <v>5</v>
      </c>
      <c r="AM8" s="293"/>
      <c r="AN8" s="294"/>
      <c r="AO8" s="87"/>
    </row>
    <row r="9" spans="3:41" ht="21.5" thickBot="1" x14ac:dyDescent="0.55000000000000004">
      <c r="C9" s="86"/>
      <c r="D9" s="73" t="s">
        <v>28</v>
      </c>
      <c r="E9" s="210" t="s">
        <v>0</v>
      </c>
      <c r="F9" s="213" t="s">
        <v>173</v>
      </c>
      <c r="G9" s="5"/>
      <c r="H9" s="99" t="s">
        <v>28</v>
      </c>
      <c r="I9" s="99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101" t="s">
        <v>100</v>
      </c>
      <c r="X9" s="201" t="s">
        <v>157</v>
      </c>
      <c r="Y9" s="201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11"/>
      <c r="AH9" s="140" t="s">
        <v>31</v>
      </c>
      <c r="AI9" s="140" t="s">
        <v>87</v>
      </c>
      <c r="AJ9" s="140" t="s">
        <v>0</v>
      </c>
      <c r="AK9" s="97"/>
      <c r="AL9" s="140" t="s">
        <v>87</v>
      </c>
      <c r="AM9" s="140" t="s">
        <v>88</v>
      </c>
      <c r="AN9" s="140" t="s">
        <v>89</v>
      </c>
      <c r="AO9" s="87"/>
    </row>
    <row r="10" spans="3:41" ht="18.5" x14ac:dyDescent="0.45">
      <c r="C10" s="86"/>
      <c r="D10" s="67" t="s">
        <v>1</v>
      </c>
      <c r="E10" s="68"/>
      <c r="F10" s="211" t="s">
        <v>174</v>
      </c>
      <c r="G10" s="5"/>
      <c r="H10" s="67" t="s">
        <v>2</v>
      </c>
      <c r="I10" s="68"/>
      <c r="J10" s="96" t="s">
        <v>174</v>
      </c>
      <c r="K10" s="79"/>
      <c r="L10" s="79"/>
      <c r="M10" s="67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105"/>
      <c r="W10" s="137"/>
      <c r="X10" s="83"/>
      <c r="Y10" s="138"/>
      <c r="Z10" s="136"/>
      <c r="AA10" s="75"/>
      <c r="AB10" s="135"/>
      <c r="AC10" s="83"/>
      <c r="AD10" s="138"/>
      <c r="AE10" s="83"/>
      <c r="AF10" s="136"/>
      <c r="AG10" s="119"/>
      <c r="AH10" s="125"/>
      <c r="AI10" s="124"/>
      <c r="AJ10" s="126"/>
      <c r="AK10" s="114"/>
      <c r="AL10" s="127"/>
      <c r="AM10" s="128"/>
      <c r="AN10" s="129"/>
      <c r="AO10" s="87"/>
    </row>
    <row r="11" spans="3:41" ht="19" thickBot="1" x14ac:dyDescent="0.5">
      <c r="C11" s="86"/>
      <c r="D11" s="69" t="s">
        <v>3</v>
      </c>
      <c r="E11" s="70"/>
      <c r="F11" s="211" t="s">
        <v>174</v>
      </c>
      <c r="G11" s="5"/>
      <c r="H11" s="69" t="s">
        <v>63</v>
      </c>
      <c r="I11" s="104"/>
      <c r="J11" s="87" t="s">
        <v>183</v>
      </c>
      <c r="K11" s="79"/>
      <c r="L11" s="79"/>
      <c r="M11" s="76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105"/>
      <c r="W11" s="108"/>
      <c r="X11" s="75"/>
      <c r="Y11" s="105"/>
      <c r="Z11" s="107"/>
      <c r="AA11" s="75"/>
      <c r="AB11" s="106"/>
      <c r="AC11" s="75"/>
      <c r="AD11" s="105"/>
      <c r="AE11" s="75"/>
      <c r="AF11" s="107"/>
      <c r="AG11" s="119"/>
      <c r="AH11" s="125"/>
      <c r="AI11" s="124"/>
      <c r="AJ11" s="126"/>
      <c r="AK11" s="114"/>
      <c r="AL11" s="115"/>
      <c r="AM11" s="6"/>
      <c r="AN11" s="130"/>
      <c r="AO11" s="87"/>
    </row>
    <row r="12" spans="3:41" ht="18.5" x14ac:dyDescent="0.45">
      <c r="C12" s="86"/>
      <c r="D12" s="69" t="s">
        <v>38</v>
      </c>
      <c r="E12" s="203" t="s">
        <v>160</v>
      </c>
      <c r="F12" s="211" t="s">
        <v>174</v>
      </c>
      <c r="G12" s="5"/>
      <c r="H12" s="69" t="s">
        <v>64</v>
      </c>
      <c r="I12" s="104"/>
      <c r="J12" s="87" t="str">
        <f>J15</f>
        <v>t/h</v>
      </c>
      <c r="K12" s="79"/>
      <c r="L12" s="79"/>
      <c r="M12" s="243" t="s">
        <v>73</v>
      </c>
      <c r="N12" s="251"/>
      <c r="O12" s="177"/>
      <c r="P12" s="178"/>
      <c r="Q12" s="179"/>
      <c r="R12" s="113"/>
      <c r="S12" s="125"/>
      <c r="T12" s="124"/>
      <c r="U12" s="126"/>
      <c r="V12" s="105"/>
      <c r="W12" s="108"/>
      <c r="X12" s="75"/>
      <c r="Y12" s="44"/>
      <c r="Z12" s="30"/>
      <c r="AA12" s="44"/>
      <c r="AB12" s="51"/>
      <c r="AC12" s="75"/>
      <c r="AD12" s="44"/>
      <c r="AE12" s="75"/>
      <c r="AF12" s="107"/>
      <c r="AG12" s="119"/>
      <c r="AH12" s="125"/>
      <c r="AI12" s="124"/>
      <c r="AJ12" s="126"/>
      <c r="AK12" s="114"/>
      <c r="AL12" s="115"/>
      <c r="AM12" s="6"/>
      <c r="AN12" s="130"/>
      <c r="AO12" s="87"/>
    </row>
    <row r="13" spans="3:41" ht="18.5" x14ac:dyDescent="0.45">
      <c r="C13" s="86"/>
      <c r="D13" s="69" t="s">
        <v>52</v>
      </c>
      <c r="F13" s="211" t="s">
        <v>174</v>
      </c>
      <c r="G13" s="5"/>
      <c r="H13" s="69" t="s">
        <v>65</v>
      </c>
      <c r="I13" s="104"/>
      <c r="J13" s="87" t="s">
        <v>174</v>
      </c>
      <c r="K13" s="79"/>
      <c r="L13" s="79"/>
      <c r="M13" s="244"/>
      <c r="N13" s="125"/>
      <c r="O13" s="75"/>
      <c r="P13" s="75"/>
      <c r="Q13" s="70"/>
      <c r="R13" s="113"/>
      <c r="S13" s="118"/>
      <c r="T13" s="119"/>
      <c r="U13" s="120"/>
      <c r="V13" s="44"/>
      <c r="W13" s="108"/>
      <c r="X13" s="75"/>
      <c r="Y13" s="44"/>
      <c r="Z13" s="30"/>
      <c r="AA13" s="44"/>
      <c r="AB13" s="51"/>
      <c r="AC13" s="75"/>
      <c r="AD13" s="44"/>
      <c r="AE13" s="75"/>
      <c r="AF13" s="107"/>
      <c r="AG13" s="119"/>
      <c r="AH13" s="106"/>
      <c r="AI13" s="105"/>
      <c r="AJ13" s="107"/>
      <c r="AK13" s="114"/>
      <c r="AL13" s="116"/>
      <c r="AM13" s="6"/>
      <c r="AN13" s="117"/>
      <c r="AO13" s="87"/>
    </row>
    <row r="14" spans="3:41" ht="18.5" x14ac:dyDescent="0.45"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/>
      <c r="J14" s="87" t="s">
        <v>186</v>
      </c>
      <c r="K14" s="79"/>
      <c r="L14" s="79"/>
      <c r="M14" s="245"/>
      <c r="N14" s="109"/>
      <c r="O14" s="79"/>
      <c r="P14" s="79"/>
      <c r="Q14" s="82"/>
      <c r="R14" s="113"/>
      <c r="S14" s="51"/>
      <c r="T14" s="75"/>
      <c r="U14" s="30"/>
      <c r="V14" s="44"/>
      <c r="W14" s="108"/>
      <c r="X14" s="75"/>
      <c r="Y14" s="44"/>
      <c r="Z14" s="30"/>
      <c r="AA14" s="44"/>
      <c r="AB14" s="51"/>
      <c r="AC14" s="75"/>
      <c r="AD14" s="44"/>
      <c r="AE14" s="75"/>
      <c r="AF14" s="107"/>
      <c r="AG14" s="119"/>
      <c r="AH14" s="106"/>
      <c r="AI14" s="105"/>
      <c r="AJ14" s="107"/>
      <c r="AK14" s="114"/>
      <c r="AL14" s="116"/>
      <c r="AM14" s="6"/>
      <c r="AN14" s="117"/>
      <c r="AO14" s="87"/>
    </row>
    <row r="15" spans="3:41" ht="19" thickBot="1" x14ac:dyDescent="0.5">
      <c r="C15" s="86"/>
      <c r="D15" s="69" t="s">
        <v>54</v>
      </c>
      <c r="E15" s="70">
        <v>2.6</v>
      </c>
      <c r="F15" s="211" t="s">
        <v>174</v>
      </c>
      <c r="G15" s="5"/>
      <c r="H15" s="76" t="s">
        <v>67</v>
      </c>
      <c r="I15" s="70"/>
      <c r="J15" s="87" t="s">
        <v>184</v>
      </c>
      <c r="K15" s="79"/>
      <c r="L15" s="79"/>
      <c r="M15" s="245"/>
      <c r="N15" s="109"/>
      <c r="O15" s="79"/>
      <c r="P15" s="79"/>
      <c r="Q15" s="82"/>
      <c r="R15" s="113"/>
      <c r="S15" s="51"/>
      <c r="T15" s="75"/>
      <c r="U15" s="30"/>
      <c r="V15" s="44"/>
      <c r="W15" s="89"/>
      <c r="X15" s="15"/>
      <c r="Y15" s="15"/>
      <c r="Z15" s="66"/>
      <c r="AA15" s="75"/>
      <c r="AB15" s="108"/>
      <c r="AC15" s="75"/>
      <c r="AD15" s="75"/>
      <c r="AE15" s="75"/>
      <c r="AF15" s="107"/>
      <c r="AG15" s="119"/>
      <c r="AH15" s="106"/>
      <c r="AI15" s="105"/>
      <c r="AJ15" s="107"/>
      <c r="AK15" s="114"/>
      <c r="AL15" s="116"/>
      <c r="AM15" s="6"/>
      <c r="AN15" s="117"/>
      <c r="AO15" s="87"/>
    </row>
    <row r="16" spans="3:41" ht="19" thickBot="1" x14ac:dyDescent="0.5"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39"/>
      <c r="J16" s="214" t="s">
        <v>174</v>
      </c>
      <c r="K16" s="79"/>
      <c r="L16" s="79"/>
      <c r="M16" s="245"/>
      <c r="N16" s="109"/>
      <c r="O16" s="79"/>
      <c r="P16" s="79"/>
      <c r="Q16" s="82"/>
      <c r="R16" s="113"/>
      <c r="S16" s="108"/>
      <c r="T16" s="75"/>
      <c r="U16" s="70"/>
      <c r="V16" s="75"/>
      <c r="W16" s="89"/>
      <c r="X16" s="15"/>
      <c r="Y16" s="15"/>
      <c r="Z16" s="66"/>
      <c r="AA16" s="75"/>
      <c r="AB16" s="108"/>
      <c r="AC16" s="75"/>
      <c r="AD16" s="75"/>
      <c r="AE16" s="75"/>
      <c r="AF16" s="70"/>
      <c r="AG16" s="119"/>
      <c r="AH16" s="106"/>
      <c r="AI16" s="75"/>
      <c r="AJ16" s="70"/>
      <c r="AK16" s="79"/>
      <c r="AL16" s="109"/>
      <c r="AM16" s="6"/>
      <c r="AN16" s="82"/>
      <c r="AO16" s="87"/>
    </row>
    <row r="17" spans="3:41" ht="18.5" x14ac:dyDescent="0.45">
      <c r="C17" s="86"/>
      <c r="D17" s="69" t="s">
        <v>56</v>
      </c>
      <c r="E17" s="70"/>
      <c r="F17" s="211" t="s">
        <v>187</v>
      </c>
      <c r="G17" s="5"/>
      <c r="H17" s="76"/>
      <c r="I17" s="240"/>
      <c r="J17" s="211" t="s">
        <v>174</v>
      </c>
      <c r="K17" s="79"/>
      <c r="L17" s="79"/>
      <c r="M17" s="245"/>
      <c r="N17" s="109"/>
      <c r="O17" s="79"/>
      <c r="P17" s="79"/>
      <c r="Q17" s="82"/>
      <c r="R17" s="113"/>
      <c r="S17" s="108"/>
      <c r="T17" s="75"/>
      <c r="U17" s="70"/>
      <c r="V17" s="75"/>
      <c r="W17" s="89"/>
      <c r="X17" s="15"/>
      <c r="Y17" s="15"/>
      <c r="Z17" s="66"/>
      <c r="AA17" s="75"/>
      <c r="AB17" s="108"/>
      <c r="AC17" s="75"/>
      <c r="AD17" s="75"/>
      <c r="AE17" s="75"/>
      <c r="AF17" s="70"/>
      <c r="AG17" s="119"/>
      <c r="AH17" s="106"/>
      <c r="AI17" s="75"/>
      <c r="AJ17" s="70"/>
      <c r="AK17" s="79"/>
      <c r="AL17" s="109"/>
      <c r="AM17" s="6"/>
      <c r="AN17" s="82"/>
      <c r="AO17" s="87"/>
    </row>
    <row r="18" spans="3:41" ht="18.5" x14ac:dyDescent="0.45">
      <c r="C18" s="86"/>
      <c r="D18" s="71" t="s">
        <v>57</v>
      </c>
      <c r="E18" s="70"/>
      <c r="F18" s="211" t="s">
        <v>187</v>
      </c>
      <c r="G18" s="5"/>
      <c r="H18" s="77"/>
      <c r="I18" s="240"/>
      <c r="J18" s="211" t="s">
        <v>174</v>
      </c>
      <c r="K18" s="79"/>
      <c r="L18" s="79"/>
      <c r="M18" s="245"/>
      <c r="N18" s="109"/>
      <c r="O18" s="79"/>
      <c r="P18" s="79"/>
      <c r="Q18" s="82"/>
      <c r="R18" s="113"/>
      <c r="S18" s="108"/>
      <c r="T18" s="75"/>
      <c r="U18" s="70"/>
      <c r="V18" s="75"/>
      <c r="W18" s="89"/>
      <c r="X18" s="15"/>
      <c r="Y18" s="15"/>
      <c r="Z18" s="66"/>
      <c r="AA18" s="75"/>
      <c r="AB18" s="108"/>
      <c r="AC18" s="75"/>
      <c r="AD18" s="75"/>
      <c r="AE18" s="75"/>
      <c r="AF18" s="70"/>
      <c r="AG18" s="119"/>
      <c r="AH18" s="106"/>
      <c r="AI18" s="75"/>
      <c r="AJ18" s="70"/>
      <c r="AK18" s="79"/>
      <c r="AL18" s="109"/>
      <c r="AM18" s="6"/>
      <c r="AN18" s="82"/>
      <c r="AO18" s="87"/>
    </row>
    <row r="19" spans="3:41" ht="18.5" x14ac:dyDescent="0.45">
      <c r="C19" s="86"/>
      <c r="D19" s="69" t="s">
        <v>58</v>
      </c>
      <c r="E19" s="70"/>
      <c r="F19" s="211" t="s">
        <v>187</v>
      </c>
      <c r="G19" s="5"/>
      <c r="H19" s="77"/>
      <c r="I19" s="240"/>
      <c r="J19" s="211" t="s">
        <v>174</v>
      </c>
      <c r="K19" s="79"/>
      <c r="L19" s="79"/>
      <c r="M19" s="245"/>
      <c r="N19" s="109"/>
      <c r="O19" s="79"/>
      <c r="P19" s="79"/>
      <c r="Q19" s="82"/>
      <c r="R19" s="113"/>
      <c r="S19" s="108"/>
      <c r="T19" s="75"/>
      <c r="U19" s="70"/>
      <c r="V19" s="75"/>
      <c r="W19" s="89"/>
      <c r="X19" s="15"/>
      <c r="Y19" s="15"/>
      <c r="Z19" s="66"/>
      <c r="AA19" s="75"/>
      <c r="AB19" s="108"/>
      <c r="AC19" s="75"/>
      <c r="AD19" s="75"/>
      <c r="AE19" s="75"/>
      <c r="AF19" s="70"/>
      <c r="AG19" s="119"/>
      <c r="AH19" s="106"/>
      <c r="AI19" s="75"/>
      <c r="AJ19" s="70"/>
      <c r="AK19" s="79"/>
      <c r="AL19" s="109"/>
      <c r="AM19" s="6"/>
      <c r="AN19" s="82"/>
      <c r="AO19" s="87"/>
    </row>
    <row r="20" spans="3:41" ht="18.5" x14ac:dyDescent="0.45">
      <c r="C20" s="86"/>
      <c r="D20" s="71" t="s">
        <v>59</v>
      </c>
      <c r="E20" s="70"/>
      <c r="F20" s="211" t="s">
        <v>187</v>
      </c>
      <c r="G20" s="5"/>
      <c r="H20" s="77"/>
      <c r="I20" s="240"/>
      <c r="J20" s="211" t="s">
        <v>174</v>
      </c>
      <c r="K20" s="79"/>
      <c r="L20" s="79"/>
      <c r="M20" s="241"/>
      <c r="N20" s="109"/>
      <c r="O20" s="79"/>
      <c r="P20" s="79"/>
      <c r="Q20" s="82"/>
      <c r="R20" s="113"/>
      <c r="S20" s="108"/>
      <c r="T20" s="75"/>
      <c r="U20" s="70"/>
      <c r="V20" s="75"/>
      <c r="W20" s="89"/>
      <c r="X20" s="15"/>
      <c r="Y20" s="15"/>
      <c r="Z20" s="66"/>
      <c r="AA20" s="75"/>
      <c r="AB20" s="108"/>
      <c r="AC20" s="75"/>
      <c r="AD20" s="75"/>
      <c r="AE20" s="75"/>
      <c r="AF20" s="70"/>
      <c r="AG20" s="119"/>
      <c r="AH20" s="106"/>
      <c r="AI20" s="75"/>
      <c r="AJ20" s="70"/>
      <c r="AK20" s="79"/>
      <c r="AL20" s="109"/>
      <c r="AM20" s="6"/>
      <c r="AN20" s="82"/>
      <c r="AO20" s="87"/>
    </row>
    <row r="21" spans="3:41" ht="18.5" x14ac:dyDescent="0.45">
      <c r="C21" s="86"/>
      <c r="D21" s="71" t="s">
        <v>60</v>
      </c>
      <c r="E21" s="141">
        <v>0.57999999999999996</v>
      </c>
      <c r="F21" s="211" t="s">
        <v>174</v>
      </c>
      <c r="G21" s="5"/>
      <c r="H21" s="109"/>
      <c r="I21" s="240"/>
      <c r="J21" s="211" t="s">
        <v>174</v>
      </c>
      <c r="K21" s="79"/>
      <c r="L21" s="79"/>
      <c r="M21" s="241"/>
      <c r="N21" s="109"/>
      <c r="O21" s="79"/>
      <c r="P21" s="79"/>
      <c r="Q21" s="82"/>
      <c r="R21" s="113"/>
      <c r="S21" s="108"/>
      <c r="T21" s="75"/>
      <c r="U21" s="70"/>
      <c r="V21" s="75"/>
      <c r="W21" s="89"/>
      <c r="X21" s="15"/>
      <c r="Y21" s="15"/>
      <c r="Z21" s="66"/>
      <c r="AA21" s="75"/>
      <c r="AB21" s="108"/>
      <c r="AC21" s="75"/>
      <c r="AD21" s="75"/>
      <c r="AE21" s="75"/>
      <c r="AF21" s="70"/>
      <c r="AG21" s="119"/>
      <c r="AH21" s="106"/>
      <c r="AI21" s="75"/>
      <c r="AJ21" s="70"/>
      <c r="AK21" s="79"/>
      <c r="AL21" s="109"/>
      <c r="AM21" s="6"/>
      <c r="AN21" s="82"/>
      <c r="AO21" s="87"/>
    </row>
    <row r="22" spans="3:41" ht="18.5" x14ac:dyDescent="0.45"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79"/>
      <c r="L22" s="79"/>
      <c r="M22" s="241"/>
      <c r="N22" s="109"/>
      <c r="O22" s="79"/>
      <c r="P22" s="79"/>
      <c r="Q22" s="82"/>
      <c r="R22" s="113"/>
      <c r="S22" s="108"/>
      <c r="T22" s="75"/>
      <c r="U22" s="70"/>
      <c r="V22" s="75"/>
      <c r="W22" s="89"/>
      <c r="X22" s="15"/>
      <c r="Y22" s="15"/>
      <c r="Z22" s="66"/>
      <c r="AA22" s="75"/>
      <c r="AB22" s="108"/>
      <c r="AC22" s="75"/>
      <c r="AD22" s="75"/>
      <c r="AE22" s="75"/>
      <c r="AF22" s="70"/>
      <c r="AG22" s="119"/>
      <c r="AH22" s="106"/>
      <c r="AI22" s="75"/>
      <c r="AJ22" s="70"/>
      <c r="AK22" s="79"/>
      <c r="AL22" s="109"/>
      <c r="AM22" s="6"/>
      <c r="AN22" s="82"/>
      <c r="AO22" s="87"/>
    </row>
    <row r="23" spans="3:41" ht="18.5" x14ac:dyDescent="0.45"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79"/>
      <c r="L23" s="79"/>
      <c r="M23" s="241"/>
      <c r="N23" s="109"/>
      <c r="O23" s="79"/>
      <c r="P23" s="79"/>
      <c r="Q23" s="82"/>
      <c r="R23" s="113"/>
      <c r="S23" s="108"/>
      <c r="T23" s="75"/>
      <c r="U23" s="70"/>
      <c r="V23" s="75"/>
      <c r="W23" s="89"/>
      <c r="X23" s="15"/>
      <c r="Y23" s="15"/>
      <c r="Z23" s="66"/>
      <c r="AA23" s="75"/>
      <c r="AB23" s="108"/>
      <c r="AC23" s="75"/>
      <c r="AD23" s="75"/>
      <c r="AE23" s="75"/>
      <c r="AF23" s="70"/>
      <c r="AG23" s="119"/>
      <c r="AH23" s="106"/>
      <c r="AI23" s="75"/>
      <c r="AJ23" s="70"/>
      <c r="AK23" s="79"/>
      <c r="AL23" s="109"/>
      <c r="AM23" s="6"/>
      <c r="AN23" s="82"/>
      <c r="AO23" s="87"/>
    </row>
    <row r="24" spans="3:41" ht="18.5" x14ac:dyDescent="0.45">
      <c r="C24" s="86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79"/>
      <c r="L24" s="79"/>
      <c r="M24" s="241"/>
      <c r="N24" s="109"/>
      <c r="O24" s="79"/>
      <c r="P24" s="79"/>
      <c r="Q24" s="82"/>
      <c r="R24" s="113"/>
      <c r="S24" s="108"/>
      <c r="T24" s="75"/>
      <c r="U24" s="70"/>
      <c r="V24" s="75"/>
      <c r="W24" s="89"/>
      <c r="X24" s="15"/>
      <c r="Y24" s="15"/>
      <c r="Z24" s="66"/>
      <c r="AA24" s="75"/>
      <c r="AB24" s="108"/>
      <c r="AC24" s="75"/>
      <c r="AD24" s="75"/>
      <c r="AE24" s="75"/>
      <c r="AF24" s="70"/>
      <c r="AG24" s="119"/>
      <c r="AH24" s="106"/>
      <c r="AI24" s="75"/>
      <c r="AJ24" s="70"/>
      <c r="AK24" s="79"/>
      <c r="AL24" s="109"/>
      <c r="AM24" s="6"/>
      <c r="AN24" s="82"/>
      <c r="AO24" s="87"/>
    </row>
    <row r="25" spans="3:41" ht="18.5" x14ac:dyDescent="0.45">
      <c r="C25" s="86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79"/>
      <c r="L25" s="79"/>
      <c r="M25" s="241"/>
      <c r="N25" s="109"/>
      <c r="O25" s="79"/>
      <c r="P25" s="79"/>
      <c r="Q25" s="82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5"/>
      <c r="AJ25" s="70"/>
      <c r="AK25" s="79"/>
      <c r="AL25" s="109"/>
      <c r="AM25" s="6"/>
      <c r="AN25" s="82"/>
      <c r="AO25" s="87"/>
    </row>
    <row r="26" spans="3:41" ht="19" thickBot="1" x14ac:dyDescent="0.5">
      <c r="C26" s="86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79"/>
      <c r="L26" s="79"/>
      <c r="M26" s="241"/>
      <c r="N26" s="109"/>
      <c r="O26" s="79"/>
      <c r="P26" s="79"/>
      <c r="Q26" s="82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5"/>
      <c r="AJ26" s="70"/>
      <c r="AK26" s="79"/>
      <c r="AL26" s="109"/>
      <c r="AM26" s="6"/>
      <c r="AN26" s="82"/>
      <c r="AO26" s="87"/>
    </row>
    <row r="27" spans="3:41" ht="19" thickBot="1" x14ac:dyDescent="0.5">
      <c r="C27" s="86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79"/>
      <c r="L27" s="79"/>
      <c r="M27" s="242"/>
      <c r="N27" s="110"/>
      <c r="O27" s="80"/>
      <c r="P27" s="80"/>
      <c r="Q27" s="81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2"/>
      <c r="AK27" s="79"/>
      <c r="AL27" s="110"/>
      <c r="AM27" s="134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19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AC10:AC27 N13 N12:Q12 N14:Q27 I16:I27 T10:T27 AH10:AH27 AE10:AE27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18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295"/>
      <c r="E6" s="295"/>
      <c r="F6" s="5"/>
      <c r="G6" s="5"/>
      <c r="H6" s="295"/>
      <c r="I6" s="295"/>
      <c r="J6" s="15"/>
      <c r="K6" s="15"/>
      <c r="L6" s="5"/>
      <c r="M6" s="295"/>
      <c r="N6" s="295"/>
      <c r="O6" s="295"/>
      <c r="P6" s="295"/>
      <c r="Q6" s="5"/>
      <c r="R6" s="5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48</v>
      </c>
      <c r="E8" s="287"/>
      <c r="F8" s="288"/>
      <c r="G8" s="5"/>
      <c r="H8" s="289" t="s">
        <v>49</v>
      </c>
      <c r="I8" s="290"/>
      <c r="J8" s="291"/>
      <c r="K8" s="5"/>
      <c r="L8" s="5"/>
      <c r="M8" s="281" t="s">
        <v>68</v>
      </c>
      <c r="N8" s="282"/>
      <c r="O8" s="282"/>
      <c r="P8" s="282"/>
      <c r="Q8" s="283"/>
      <c r="R8" s="5"/>
      <c r="S8" s="275" t="s">
        <v>74</v>
      </c>
      <c r="T8" s="276"/>
      <c r="U8" s="277"/>
      <c r="V8" s="12"/>
      <c r="W8" s="278" t="s">
        <v>104</v>
      </c>
      <c r="X8" s="279"/>
      <c r="Y8" s="279"/>
      <c r="Z8" s="280"/>
      <c r="AA8" s="11"/>
      <c r="AB8" s="278" t="s">
        <v>81</v>
      </c>
      <c r="AC8" s="279"/>
      <c r="AD8" s="279"/>
      <c r="AE8" s="279"/>
      <c r="AF8" s="280"/>
      <c r="AG8" s="11"/>
      <c r="AH8" s="292" t="s">
        <v>4</v>
      </c>
      <c r="AI8" s="293"/>
      <c r="AJ8" s="294"/>
      <c r="AK8" s="98"/>
      <c r="AL8" s="292" t="s">
        <v>5</v>
      </c>
      <c r="AM8" s="293"/>
      <c r="AN8" s="294"/>
      <c r="AO8" s="87"/>
    </row>
    <row r="9" spans="3:41" ht="21.5" thickBot="1" x14ac:dyDescent="0.55000000000000004">
      <c r="C9" s="86"/>
      <c r="D9" s="73" t="s">
        <v>28</v>
      </c>
      <c r="E9" s="210" t="s">
        <v>0</v>
      </c>
      <c r="F9" s="213" t="s">
        <v>173</v>
      </c>
      <c r="G9" s="5"/>
      <c r="H9" s="99" t="s">
        <v>28</v>
      </c>
      <c r="I9" s="99" t="s">
        <v>50</v>
      </c>
      <c r="J9" s="74" t="s">
        <v>173</v>
      </c>
      <c r="K9" s="5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101" t="s">
        <v>100</v>
      </c>
      <c r="X9" s="201" t="s">
        <v>157</v>
      </c>
      <c r="Y9" s="201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11"/>
      <c r="AH9" s="140" t="s">
        <v>31</v>
      </c>
      <c r="AI9" s="140" t="s">
        <v>87</v>
      </c>
      <c r="AJ9" s="140" t="s">
        <v>0</v>
      </c>
      <c r="AK9" s="97"/>
      <c r="AL9" s="140" t="s">
        <v>87</v>
      </c>
      <c r="AM9" s="140" t="s">
        <v>88</v>
      </c>
      <c r="AN9" s="140" t="s">
        <v>89</v>
      </c>
      <c r="AO9" s="87"/>
    </row>
    <row r="10" spans="3:41" ht="18.5" x14ac:dyDescent="0.45">
      <c r="C10" s="86"/>
      <c r="D10" s="67" t="s">
        <v>1</v>
      </c>
      <c r="E10" s="68"/>
      <c r="F10" s="211" t="s">
        <v>174</v>
      </c>
      <c r="G10" s="5"/>
      <c r="H10" s="67" t="s">
        <v>2</v>
      </c>
      <c r="I10" s="68"/>
      <c r="J10" s="96" t="s">
        <v>174</v>
      </c>
      <c r="K10" s="5"/>
      <c r="L10" s="79"/>
      <c r="M10" s="67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105"/>
      <c r="W10" s="137"/>
      <c r="X10" s="83"/>
      <c r="Y10" s="138"/>
      <c r="Z10" s="136"/>
      <c r="AA10" s="75"/>
      <c r="AB10" s="135"/>
      <c r="AC10" s="83"/>
      <c r="AD10" s="138"/>
      <c r="AE10" s="83"/>
      <c r="AF10" s="136"/>
      <c r="AG10" s="119"/>
      <c r="AH10" s="125"/>
      <c r="AI10" s="124"/>
      <c r="AJ10" s="126"/>
      <c r="AK10" s="114"/>
      <c r="AL10" s="127"/>
      <c r="AM10" s="128"/>
      <c r="AN10" s="129"/>
      <c r="AO10" s="87"/>
    </row>
    <row r="11" spans="3:41" ht="19" thickBot="1" x14ac:dyDescent="0.5">
      <c r="C11" s="86"/>
      <c r="D11" s="69" t="s">
        <v>3</v>
      </c>
      <c r="E11" s="70"/>
      <c r="F11" s="211" t="s">
        <v>174</v>
      </c>
      <c r="G11" s="5"/>
      <c r="H11" s="69" t="s">
        <v>63</v>
      </c>
      <c r="I11" s="104"/>
      <c r="J11" s="87" t="s">
        <v>183</v>
      </c>
      <c r="K11" s="5"/>
      <c r="L11" s="79"/>
      <c r="M11" s="76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105"/>
      <c r="W11" s="108"/>
      <c r="X11" s="75"/>
      <c r="Y11" s="105"/>
      <c r="Z11" s="107"/>
      <c r="AA11" s="75"/>
      <c r="AB11" s="106"/>
      <c r="AC11" s="75"/>
      <c r="AD11" s="105"/>
      <c r="AE11" s="75"/>
      <c r="AF11" s="107"/>
      <c r="AG11" s="119"/>
      <c r="AH11" s="125"/>
      <c r="AI11" s="124"/>
      <c r="AJ11" s="126"/>
      <c r="AK11" s="114"/>
      <c r="AL11" s="115"/>
      <c r="AM11" s="6"/>
      <c r="AN11" s="130"/>
      <c r="AO11" s="87"/>
    </row>
    <row r="12" spans="3:41" ht="18.5" x14ac:dyDescent="0.45">
      <c r="C12" s="86"/>
      <c r="D12" s="69" t="s">
        <v>38</v>
      </c>
      <c r="E12" s="203" t="s">
        <v>20</v>
      </c>
      <c r="F12" s="211" t="s">
        <v>174</v>
      </c>
      <c r="G12" s="5"/>
      <c r="H12" s="69" t="s">
        <v>64</v>
      </c>
      <c r="I12" s="104"/>
      <c r="J12" s="87" t="str">
        <f>J15</f>
        <v>t/h</v>
      </c>
      <c r="K12" s="5"/>
      <c r="L12" s="79"/>
      <c r="M12" s="243" t="s">
        <v>73</v>
      </c>
      <c r="N12" s="251"/>
      <c r="O12" s="177"/>
      <c r="P12" s="178"/>
      <c r="Q12" s="179"/>
      <c r="R12" s="113"/>
      <c r="S12" s="125"/>
      <c r="T12" s="124"/>
      <c r="U12" s="126"/>
      <c r="V12" s="105"/>
      <c r="W12" s="108"/>
      <c r="X12" s="75"/>
      <c r="Y12" s="44"/>
      <c r="Z12" s="30"/>
      <c r="AA12" s="44"/>
      <c r="AB12" s="51"/>
      <c r="AC12" s="75"/>
      <c r="AD12" s="44"/>
      <c r="AE12" s="75"/>
      <c r="AF12" s="107"/>
      <c r="AG12" s="119"/>
      <c r="AH12" s="125"/>
      <c r="AI12" s="124"/>
      <c r="AJ12" s="126"/>
      <c r="AK12" s="114"/>
      <c r="AL12" s="115"/>
      <c r="AM12" s="6"/>
      <c r="AN12" s="130"/>
      <c r="AO12" s="87"/>
    </row>
    <row r="13" spans="3:41" ht="18.5" x14ac:dyDescent="0.45">
      <c r="C13" s="86"/>
      <c r="D13" s="69" t="s">
        <v>52</v>
      </c>
      <c r="F13" s="211" t="s">
        <v>174</v>
      </c>
      <c r="G13" s="5"/>
      <c r="H13" s="69" t="s">
        <v>65</v>
      </c>
      <c r="I13" s="104"/>
      <c r="J13" s="87" t="s">
        <v>174</v>
      </c>
      <c r="K13" s="5"/>
      <c r="L13" s="79"/>
      <c r="M13" s="244"/>
      <c r="N13" s="125"/>
      <c r="O13" s="75"/>
      <c r="P13" s="75"/>
      <c r="Q13" s="70"/>
      <c r="R13" s="113"/>
      <c r="S13" s="118"/>
      <c r="T13" s="119"/>
      <c r="U13" s="120"/>
      <c r="V13" s="44"/>
      <c r="W13" s="108"/>
      <c r="X13" s="75"/>
      <c r="Y13" s="44"/>
      <c r="Z13" s="30"/>
      <c r="AA13" s="44"/>
      <c r="AB13" s="51"/>
      <c r="AC13" s="75"/>
      <c r="AD13" s="44"/>
      <c r="AE13" s="75"/>
      <c r="AF13" s="107"/>
      <c r="AG13" s="119"/>
      <c r="AH13" s="106"/>
      <c r="AI13" s="105"/>
      <c r="AJ13" s="107"/>
      <c r="AK13" s="114"/>
      <c r="AL13" s="116"/>
      <c r="AM13" s="6"/>
      <c r="AN13" s="117"/>
      <c r="AO13" s="87"/>
    </row>
    <row r="14" spans="3:41" ht="18.5" x14ac:dyDescent="0.45"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/>
      <c r="J14" s="87" t="s">
        <v>186</v>
      </c>
      <c r="K14" s="5"/>
      <c r="L14" s="79"/>
      <c r="M14" s="245"/>
      <c r="N14" s="109"/>
      <c r="O14" s="79"/>
      <c r="P14" s="79"/>
      <c r="Q14" s="82"/>
      <c r="R14" s="113"/>
      <c r="S14" s="51"/>
      <c r="T14" s="75"/>
      <c r="U14" s="30"/>
      <c r="V14" s="44"/>
      <c r="W14" s="108"/>
      <c r="X14" s="75"/>
      <c r="Y14" s="44"/>
      <c r="Z14" s="30"/>
      <c r="AA14" s="44"/>
      <c r="AB14" s="51"/>
      <c r="AC14" s="75"/>
      <c r="AD14" s="44"/>
      <c r="AE14" s="75"/>
      <c r="AF14" s="107"/>
      <c r="AG14" s="119"/>
      <c r="AH14" s="106"/>
      <c r="AI14" s="105"/>
      <c r="AJ14" s="107"/>
      <c r="AK14" s="114"/>
      <c r="AL14" s="116"/>
      <c r="AM14" s="6"/>
      <c r="AN14" s="117"/>
      <c r="AO14" s="87"/>
    </row>
    <row r="15" spans="3:41" ht="19" thickBot="1" x14ac:dyDescent="0.5">
      <c r="C15" s="86"/>
      <c r="D15" s="69" t="s">
        <v>54</v>
      </c>
      <c r="E15" s="70">
        <v>2.6</v>
      </c>
      <c r="F15" s="211" t="s">
        <v>174</v>
      </c>
      <c r="G15" s="5"/>
      <c r="H15" s="76" t="s">
        <v>67</v>
      </c>
      <c r="I15" s="70"/>
      <c r="J15" s="87" t="s">
        <v>184</v>
      </c>
      <c r="K15" s="5"/>
      <c r="L15" s="79"/>
      <c r="M15" s="245"/>
      <c r="N15" s="109"/>
      <c r="O15" s="79"/>
      <c r="P15" s="79"/>
      <c r="Q15" s="82"/>
      <c r="R15" s="113"/>
      <c r="S15" s="51"/>
      <c r="T15" s="75"/>
      <c r="U15" s="30"/>
      <c r="V15" s="44"/>
      <c r="W15" s="89"/>
      <c r="X15" s="15"/>
      <c r="Y15" s="15"/>
      <c r="Z15" s="66"/>
      <c r="AA15" s="75"/>
      <c r="AB15" s="108"/>
      <c r="AC15" s="75"/>
      <c r="AD15" s="75"/>
      <c r="AE15" s="75"/>
      <c r="AF15" s="107"/>
      <c r="AG15" s="119"/>
      <c r="AH15" s="106"/>
      <c r="AI15" s="105"/>
      <c r="AJ15" s="107"/>
      <c r="AK15" s="114"/>
      <c r="AL15" s="116"/>
      <c r="AM15" s="6"/>
      <c r="AN15" s="117"/>
      <c r="AO15" s="87"/>
    </row>
    <row r="16" spans="3:41" ht="19" thickBot="1" x14ac:dyDescent="0.5"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39"/>
      <c r="J16" s="214" t="s">
        <v>174</v>
      </c>
      <c r="K16" s="5"/>
      <c r="L16" s="79"/>
      <c r="M16" s="245"/>
      <c r="N16" s="109"/>
      <c r="O16" s="79"/>
      <c r="P16" s="79"/>
      <c r="Q16" s="82"/>
      <c r="R16" s="113"/>
      <c r="S16" s="108"/>
      <c r="T16" s="75"/>
      <c r="U16" s="70"/>
      <c r="V16" s="75"/>
      <c r="W16" s="89"/>
      <c r="X16" s="15"/>
      <c r="Y16" s="15"/>
      <c r="Z16" s="66"/>
      <c r="AA16" s="75"/>
      <c r="AB16" s="108"/>
      <c r="AC16" s="75"/>
      <c r="AD16" s="75"/>
      <c r="AE16" s="75"/>
      <c r="AF16" s="70"/>
      <c r="AG16" s="119"/>
      <c r="AH16" s="106"/>
      <c r="AI16" s="75"/>
      <c r="AJ16" s="70"/>
      <c r="AK16" s="79"/>
      <c r="AL16" s="109"/>
      <c r="AM16" s="6"/>
      <c r="AN16" s="82"/>
      <c r="AO16" s="87"/>
    </row>
    <row r="17" spans="3:41" ht="18.5" x14ac:dyDescent="0.45">
      <c r="C17" s="86"/>
      <c r="D17" s="69" t="s">
        <v>56</v>
      </c>
      <c r="E17" s="70"/>
      <c r="F17" s="211" t="s">
        <v>187</v>
      </c>
      <c r="G17" s="5"/>
      <c r="H17" s="76"/>
      <c r="I17" s="240"/>
      <c r="J17" s="211" t="s">
        <v>174</v>
      </c>
      <c r="K17" s="5"/>
      <c r="L17" s="79"/>
      <c r="M17" s="245"/>
      <c r="N17" s="109"/>
      <c r="O17" s="79"/>
      <c r="P17" s="79"/>
      <c r="Q17" s="82"/>
      <c r="R17" s="113"/>
      <c r="S17" s="108"/>
      <c r="T17" s="75"/>
      <c r="U17" s="70"/>
      <c r="V17" s="75"/>
      <c r="W17" s="89"/>
      <c r="X17" s="15"/>
      <c r="Y17" s="15"/>
      <c r="Z17" s="66"/>
      <c r="AA17" s="75"/>
      <c r="AB17" s="108"/>
      <c r="AC17" s="75"/>
      <c r="AD17" s="75"/>
      <c r="AE17" s="75"/>
      <c r="AF17" s="70"/>
      <c r="AG17" s="119"/>
      <c r="AH17" s="106"/>
      <c r="AI17" s="75"/>
      <c r="AJ17" s="70"/>
      <c r="AK17" s="79"/>
      <c r="AL17" s="109"/>
      <c r="AM17" s="6"/>
      <c r="AN17" s="82"/>
      <c r="AO17" s="87"/>
    </row>
    <row r="18" spans="3:41" ht="18.5" x14ac:dyDescent="0.45">
      <c r="C18" s="86"/>
      <c r="D18" s="71" t="s">
        <v>57</v>
      </c>
      <c r="E18" s="70"/>
      <c r="F18" s="211" t="s">
        <v>187</v>
      </c>
      <c r="G18" s="5"/>
      <c r="H18" s="77"/>
      <c r="I18" s="240"/>
      <c r="J18" s="211" t="s">
        <v>174</v>
      </c>
      <c r="K18" s="5"/>
      <c r="L18" s="79"/>
      <c r="M18" s="245"/>
      <c r="N18" s="109"/>
      <c r="O18" s="79"/>
      <c r="P18" s="79"/>
      <c r="Q18" s="82"/>
      <c r="R18" s="113"/>
      <c r="S18" s="108"/>
      <c r="T18" s="75"/>
      <c r="U18" s="70"/>
      <c r="V18" s="75"/>
      <c r="W18" s="89"/>
      <c r="X18" s="15"/>
      <c r="Y18" s="15"/>
      <c r="Z18" s="66"/>
      <c r="AA18" s="75"/>
      <c r="AB18" s="108"/>
      <c r="AC18" s="75"/>
      <c r="AD18" s="75"/>
      <c r="AE18" s="75"/>
      <c r="AF18" s="70"/>
      <c r="AG18" s="119"/>
      <c r="AH18" s="106"/>
      <c r="AI18" s="75"/>
      <c r="AJ18" s="70"/>
      <c r="AK18" s="79"/>
      <c r="AL18" s="109"/>
      <c r="AM18" s="6"/>
      <c r="AN18" s="82"/>
      <c r="AO18" s="87"/>
    </row>
    <row r="19" spans="3:41" ht="18.5" x14ac:dyDescent="0.45">
      <c r="C19" s="86"/>
      <c r="D19" s="69" t="s">
        <v>58</v>
      </c>
      <c r="E19" s="70"/>
      <c r="F19" s="211" t="s">
        <v>187</v>
      </c>
      <c r="G19" s="5"/>
      <c r="H19" s="77"/>
      <c r="I19" s="240"/>
      <c r="J19" s="211" t="s">
        <v>174</v>
      </c>
      <c r="K19" s="5"/>
      <c r="L19" s="79"/>
      <c r="M19" s="245"/>
      <c r="N19" s="109"/>
      <c r="O19" s="79"/>
      <c r="P19" s="79"/>
      <c r="Q19" s="82"/>
      <c r="R19" s="113"/>
      <c r="S19" s="108"/>
      <c r="T19" s="75"/>
      <c r="U19" s="70"/>
      <c r="V19" s="75"/>
      <c r="W19" s="89"/>
      <c r="X19" s="15"/>
      <c r="Y19" s="15"/>
      <c r="Z19" s="66"/>
      <c r="AA19" s="75"/>
      <c r="AB19" s="108"/>
      <c r="AC19" s="75"/>
      <c r="AD19" s="75"/>
      <c r="AE19" s="75"/>
      <c r="AF19" s="70"/>
      <c r="AG19" s="119"/>
      <c r="AH19" s="106"/>
      <c r="AI19" s="75"/>
      <c r="AJ19" s="70"/>
      <c r="AK19" s="79"/>
      <c r="AL19" s="109"/>
      <c r="AM19" s="6"/>
      <c r="AN19" s="82"/>
      <c r="AO19" s="87"/>
    </row>
    <row r="20" spans="3:41" ht="18.5" x14ac:dyDescent="0.45">
      <c r="C20" s="86"/>
      <c r="D20" s="71" t="s">
        <v>59</v>
      </c>
      <c r="E20" s="70"/>
      <c r="F20" s="211" t="s">
        <v>187</v>
      </c>
      <c r="G20" s="5"/>
      <c r="H20" s="77"/>
      <c r="I20" s="240"/>
      <c r="J20" s="211" t="s">
        <v>174</v>
      </c>
      <c r="K20" s="5"/>
      <c r="L20" s="79"/>
      <c r="M20" s="241"/>
      <c r="N20" s="109"/>
      <c r="O20" s="79"/>
      <c r="P20" s="79"/>
      <c r="Q20" s="82"/>
      <c r="R20" s="113"/>
      <c r="S20" s="108"/>
      <c r="T20" s="75"/>
      <c r="U20" s="70"/>
      <c r="V20" s="75"/>
      <c r="W20" s="89"/>
      <c r="X20" s="15"/>
      <c r="Y20" s="15"/>
      <c r="Z20" s="66"/>
      <c r="AA20" s="75"/>
      <c r="AB20" s="108"/>
      <c r="AC20" s="75"/>
      <c r="AD20" s="75"/>
      <c r="AE20" s="75"/>
      <c r="AF20" s="70"/>
      <c r="AG20" s="119"/>
      <c r="AH20" s="106"/>
      <c r="AI20" s="75"/>
      <c r="AJ20" s="70"/>
      <c r="AK20" s="79"/>
      <c r="AL20" s="109"/>
      <c r="AM20" s="6"/>
      <c r="AN20" s="82"/>
      <c r="AO20" s="87"/>
    </row>
    <row r="21" spans="3:41" ht="18.5" x14ac:dyDescent="0.45">
      <c r="C21" s="86"/>
      <c r="D21" s="71" t="s">
        <v>60</v>
      </c>
      <c r="E21" s="141">
        <v>0.83</v>
      </c>
      <c r="F21" s="211" t="s">
        <v>174</v>
      </c>
      <c r="G21" s="5"/>
      <c r="H21" s="109"/>
      <c r="I21" s="240"/>
      <c r="J21" s="211" t="s">
        <v>174</v>
      </c>
      <c r="K21" s="5"/>
      <c r="L21" s="79"/>
      <c r="M21" s="241"/>
      <c r="N21" s="109"/>
      <c r="O21" s="79"/>
      <c r="P21" s="79"/>
      <c r="Q21" s="82"/>
      <c r="R21" s="113"/>
      <c r="S21" s="108"/>
      <c r="T21" s="75"/>
      <c r="U21" s="70"/>
      <c r="V21" s="75"/>
      <c r="W21" s="89"/>
      <c r="X21" s="15"/>
      <c r="Y21" s="15"/>
      <c r="Z21" s="66"/>
      <c r="AA21" s="75"/>
      <c r="AB21" s="108"/>
      <c r="AC21" s="75"/>
      <c r="AD21" s="75"/>
      <c r="AE21" s="75"/>
      <c r="AF21" s="70"/>
      <c r="AG21" s="119"/>
      <c r="AH21" s="106"/>
      <c r="AI21" s="75"/>
      <c r="AJ21" s="70"/>
      <c r="AK21" s="79"/>
      <c r="AL21" s="109"/>
      <c r="AM21" s="6"/>
      <c r="AN21" s="82"/>
      <c r="AO21" s="87"/>
    </row>
    <row r="22" spans="3:41" ht="18.5" x14ac:dyDescent="0.45"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5"/>
      <c r="L22" s="79"/>
      <c r="M22" s="241"/>
      <c r="N22" s="109"/>
      <c r="O22" s="79"/>
      <c r="P22" s="79"/>
      <c r="Q22" s="82"/>
      <c r="R22" s="113"/>
      <c r="S22" s="108"/>
      <c r="T22" s="75"/>
      <c r="U22" s="70"/>
      <c r="V22" s="75"/>
      <c r="W22" s="89"/>
      <c r="X22" s="15"/>
      <c r="Y22" s="15"/>
      <c r="Z22" s="66"/>
      <c r="AA22" s="75"/>
      <c r="AB22" s="108"/>
      <c r="AC22" s="75"/>
      <c r="AD22" s="75"/>
      <c r="AE22" s="75"/>
      <c r="AF22" s="70"/>
      <c r="AG22" s="119"/>
      <c r="AH22" s="106"/>
      <c r="AI22" s="75"/>
      <c r="AJ22" s="70"/>
      <c r="AK22" s="79"/>
      <c r="AL22" s="109"/>
      <c r="AM22" s="6"/>
      <c r="AN22" s="82"/>
      <c r="AO22" s="87"/>
    </row>
    <row r="23" spans="3:41" ht="18.5" x14ac:dyDescent="0.45"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5"/>
      <c r="L23" s="79"/>
      <c r="M23" s="241"/>
      <c r="N23" s="109"/>
      <c r="O23" s="79"/>
      <c r="P23" s="79"/>
      <c r="Q23" s="82"/>
      <c r="R23" s="113"/>
      <c r="S23" s="108"/>
      <c r="T23" s="75"/>
      <c r="U23" s="70"/>
      <c r="V23" s="75"/>
      <c r="W23" s="89"/>
      <c r="X23" s="15"/>
      <c r="Y23" s="15"/>
      <c r="Z23" s="66"/>
      <c r="AA23" s="75"/>
      <c r="AB23" s="108"/>
      <c r="AC23" s="75"/>
      <c r="AD23" s="75"/>
      <c r="AE23" s="75"/>
      <c r="AF23" s="70"/>
      <c r="AG23" s="119"/>
      <c r="AH23" s="106"/>
      <c r="AI23" s="75"/>
      <c r="AJ23" s="70"/>
      <c r="AK23" s="79"/>
      <c r="AL23" s="109"/>
      <c r="AM23" s="6"/>
      <c r="AN23" s="82"/>
      <c r="AO23" s="87"/>
    </row>
    <row r="24" spans="3:41" ht="18.5" x14ac:dyDescent="0.45">
      <c r="C24" s="86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5"/>
      <c r="L24" s="79"/>
      <c r="M24" s="241"/>
      <c r="N24" s="109"/>
      <c r="O24" s="79"/>
      <c r="P24" s="79"/>
      <c r="Q24" s="82"/>
      <c r="R24" s="113"/>
      <c r="S24" s="108"/>
      <c r="T24" s="75"/>
      <c r="U24" s="70"/>
      <c r="V24" s="75"/>
      <c r="W24" s="89"/>
      <c r="X24" s="15"/>
      <c r="Y24" s="15"/>
      <c r="Z24" s="66"/>
      <c r="AA24" s="75"/>
      <c r="AB24" s="108"/>
      <c r="AC24" s="75"/>
      <c r="AD24" s="75"/>
      <c r="AE24" s="75"/>
      <c r="AF24" s="70"/>
      <c r="AG24" s="119"/>
      <c r="AH24" s="106"/>
      <c r="AI24" s="75"/>
      <c r="AJ24" s="70"/>
      <c r="AK24" s="79"/>
      <c r="AL24" s="109"/>
      <c r="AM24" s="6"/>
      <c r="AN24" s="82"/>
      <c r="AO24" s="87"/>
    </row>
    <row r="25" spans="3:41" ht="18.5" x14ac:dyDescent="0.45">
      <c r="C25" s="86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5"/>
      <c r="L25" s="79"/>
      <c r="M25" s="241"/>
      <c r="N25" s="109"/>
      <c r="O25" s="79"/>
      <c r="P25" s="79"/>
      <c r="Q25" s="82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5"/>
      <c r="AJ25" s="70"/>
      <c r="AK25" s="79"/>
      <c r="AL25" s="109"/>
      <c r="AM25" s="6"/>
      <c r="AN25" s="82"/>
      <c r="AO25" s="87"/>
    </row>
    <row r="26" spans="3:41" ht="19" thickBot="1" x14ac:dyDescent="0.5">
      <c r="C26" s="86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5"/>
      <c r="L26" s="79"/>
      <c r="M26" s="241"/>
      <c r="N26" s="109"/>
      <c r="O26" s="79"/>
      <c r="P26" s="79"/>
      <c r="Q26" s="82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5"/>
      <c r="AJ26" s="70"/>
      <c r="AK26" s="79"/>
      <c r="AL26" s="109"/>
      <c r="AM26" s="6"/>
      <c r="AN26" s="82"/>
      <c r="AO26" s="87"/>
    </row>
    <row r="27" spans="3:41" ht="19" thickBot="1" x14ac:dyDescent="0.5">
      <c r="C27" s="86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5"/>
      <c r="L27" s="79"/>
      <c r="M27" s="242"/>
      <c r="N27" s="110"/>
      <c r="O27" s="80"/>
      <c r="P27" s="80"/>
      <c r="Q27" s="81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2"/>
      <c r="AK27" s="79"/>
      <c r="AL27" s="110"/>
      <c r="AM27" s="134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19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N13 N12:Q12 N14:Q27 AE10:AE27 T10:T27 AH10:AH27 AC10:AC27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35"/>
  <sheetViews>
    <sheetView topLeftCell="A27" workbookViewId="0">
      <selection activeCell="G38" sqref="G38"/>
    </sheetView>
  </sheetViews>
  <sheetFormatPr baseColWidth="10" defaultRowHeight="14.5" x14ac:dyDescent="0.35"/>
  <sheetData>
    <row r="1" spans="1:12" ht="15.5" x14ac:dyDescent="0.35">
      <c r="A1" t="s">
        <v>24</v>
      </c>
      <c r="B1" t="s">
        <v>185</v>
      </c>
      <c r="F1" s="1" t="s">
        <v>13</v>
      </c>
      <c r="I1" t="s">
        <v>126</v>
      </c>
      <c r="L1" t="s">
        <v>137</v>
      </c>
    </row>
    <row r="2" spans="1:12" ht="15.5" x14ac:dyDescent="0.35">
      <c r="A2" t="s">
        <v>22</v>
      </c>
      <c r="B2" t="s">
        <v>185</v>
      </c>
      <c r="C2" t="s">
        <v>22</v>
      </c>
      <c r="F2" s="182" t="s">
        <v>115</v>
      </c>
      <c r="I2" t="s">
        <v>127</v>
      </c>
      <c r="L2" t="s">
        <v>121</v>
      </c>
    </row>
    <row r="3" spans="1:12" ht="15.5" x14ac:dyDescent="0.35">
      <c r="A3" t="s">
        <v>11</v>
      </c>
      <c r="B3" t="s">
        <v>184</v>
      </c>
      <c r="C3" t="s">
        <v>11</v>
      </c>
      <c r="F3" s="228" t="s">
        <v>197</v>
      </c>
      <c r="I3" t="s">
        <v>146</v>
      </c>
      <c r="L3" t="s">
        <v>138</v>
      </c>
    </row>
    <row r="4" spans="1:12" ht="15.5" x14ac:dyDescent="0.35">
      <c r="A4" t="s">
        <v>12</v>
      </c>
      <c r="B4" t="s">
        <v>184</v>
      </c>
      <c r="C4" t="s">
        <v>12</v>
      </c>
      <c r="F4" s="228" t="s">
        <v>198</v>
      </c>
      <c r="I4" t="s">
        <v>145</v>
      </c>
      <c r="L4" t="s">
        <v>125</v>
      </c>
    </row>
    <row r="5" spans="1:12" ht="15.5" x14ac:dyDescent="0.35">
      <c r="A5" t="s">
        <v>17</v>
      </c>
      <c r="C5" t="s">
        <v>17</v>
      </c>
      <c r="F5" s="228" t="s">
        <v>199</v>
      </c>
      <c r="I5" t="s">
        <v>128</v>
      </c>
      <c r="L5" t="s">
        <v>123</v>
      </c>
    </row>
    <row r="6" spans="1:12" x14ac:dyDescent="0.35">
      <c r="A6" t="s">
        <v>21</v>
      </c>
      <c r="C6" t="s">
        <v>21</v>
      </c>
      <c r="L6" t="s">
        <v>124</v>
      </c>
    </row>
    <row r="7" spans="1:12" x14ac:dyDescent="0.35">
      <c r="A7" t="s">
        <v>106</v>
      </c>
      <c r="L7" t="s">
        <v>122</v>
      </c>
    </row>
    <row r="8" spans="1:12" x14ac:dyDescent="0.35">
      <c r="A8" t="s">
        <v>107</v>
      </c>
      <c r="I8" t="s">
        <v>148</v>
      </c>
      <c r="L8" t="s">
        <v>161</v>
      </c>
    </row>
    <row r="9" spans="1:12" x14ac:dyDescent="0.35">
      <c r="A9" t="s">
        <v>118</v>
      </c>
      <c r="I9" t="s">
        <v>166</v>
      </c>
      <c r="L9" t="s">
        <v>162</v>
      </c>
    </row>
    <row r="10" spans="1:12" x14ac:dyDescent="0.35">
      <c r="A10" t="s">
        <v>119</v>
      </c>
      <c r="I10" t="s">
        <v>86</v>
      </c>
      <c r="L10" t="s">
        <v>163</v>
      </c>
    </row>
    <row r="11" spans="1:12" x14ac:dyDescent="0.35">
      <c r="I11" t="s">
        <v>147</v>
      </c>
    </row>
    <row r="12" spans="1:12" x14ac:dyDescent="0.35">
      <c r="I12" t="s">
        <v>136</v>
      </c>
    </row>
    <row r="14" spans="1:12" x14ac:dyDescent="0.35">
      <c r="A14" t="s">
        <v>202</v>
      </c>
    </row>
    <row r="15" spans="1:12" x14ac:dyDescent="0.35">
      <c r="A15" t="s">
        <v>200</v>
      </c>
    </row>
    <row r="16" spans="1:12" x14ac:dyDescent="0.35">
      <c r="I16" t="s">
        <v>149</v>
      </c>
      <c r="J16" t="s">
        <v>151</v>
      </c>
      <c r="K16" t="s">
        <v>152</v>
      </c>
    </row>
    <row r="17" spans="9:11" x14ac:dyDescent="0.35">
      <c r="I17" t="s">
        <v>92</v>
      </c>
      <c r="J17" t="s">
        <v>10</v>
      </c>
      <c r="K17" t="s">
        <v>153</v>
      </c>
    </row>
    <row r="18" spans="9:11" x14ac:dyDescent="0.35">
      <c r="I18" t="s">
        <v>150</v>
      </c>
      <c r="J18" t="s">
        <v>7</v>
      </c>
      <c r="K18" t="s">
        <v>85</v>
      </c>
    </row>
    <row r="35" spans="2:2" x14ac:dyDescent="0.35">
      <c r="B35" t="s">
        <v>203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E14" sqref="E14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7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297" t="s">
        <v>97</v>
      </c>
      <c r="D5" s="298"/>
      <c r="E5" s="298"/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9"/>
      <c r="R5" t="s">
        <v>19</v>
      </c>
    </row>
    <row r="6" spans="2:18" ht="18.5" x14ac:dyDescent="0.45">
      <c r="B6" s="11"/>
      <c r="C6" s="171" t="s">
        <v>1</v>
      </c>
      <c r="D6" s="167" t="s">
        <v>168</v>
      </c>
      <c r="E6" s="167" t="s">
        <v>206</v>
      </c>
      <c r="H6" s="95"/>
      <c r="I6" s="95"/>
      <c r="J6" s="95"/>
      <c r="K6" s="95"/>
      <c r="L6" s="95"/>
      <c r="M6" s="95"/>
      <c r="N6" s="95"/>
      <c r="O6" s="95"/>
      <c r="P6" s="95"/>
      <c r="Q6" s="162"/>
    </row>
    <row r="7" spans="2:18" ht="18.5" x14ac:dyDescent="0.45">
      <c r="B7" s="11"/>
      <c r="C7" s="168" t="s">
        <v>98</v>
      </c>
      <c r="D7" s="119">
        <v>3000</v>
      </c>
      <c r="E7" s="119">
        <v>1100</v>
      </c>
      <c r="H7" s="11"/>
      <c r="I7" s="11"/>
      <c r="J7" s="11"/>
      <c r="K7" s="11"/>
      <c r="L7" s="11"/>
      <c r="M7" s="11"/>
      <c r="N7" s="11"/>
      <c r="O7" s="11"/>
      <c r="P7" s="11"/>
      <c r="Q7" s="92"/>
    </row>
    <row r="8" spans="2:18" ht="18.5" x14ac:dyDescent="0.45">
      <c r="B8" s="11"/>
      <c r="C8" s="169" t="s">
        <v>38</v>
      </c>
      <c r="D8" s="119" t="s">
        <v>9</v>
      </c>
      <c r="E8" s="119" t="s">
        <v>9</v>
      </c>
      <c r="H8" s="11"/>
      <c r="I8" s="11"/>
      <c r="J8" s="11"/>
      <c r="K8" s="11"/>
      <c r="L8" s="11"/>
      <c r="M8" s="11"/>
      <c r="N8" s="11"/>
      <c r="O8" s="11"/>
      <c r="P8" s="11"/>
      <c r="Q8" s="92"/>
    </row>
    <row r="9" spans="2:18" ht="18.5" x14ac:dyDescent="0.45">
      <c r="B9" s="11"/>
      <c r="C9" s="170" t="s">
        <v>99</v>
      </c>
      <c r="D9" s="119"/>
      <c r="E9" s="206"/>
      <c r="H9" s="11"/>
      <c r="I9" s="11"/>
      <c r="J9" s="11"/>
      <c r="K9" s="11"/>
      <c r="L9" s="11"/>
      <c r="M9" s="11"/>
      <c r="N9" s="11"/>
      <c r="O9" s="11"/>
      <c r="P9" s="11"/>
      <c r="Q9" s="92"/>
    </row>
    <row r="10" spans="2:18" ht="18.5" x14ac:dyDescent="0.45">
      <c r="B10" s="11"/>
      <c r="C10" s="168" t="s">
        <v>189</v>
      </c>
      <c r="D10" s="119">
        <v>500</v>
      </c>
      <c r="E10" s="119">
        <v>100</v>
      </c>
      <c r="H10" s="11"/>
      <c r="I10" s="11"/>
      <c r="J10" s="11"/>
      <c r="K10" s="11"/>
      <c r="L10" s="11"/>
      <c r="M10" s="11"/>
      <c r="N10" s="11"/>
      <c r="O10" s="11"/>
      <c r="P10" s="11"/>
      <c r="Q10" s="92"/>
    </row>
    <row r="11" spans="2:18" ht="18.5" x14ac:dyDescent="0.45">
      <c r="B11" s="11"/>
      <c r="C11" s="168" t="s">
        <v>8</v>
      </c>
      <c r="D11" s="119" t="s">
        <v>7</v>
      </c>
      <c r="E11" s="119" t="s">
        <v>10</v>
      </c>
      <c r="H11" s="11"/>
      <c r="I11" s="11"/>
      <c r="J11" s="11"/>
      <c r="K11" s="11"/>
      <c r="L11" s="11"/>
      <c r="M11" s="11"/>
      <c r="N11" s="11"/>
      <c r="O11" s="11"/>
      <c r="P11" s="11"/>
      <c r="Q11" s="92"/>
    </row>
    <row r="12" spans="2:18" ht="18.5" x14ac:dyDescent="0.45">
      <c r="B12" s="11"/>
      <c r="C12" s="172" t="s">
        <v>116</v>
      </c>
      <c r="D12" s="119">
        <v>0</v>
      </c>
      <c r="E12" s="119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92"/>
    </row>
    <row r="13" spans="2:18" ht="18.5" x14ac:dyDescent="0.45">
      <c r="B13" s="11"/>
      <c r="C13" s="131" t="s">
        <v>117</v>
      </c>
      <c r="D13" s="11"/>
      <c r="E13" s="119"/>
      <c r="H13" s="11"/>
      <c r="I13" s="11"/>
      <c r="J13" s="11"/>
      <c r="K13" s="11"/>
      <c r="L13" s="11"/>
      <c r="M13" s="11"/>
      <c r="N13" s="11"/>
      <c r="O13" s="11"/>
      <c r="P13" s="11"/>
      <c r="Q13" s="92"/>
    </row>
    <row r="14" spans="2:18" ht="18.5" x14ac:dyDescent="0.45">
      <c r="B14" s="11"/>
      <c r="C14" s="131" t="s">
        <v>111</v>
      </c>
      <c r="D14" s="119">
        <v>1</v>
      </c>
      <c r="E14" s="119"/>
      <c r="H14" s="11"/>
      <c r="I14" s="11"/>
      <c r="J14" s="11"/>
      <c r="K14" s="11"/>
      <c r="L14" s="11"/>
      <c r="M14" s="11"/>
      <c r="N14" s="11"/>
      <c r="O14" s="11"/>
      <c r="P14" s="11"/>
      <c r="Q14" s="92"/>
    </row>
    <row r="15" spans="2:18" ht="19" thickBot="1" x14ac:dyDescent="0.5">
      <c r="B15" s="11"/>
      <c r="C15" s="173" t="s">
        <v>112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144"/>
    </row>
    <row r="16" spans="2:18" x14ac:dyDescent="0.35">
      <c r="I16" s="11"/>
      <c r="J16" s="11"/>
      <c r="K16" s="11"/>
      <c r="L16" s="11"/>
    </row>
    <row r="26" spans="11:11" x14ac:dyDescent="0.35">
      <c r="K26" t="s">
        <v>19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H11:Q11 D11:E11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topLeftCell="A4" zoomScale="83" zoomScaleNormal="83" workbookViewId="0">
      <selection activeCell="E15" sqref="E15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190</v>
      </c>
      <c r="D5" s="300" t="s">
        <v>100</v>
      </c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2"/>
      <c r="P5" s="11"/>
      <c r="Q5" s="11"/>
    </row>
    <row r="6" spans="3:17" ht="18.5" x14ac:dyDescent="0.45">
      <c r="C6" s="218" t="s">
        <v>174</v>
      </c>
      <c r="D6" s="145" t="s">
        <v>1</v>
      </c>
      <c r="E6" s="207" t="s">
        <v>169</v>
      </c>
      <c r="F6" s="208" t="s">
        <v>208</v>
      </c>
      <c r="G6" s="146"/>
      <c r="H6" s="146"/>
      <c r="I6" s="146"/>
      <c r="J6" s="146"/>
      <c r="K6" s="146"/>
      <c r="L6" s="146"/>
      <c r="M6" s="146"/>
      <c r="N6" s="146"/>
      <c r="O6" s="147"/>
      <c r="P6" s="11"/>
      <c r="Q6" s="11"/>
    </row>
    <row r="7" spans="3:17" ht="18.5" x14ac:dyDescent="0.45">
      <c r="C7" s="219" t="s">
        <v>174</v>
      </c>
      <c r="D7" s="145" t="s">
        <v>98</v>
      </c>
      <c r="E7" s="159">
        <v>11</v>
      </c>
      <c r="F7" s="148">
        <v>44</v>
      </c>
      <c r="G7" s="148"/>
      <c r="H7" s="148"/>
      <c r="I7" s="148"/>
      <c r="J7" s="148"/>
      <c r="K7" s="148"/>
      <c r="L7" s="148"/>
      <c r="M7" s="148"/>
      <c r="N7" s="148"/>
      <c r="O7" s="149"/>
      <c r="P7" s="11"/>
      <c r="Q7" s="11"/>
    </row>
    <row r="8" spans="3:17" ht="18.5" x14ac:dyDescent="0.45">
      <c r="C8" s="220" t="s">
        <v>191</v>
      </c>
      <c r="D8" s="145" t="s">
        <v>101</v>
      </c>
      <c r="E8" s="159">
        <v>200</v>
      </c>
      <c r="F8" s="148">
        <v>1</v>
      </c>
      <c r="G8" s="148"/>
      <c r="H8" s="148"/>
      <c r="I8" s="148"/>
      <c r="J8" s="148"/>
      <c r="K8" s="148"/>
      <c r="L8" s="148"/>
      <c r="M8" s="148"/>
      <c r="N8" s="148"/>
      <c r="O8" s="149"/>
      <c r="P8" s="11"/>
      <c r="Q8" s="11"/>
    </row>
    <row r="9" spans="3:17" ht="18.5" x14ac:dyDescent="0.45">
      <c r="C9" s="220" t="s">
        <v>184</v>
      </c>
      <c r="D9" s="145" t="s">
        <v>193</v>
      </c>
      <c r="E9" s="159">
        <v>1000</v>
      </c>
      <c r="F9" s="148"/>
      <c r="G9" s="148"/>
      <c r="H9" s="148"/>
      <c r="I9" s="148"/>
      <c r="J9" s="148"/>
      <c r="K9" s="148"/>
      <c r="L9" s="148"/>
      <c r="M9" s="148"/>
      <c r="N9" s="148"/>
      <c r="O9" s="149"/>
      <c r="P9" s="11"/>
      <c r="Q9" s="11"/>
    </row>
    <row r="10" spans="3:17" ht="18.5" x14ac:dyDescent="0.45">
      <c r="C10" s="220" t="s">
        <v>184</v>
      </c>
      <c r="D10" s="145" t="s">
        <v>194</v>
      </c>
      <c r="E10" s="159">
        <v>1000</v>
      </c>
      <c r="F10" s="148"/>
      <c r="G10" s="148"/>
      <c r="H10" s="148"/>
      <c r="I10" s="148"/>
      <c r="J10" s="148"/>
      <c r="K10" s="148"/>
      <c r="L10" s="148"/>
      <c r="M10" s="148"/>
      <c r="N10" s="148"/>
      <c r="O10" s="149"/>
      <c r="P10" s="11"/>
      <c r="Q10" s="11"/>
    </row>
    <row r="11" spans="3:17" ht="18.5" x14ac:dyDescent="0.45">
      <c r="C11" s="219" t="s">
        <v>174</v>
      </c>
      <c r="D11" s="145" t="s">
        <v>102</v>
      </c>
      <c r="E11" s="159"/>
      <c r="F11" s="148"/>
      <c r="G11" s="148"/>
      <c r="H11" s="148"/>
      <c r="I11" s="148"/>
      <c r="J11" s="148"/>
      <c r="K11" s="148"/>
      <c r="L11" s="148"/>
      <c r="M11" s="148"/>
      <c r="N11" s="148"/>
      <c r="O11" s="149"/>
      <c r="P11" s="11"/>
      <c r="Q11" s="11"/>
    </row>
    <row r="12" spans="3:17" ht="18.5" x14ac:dyDescent="0.45">
      <c r="C12" s="219" t="s">
        <v>174</v>
      </c>
      <c r="D12" s="145" t="s">
        <v>192</v>
      </c>
      <c r="E12" s="180">
        <v>0</v>
      </c>
      <c r="F12" s="11"/>
      <c r="G12" s="11"/>
      <c r="H12" s="11"/>
      <c r="I12" s="11"/>
      <c r="J12" s="11"/>
      <c r="K12" s="11"/>
      <c r="L12" s="11"/>
      <c r="M12" s="11"/>
      <c r="N12" s="11"/>
      <c r="O12" s="92"/>
      <c r="P12" s="11"/>
      <c r="Q12" s="11"/>
    </row>
    <row r="13" spans="3:17" ht="19" thickBot="1" x14ac:dyDescent="0.5">
      <c r="C13" s="221" t="s">
        <v>174</v>
      </c>
      <c r="D13" s="145" t="s">
        <v>103</v>
      </c>
      <c r="E13" s="160">
        <f>SUM(E14:E37)</f>
        <v>1</v>
      </c>
      <c r="F13" s="156">
        <f>SUM(H14:H37)</f>
        <v>0</v>
      </c>
      <c r="G13" s="156">
        <f t="shared" ref="G13:H13" si="0">SUM(G14:G37)</f>
        <v>0</v>
      </c>
      <c r="H13" s="156">
        <f t="shared" si="0"/>
        <v>0</v>
      </c>
      <c r="I13" s="156">
        <f t="shared" ref="F13:O13" si="1">SUM(I14:I37)</f>
        <v>0</v>
      </c>
      <c r="J13" s="156">
        <f t="shared" si="1"/>
        <v>0</v>
      </c>
      <c r="K13" s="156">
        <f t="shared" si="1"/>
        <v>0</v>
      </c>
      <c r="L13" s="156">
        <f t="shared" si="1"/>
        <v>0</v>
      </c>
      <c r="M13" s="156">
        <f t="shared" si="1"/>
        <v>0</v>
      </c>
      <c r="N13" s="156">
        <f t="shared" si="1"/>
        <v>0</v>
      </c>
      <c r="O13" s="157">
        <f t="shared" si="1"/>
        <v>0</v>
      </c>
      <c r="P13" s="11"/>
      <c r="Q13" s="11"/>
    </row>
    <row r="14" spans="3:17" ht="18.5" x14ac:dyDescent="0.45">
      <c r="C14" s="222"/>
      <c r="D14" s="150" t="s">
        <v>170</v>
      </c>
      <c r="E14" s="208">
        <v>0.22</v>
      </c>
      <c r="F14" s="146">
        <v>0</v>
      </c>
      <c r="G14" s="146"/>
      <c r="H14" s="146"/>
      <c r="I14" s="146"/>
      <c r="J14" s="146"/>
      <c r="K14" s="146"/>
      <c r="L14" s="146"/>
      <c r="M14" s="146"/>
      <c r="N14" s="146"/>
      <c r="O14" s="147"/>
      <c r="P14" s="11"/>
      <c r="Q14" s="11"/>
    </row>
    <row r="15" spans="3:17" ht="18.5" x14ac:dyDescent="0.45">
      <c r="C15" s="174"/>
      <c r="D15" s="151" t="s">
        <v>171</v>
      </c>
      <c r="E15" s="209">
        <v>0.13</v>
      </c>
      <c r="F15" s="148">
        <v>0</v>
      </c>
      <c r="G15" s="148"/>
      <c r="H15" s="152"/>
      <c r="I15" s="148"/>
      <c r="J15" s="148"/>
      <c r="K15" s="148"/>
      <c r="L15" s="148"/>
      <c r="M15" s="148"/>
      <c r="N15" s="148"/>
      <c r="O15" s="149"/>
      <c r="P15" s="11"/>
      <c r="Q15" s="11"/>
    </row>
    <row r="16" spans="3:17" ht="18.5" x14ac:dyDescent="0.45">
      <c r="C16" s="174"/>
      <c r="D16" s="151" t="s">
        <v>172</v>
      </c>
      <c r="E16" s="209">
        <v>0.55000000000000004</v>
      </c>
      <c r="F16" s="148">
        <v>0</v>
      </c>
      <c r="G16" s="148"/>
      <c r="H16" s="148"/>
      <c r="I16" s="148"/>
      <c r="J16" s="148"/>
      <c r="K16" s="153"/>
      <c r="L16" s="148"/>
      <c r="M16" s="148"/>
      <c r="N16" s="148"/>
      <c r="O16" s="149"/>
      <c r="P16" s="11"/>
      <c r="Q16" s="11"/>
    </row>
    <row r="17" spans="3:22" ht="18.5" x14ac:dyDescent="0.45">
      <c r="C17" s="174"/>
      <c r="D17" s="151" t="s">
        <v>168</v>
      </c>
      <c r="E17" s="209">
        <v>0.1</v>
      </c>
      <c r="F17" s="148">
        <v>0</v>
      </c>
      <c r="G17" s="148"/>
      <c r="H17" s="152"/>
      <c r="I17" s="148"/>
      <c r="J17" s="148"/>
      <c r="K17" s="153"/>
      <c r="L17" s="148"/>
      <c r="M17" s="148"/>
      <c r="N17" s="148"/>
      <c r="O17" s="149"/>
      <c r="P17" s="11"/>
      <c r="Q17" s="11"/>
    </row>
    <row r="18" spans="3:22" ht="18.5" x14ac:dyDescent="0.45">
      <c r="C18" s="174"/>
      <c r="D18" s="151" t="s">
        <v>209</v>
      </c>
      <c r="E18" s="209">
        <v>0</v>
      </c>
      <c r="F18" s="148">
        <v>1</v>
      </c>
      <c r="G18" s="148"/>
      <c r="H18" s="148"/>
      <c r="I18" s="148"/>
      <c r="J18" s="148"/>
      <c r="K18" s="153"/>
      <c r="L18" s="148"/>
      <c r="M18" s="148"/>
      <c r="N18" s="148"/>
      <c r="O18" s="149"/>
      <c r="P18" s="11"/>
      <c r="Q18" s="11"/>
    </row>
    <row r="19" spans="3:22" ht="18.5" x14ac:dyDescent="0.45">
      <c r="C19" s="174"/>
      <c r="D19" s="151"/>
      <c r="E19" s="209"/>
      <c r="F19" s="148"/>
      <c r="G19" s="148"/>
      <c r="H19" s="148"/>
      <c r="I19" s="148"/>
      <c r="J19" s="148"/>
      <c r="K19" s="153"/>
      <c r="L19" s="148"/>
      <c r="M19" s="148"/>
      <c r="N19" s="148"/>
      <c r="O19" s="149"/>
      <c r="P19" s="11"/>
      <c r="Q19" s="11"/>
    </row>
    <row r="20" spans="3:22" ht="18.5" x14ac:dyDescent="0.45">
      <c r="C20" s="174"/>
      <c r="D20" s="151"/>
      <c r="E20" s="209"/>
      <c r="F20" s="209"/>
      <c r="G20" s="148"/>
      <c r="H20" s="154"/>
      <c r="I20" s="148"/>
      <c r="J20" s="148"/>
      <c r="K20" s="153"/>
      <c r="L20" s="148"/>
      <c r="M20" s="148"/>
      <c r="N20" s="148"/>
      <c r="O20" s="149"/>
      <c r="P20" s="11"/>
      <c r="Q20" s="11"/>
    </row>
    <row r="21" spans="3:22" ht="15.5" x14ac:dyDescent="0.35">
      <c r="C21" s="174"/>
      <c r="E21" s="148"/>
      <c r="F21" s="148"/>
      <c r="G21" s="148"/>
      <c r="H21" s="154"/>
      <c r="I21" s="148"/>
      <c r="J21" s="148"/>
      <c r="K21" s="148"/>
      <c r="L21" s="148"/>
      <c r="M21" s="148"/>
      <c r="N21" s="148"/>
      <c r="O21" s="149"/>
      <c r="P21" s="11"/>
      <c r="Q21" s="11"/>
    </row>
    <row r="22" spans="3:22" ht="18.5" x14ac:dyDescent="0.45">
      <c r="C22" s="174"/>
      <c r="D22" s="151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9"/>
      <c r="P22" s="11"/>
      <c r="Q22" s="11"/>
    </row>
    <row r="23" spans="3:22" ht="18.5" x14ac:dyDescent="0.45">
      <c r="C23" s="174"/>
      <c r="D23" s="151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9"/>
      <c r="P23" s="11"/>
      <c r="Q23" s="11"/>
    </row>
    <row r="24" spans="3:22" ht="18.5" x14ac:dyDescent="0.45">
      <c r="C24" s="174"/>
      <c r="D24" s="151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9"/>
      <c r="P24" s="11"/>
      <c r="V24" s="11" t="s">
        <v>19</v>
      </c>
    </row>
    <row r="25" spans="3:22" ht="18.5" x14ac:dyDescent="0.45">
      <c r="C25" s="174"/>
      <c r="D25" s="151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9"/>
      <c r="P25" s="11"/>
      <c r="Q25" s="11"/>
    </row>
    <row r="26" spans="3:22" x14ac:dyDescent="0.35">
      <c r="C26" s="174"/>
      <c r="D26" s="174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2"/>
      <c r="P26" s="11"/>
      <c r="Q26" s="11"/>
    </row>
    <row r="27" spans="3:22" x14ac:dyDescent="0.35">
      <c r="C27" s="174"/>
      <c r="D27" s="174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2"/>
      <c r="P27" s="11"/>
      <c r="Q27" s="11"/>
    </row>
    <row r="28" spans="3:22" x14ac:dyDescent="0.35">
      <c r="C28" s="223"/>
      <c r="D28" s="174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2"/>
    </row>
    <row r="29" spans="3:22" x14ac:dyDescent="0.35">
      <c r="C29" s="223"/>
      <c r="D29" s="174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2"/>
    </row>
    <row r="30" spans="3:22" x14ac:dyDescent="0.35">
      <c r="C30" s="223"/>
      <c r="D30" s="174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2"/>
    </row>
    <row r="31" spans="3:22" x14ac:dyDescent="0.35">
      <c r="C31" s="223"/>
      <c r="D31" s="174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2"/>
    </row>
    <row r="32" spans="3:22" x14ac:dyDescent="0.35">
      <c r="C32" s="223"/>
      <c r="D32" s="174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2"/>
    </row>
    <row r="33" spans="3:15" x14ac:dyDescent="0.35">
      <c r="C33" s="223"/>
      <c r="D33" s="174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2"/>
    </row>
    <row r="34" spans="3:15" x14ac:dyDescent="0.35">
      <c r="C34" s="223"/>
      <c r="D34" s="174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2"/>
    </row>
    <row r="35" spans="3:15" x14ac:dyDescent="0.35">
      <c r="C35" s="223"/>
      <c r="D35" s="174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2"/>
    </row>
    <row r="36" spans="3:15" x14ac:dyDescent="0.35">
      <c r="C36" s="223"/>
      <c r="D36" s="174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2"/>
    </row>
    <row r="37" spans="3:15" ht="15" thickBot="1" x14ac:dyDescent="0.4">
      <c r="C37" s="224"/>
      <c r="D37" s="175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144"/>
    </row>
    <row r="45" spans="3:15" x14ac:dyDescent="0.35">
      <c r="N45" s="11" t="s">
        <v>19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topLeftCell="A4" workbookViewId="0">
      <selection activeCell="E11" sqref="E11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03" t="s">
        <v>108</v>
      </c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5"/>
      <c r="P5" s="11"/>
      <c r="Q5" s="11"/>
    </row>
    <row r="6" spans="3:17" ht="18.5" x14ac:dyDescent="0.45">
      <c r="C6" s="11"/>
      <c r="D6" s="216" t="s">
        <v>1</v>
      </c>
      <c r="E6" s="208"/>
      <c r="F6" s="208"/>
      <c r="G6" s="158"/>
      <c r="H6" s="146"/>
      <c r="I6" s="146"/>
      <c r="J6" s="146"/>
      <c r="K6" s="146"/>
      <c r="L6" s="146"/>
      <c r="M6" s="146"/>
      <c r="N6" s="146"/>
      <c r="O6" s="147"/>
      <c r="P6" s="11"/>
      <c r="Q6" s="11"/>
    </row>
    <row r="7" spans="3:17" ht="18.5" x14ac:dyDescent="0.45">
      <c r="C7" s="11"/>
      <c r="D7" s="145" t="s">
        <v>98</v>
      </c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9"/>
      <c r="P7" s="11"/>
      <c r="Q7" s="11"/>
    </row>
    <row r="8" spans="3:17" ht="15" thickBot="1" x14ac:dyDescent="0.4">
      <c r="C8" s="11"/>
      <c r="D8" s="175" t="s">
        <v>110</v>
      </c>
      <c r="E8" s="161"/>
      <c r="F8" s="161"/>
      <c r="G8" s="94"/>
      <c r="H8" s="94"/>
      <c r="I8" s="94"/>
      <c r="J8" s="94"/>
      <c r="K8" s="94"/>
      <c r="L8" s="94"/>
      <c r="M8" s="94"/>
      <c r="N8" s="94"/>
      <c r="O8" s="144"/>
      <c r="P8" s="11"/>
      <c r="Q8" s="11"/>
    </row>
    <row r="9" spans="3:17" ht="18.5" x14ac:dyDescent="0.45">
      <c r="C9" s="11"/>
      <c r="D9" s="145" t="s">
        <v>109</v>
      </c>
      <c r="E9" s="159"/>
      <c r="F9" s="148"/>
      <c r="G9" s="148"/>
      <c r="H9" s="148"/>
      <c r="I9" s="148"/>
      <c r="J9" s="148"/>
      <c r="K9" s="148"/>
      <c r="L9" s="148"/>
      <c r="M9" s="148"/>
      <c r="N9" s="148"/>
      <c r="O9" s="149"/>
      <c r="P9" s="11"/>
      <c r="Q9" s="11"/>
    </row>
    <row r="10" spans="3:17" ht="18.5" x14ac:dyDescent="0.45">
      <c r="C10" s="11"/>
      <c r="D10" s="145"/>
      <c r="E10" s="159"/>
      <c r="F10" s="148"/>
      <c r="G10" s="148"/>
      <c r="H10" s="148"/>
      <c r="I10" s="148"/>
      <c r="J10" s="148"/>
      <c r="K10" s="148"/>
      <c r="L10" s="148"/>
      <c r="M10" s="148"/>
      <c r="N10" s="148"/>
      <c r="O10" s="149"/>
      <c r="P10" s="11"/>
      <c r="Q10" s="11"/>
    </row>
    <row r="11" spans="3:17" ht="18.5" x14ac:dyDescent="0.45">
      <c r="C11" s="11"/>
      <c r="D11" s="145"/>
      <c r="E11" s="159"/>
      <c r="F11" s="148"/>
      <c r="G11" s="148"/>
      <c r="H11" s="148"/>
      <c r="I11" s="148"/>
      <c r="J11" s="148"/>
      <c r="K11" s="148"/>
      <c r="L11" s="148"/>
      <c r="M11" s="148"/>
      <c r="N11" s="148"/>
      <c r="O11" s="149"/>
      <c r="P11" s="11"/>
      <c r="Q11" s="11"/>
    </row>
    <row r="12" spans="3:17" ht="18.5" x14ac:dyDescent="0.45">
      <c r="C12" s="11"/>
      <c r="D12" s="145"/>
      <c r="E12" s="159"/>
      <c r="F12" s="148"/>
      <c r="G12" s="148"/>
      <c r="H12" s="148"/>
      <c r="I12" s="148"/>
      <c r="J12" s="148"/>
      <c r="K12" s="148"/>
      <c r="L12" s="148"/>
      <c r="M12" s="148"/>
      <c r="N12" s="148"/>
      <c r="O12" s="149"/>
      <c r="P12" s="11"/>
      <c r="Q12" s="11"/>
    </row>
    <row r="13" spans="3:17" ht="18.5" x14ac:dyDescent="0.45">
      <c r="C13" s="11"/>
      <c r="D13" s="151"/>
      <c r="E13" s="93"/>
      <c r="F13" s="148"/>
      <c r="G13" s="148"/>
      <c r="H13" s="148"/>
      <c r="I13" s="148"/>
      <c r="J13" s="148"/>
      <c r="K13" s="148"/>
      <c r="L13" s="148"/>
      <c r="M13" s="148"/>
      <c r="N13" s="148"/>
      <c r="O13" s="149"/>
      <c r="P13" s="11"/>
      <c r="Q13" s="11"/>
    </row>
    <row r="14" spans="3:17" ht="18.5" x14ac:dyDescent="0.45">
      <c r="C14" s="11"/>
      <c r="D14" s="151"/>
      <c r="E14" s="159"/>
      <c r="F14" s="148"/>
      <c r="G14" s="148"/>
      <c r="H14" s="148"/>
      <c r="I14" s="148"/>
      <c r="J14" s="148"/>
      <c r="K14" s="153"/>
      <c r="L14" s="148"/>
      <c r="M14" s="148"/>
      <c r="N14" s="148"/>
      <c r="O14" s="149"/>
      <c r="P14" s="11"/>
      <c r="Q14" s="11"/>
    </row>
    <row r="15" spans="3:17" ht="18.5" x14ac:dyDescent="0.45">
      <c r="C15" s="11"/>
      <c r="D15" s="151"/>
      <c r="E15" s="159"/>
      <c r="F15" s="148"/>
      <c r="G15" s="148"/>
      <c r="H15" s="152"/>
      <c r="I15" s="148"/>
      <c r="J15" s="148"/>
      <c r="K15" s="153"/>
      <c r="L15" s="148"/>
      <c r="M15" s="148"/>
      <c r="N15" s="148"/>
      <c r="O15" s="149"/>
      <c r="P15" s="11"/>
      <c r="Q15" s="11"/>
    </row>
    <row r="16" spans="3:17" ht="18.5" x14ac:dyDescent="0.45">
      <c r="C16" s="11"/>
      <c r="D16" s="151"/>
      <c r="E16" s="159"/>
      <c r="F16" s="148"/>
      <c r="G16" s="148"/>
      <c r="H16" s="148"/>
      <c r="I16" s="148"/>
      <c r="J16" s="148"/>
      <c r="K16" s="153"/>
      <c r="L16" s="148"/>
      <c r="M16" s="148"/>
      <c r="N16" s="148"/>
      <c r="O16" s="149"/>
      <c r="P16" s="11"/>
      <c r="Q16" s="11"/>
    </row>
    <row r="17" spans="3:17" ht="18.5" x14ac:dyDescent="0.45">
      <c r="C17" s="11"/>
      <c r="D17" s="151"/>
      <c r="E17" s="159"/>
      <c r="F17" s="148"/>
      <c r="G17" s="148"/>
      <c r="H17" s="148"/>
      <c r="I17" s="148"/>
      <c r="J17" s="148"/>
      <c r="K17" s="153"/>
      <c r="L17" s="148"/>
      <c r="M17" s="148"/>
      <c r="N17" s="148"/>
      <c r="O17" s="149"/>
      <c r="P17" s="11"/>
      <c r="Q17" s="11"/>
    </row>
    <row r="18" spans="3:17" ht="18.5" x14ac:dyDescent="0.45">
      <c r="C18" s="11"/>
      <c r="D18" s="151"/>
      <c r="E18" s="159"/>
      <c r="F18" s="148"/>
      <c r="G18" s="148"/>
      <c r="H18" s="154"/>
      <c r="I18" s="148"/>
      <c r="J18" s="148"/>
      <c r="K18" s="153"/>
      <c r="L18" s="148"/>
      <c r="M18" s="148"/>
      <c r="N18" s="148"/>
      <c r="O18" s="149"/>
      <c r="P18" s="11"/>
      <c r="Q18" s="11"/>
    </row>
    <row r="19" spans="3:17" ht="18.5" x14ac:dyDescent="0.45">
      <c r="C19" s="11"/>
      <c r="D19" s="151"/>
      <c r="E19" s="159"/>
      <c r="F19" s="148"/>
      <c r="G19" s="148"/>
      <c r="H19" s="154"/>
      <c r="I19" s="148"/>
      <c r="J19" s="148"/>
      <c r="K19" s="148"/>
      <c r="L19" s="148"/>
      <c r="M19" s="148"/>
      <c r="N19" s="148"/>
      <c r="O19" s="149"/>
      <c r="P19" s="11"/>
      <c r="Q19" s="11"/>
    </row>
    <row r="20" spans="3:17" ht="18.5" x14ac:dyDescent="0.45">
      <c r="C20" s="11"/>
      <c r="D20" s="151"/>
      <c r="E20" s="159"/>
      <c r="F20" s="148"/>
      <c r="G20" s="148"/>
      <c r="H20" s="148"/>
      <c r="I20" s="148"/>
      <c r="J20" s="148"/>
      <c r="K20" s="148"/>
      <c r="L20" s="148"/>
      <c r="M20" s="148"/>
      <c r="N20" s="148"/>
      <c r="O20" s="149"/>
      <c r="P20" s="11"/>
      <c r="Q20" s="11"/>
    </row>
    <row r="21" spans="3:17" ht="18.5" x14ac:dyDescent="0.45">
      <c r="C21" s="11"/>
      <c r="D21" s="151"/>
      <c r="E21" s="159"/>
      <c r="F21" s="148"/>
      <c r="G21" s="148"/>
      <c r="H21" s="148"/>
      <c r="I21" s="148"/>
      <c r="J21" s="148"/>
      <c r="K21" s="148"/>
      <c r="L21" s="148"/>
      <c r="M21" s="148"/>
      <c r="N21" s="148"/>
      <c r="O21" s="149"/>
      <c r="P21" s="11"/>
      <c r="Q21" s="11"/>
    </row>
    <row r="22" spans="3:17" ht="18.5" x14ac:dyDescent="0.45">
      <c r="C22" s="11"/>
      <c r="D22" s="151"/>
      <c r="E22" s="159"/>
      <c r="F22" s="148"/>
      <c r="G22" s="148"/>
      <c r="H22" s="148"/>
      <c r="I22" s="148"/>
      <c r="J22" s="148"/>
      <c r="K22" s="148"/>
      <c r="L22" s="148"/>
      <c r="M22" s="148"/>
      <c r="N22" s="148"/>
      <c r="O22" s="149"/>
      <c r="P22" s="11"/>
      <c r="Q22" s="11"/>
    </row>
    <row r="23" spans="3:17" ht="19" thickBot="1" x14ac:dyDescent="0.5">
      <c r="C23" s="11"/>
      <c r="D23" s="155"/>
      <c r="E23" s="160"/>
      <c r="F23" s="156"/>
      <c r="G23" s="156"/>
      <c r="H23" s="156"/>
      <c r="I23" s="156"/>
      <c r="J23" s="156"/>
      <c r="K23" s="156"/>
      <c r="L23" s="156"/>
      <c r="M23" s="156"/>
      <c r="N23" s="156"/>
      <c r="O23" s="157"/>
      <c r="P23" s="11"/>
      <c r="Q23" s="11" t="s">
        <v>19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19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O1" zoomScale="60" zoomScaleNormal="60" workbookViewId="0">
      <selection activeCell="T19" sqref="T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85"/>
      <c r="E6" s="285"/>
      <c r="F6" s="5"/>
      <c r="G6" s="5"/>
      <c r="H6" s="285"/>
      <c r="I6" s="285"/>
      <c r="J6" s="15"/>
      <c r="K6" s="15"/>
      <c r="L6" s="5"/>
      <c r="M6" s="285"/>
      <c r="N6" s="285"/>
      <c r="O6" s="285"/>
      <c r="P6" s="285"/>
      <c r="Q6" s="5"/>
      <c r="R6" s="5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86" t="s">
        <v>48</v>
      </c>
      <c r="E8" s="287"/>
      <c r="F8" s="288"/>
      <c r="G8" s="5"/>
      <c r="H8" s="289" t="s">
        <v>49</v>
      </c>
      <c r="I8" s="290"/>
      <c r="J8" s="291"/>
      <c r="K8" s="16"/>
      <c r="L8" s="5"/>
      <c r="M8" s="281" t="s">
        <v>68</v>
      </c>
      <c r="N8" s="282"/>
      <c r="O8" s="282"/>
      <c r="P8" s="282"/>
      <c r="Q8" s="283"/>
      <c r="R8" s="5"/>
      <c r="S8" s="275" t="s">
        <v>74</v>
      </c>
      <c r="T8" s="276"/>
      <c r="U8" s="277"/>
      <c r="V8" s="12"/>
      <c r="W8" s="278" t="s">
        <v>104</v>
      </c>
      <c r="X8" s="279"/>
      <c r="Y8" s="279"/>
      <c r="Z8" s="280"/>
      <c r="AA8" s="11"/>
      <c r="AB8" s="278" t="s">
        <v>81</v>
      </c>
      <c r="AC8" s="279"/>
      <c r="AD8" s="279"/>
      <c r="AE8" s="279"/>
      <c r="AF8" s="280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28</v>
      </c>
      <c r="E9" s="210" t="s">
        <v>0</v>
      </c>
      <c r="F9" s="213" t="s">
        <v>173</v>
      </c>
      <c r="G9" s="5"/>
      <c r="H9" s="74" t="s">
        <v>28</v>
      </c>
      <c r="I9" s="74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/>
      <c r="S9" s="85" t="s">
        <v>75</v>
      </c>
      <c r="T9" s="85" t="s">
        <v>31</v>
      </c>
      <c r="U9" s="85" t="s">
        <v>76</v>
      </c>
      <c r="V9" s="13"/>
      <c r="W9" s="85" t="s">
        <v>100</v>
      </c>
      <c r="X9" s="198" t="s">
        <v>157</v>
      </c>
      <c r="Y9" s="198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195</v>
      </c>
      <c r="F10" s="211" t="s">
        <v>174</v>
      </c>
      <c r="G10" s="5"/>
      <c r="H10" s="67" t="s">
        <v>2</v>
      </c>
      <c r="I10" s="68"/>
      <c r="J10" s="214" t="s">
        <v>174</v>
      </c>
      <c r="K10" s="5"/>
      <c r="L10" s="5"/>
      <c r="M10" s="67" t="s">
        <v>71</v>
      </c>
      <c r="N10" s="246">
        <v>10</v>
      </c>
      <c r="O10" s="246"/>
      <c r="P10" s="178"/>
      <c r="Q10" s="179"/>
      <c r="R10" s="5"/>
      <c r="S10" s="102">
        <v>400</v>
      </c>
      <c r="T10" s="103" t="s">
        <v>168</v>
      </c>
      <c r="U10" s="104">
        <v>1</v>
      </c>
      <c r="V10" s="84"/>
      <c r="W10" s="137">
        <v>11</v>
      </c>
      <c r="X10" s="83">
        <v>400</v>
      </c>
      <c r="Y10" s="138"/>
      <c r="Z10" s="136"/>
      <c r="AA10" s="15"/>
      <c r="AB10" s="135" t="s">
        <v>11</v>
      </c>
      <c r="AC10" s="83" t="s">
        <v>168</v>
      </c>
      <c r="AD10" s="138" t="s">
        <v>11</v>
      </c>
      <c r="AE10" s="83" t="s">
        <v>209</v>
      </c>
      <c r="AF10" s="136">
        <v>10</v>
      </c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220</v>
      </c>
      <c r="F11" s="211" t="s">
        <v>174</v>
      </c>
      <c r="G11" s="5"/>
      <c r="H11" s="69" t="s">
        <v>63</v>
      </c>
      <c r="I11" s="104">
        <v>2</v>
      </c>
      <c r="J11" s="211" t="s">
        <v>183</v>
      </c>
      <c r="K11" s="5"/>
      <c r="L11" s="5"/>
      <c r="M11" s="76" t="s">
        <v>72</v>
      </c>
      <c r="N11" s="247" t="s">
        <v>11</v>
      </c>
      <c r="O11" s="247"/>
      <c r="P11" s="79"/>
      <c r="Q11" s="126"/>
      <c r="R11" s="5"/>
      <c r="S11" s="102">
        <v>400</v>
      </c>
      <c r="T11" s="103" t="s">
        <v>209</v>
      </c>
      <c r="U11" s="104">
        <v>1</v>
      </c>
      <c r="V11" s="84"/>
      <c r="W11" s="108">
        <v>44</v>
      </c>
      <c r="X11" s="75"/>
      <c r="Y11" s="105"/>
      <c r="Z11" s="107"/>
      <c r="AA11" s="15"/>
      <c r="AB11" s="106"/>
      <c r="AC11" s="75" t="s">
        <v>171</v>
      </c>
      <c r="AD11" s="105"/>
      <c r="AE11" s="75"/>
      <c r="AF11" s="107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38</v>
      </c>
      <c r="E12" s="200"/>
      <c r="F12" s="211" t="s">
        <v>174</v>
      </c>
      <c r="G12" s="5"/>
      <c r="H12" s="69" t="s">
        <v>64</v>
      </c>
      <c r="I12" s="104">
        <v>10</v>
      </c>
      <c r="J12" s="211" t="str">
        <f>J15</f>
        <v>t/h</v>
      </c>
      <c r="K12" s="5"/>
      <c r="L12" s="5"/>
      <c r="M12" s="243" t="s">
        <v>73</v>
      </c>
      <c r="N12" s="246" t="s">
        <v>170</v>
      </c>
      <c r="O12" s="246"/>
      <c r="P12" s="178"/>
      <c r="Q12" s="179"/>
      <c r="R12" s="5"/>
      <c r="S12" s="125"/>
      <c r="T12" s="124"/>
      <c r="U12" s="126"/>
      <c r="V12" s="84"/>
      <c r="W12" s="108"/>
      <c r="X12" s="75"/>
      <c r="Y12" s="44"/>
      <c r="Z12" s="30"/>
      <c r="AA12" s="42"/>
      <c r="AB12" s="51"/>
      <c r="AC12" s="75" t="s">
        <v>172</v>
      </c>
      <c r="AE12" s="75"/>
      <c r="AF12" s="107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52</v>
      </c>
      <c r="F13" s="211" t="s">
        <v>174</v>
      </c>
      <c r="G13" s="5"/>
      <c r="H13" s="69" t="s">
        <v>65</v>
      </c>
      <c r="I13" s="104">
        <v>0.1</v>
      </c>
      <c r="J13" s="211" t="s">
        <v>174</v>
      </c>
      <c r="K13" s="5"/>
      <c r="L13" s="5"/>
      <c r="M13" s="244"/>
      <c r="N13" s="248" t="s">
        <v>171</v>
      </c>
      <c r="O13" s="240"/>
      <c r="P13" s="75"/>
      <c r="Q13" s="70"/>
      <c r="R13" s="5"/>
      <c r="S13" s="118"/>
      <c r="T13" s="119"/>
      <c r="U13" s="120"/>
      <c r="V13" s="42"/>
      <c r="W13" s="108"/>
      <c r="X13" s="75"/>
      <c r="Y13" s="44"/>
      <c r="Z13" s="30"/>
      <c r="AA13" s="42"/>
      <c r="AB13" s="51"/>
      <c r="AC13" s="75" t="s">
        <v>170</v>
      </c>
      <c r="AD13" s="44"/>
      <c r="AE13" s="75"/>
      <c r="AF13" s="107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>
        <v>2018</v>
      </c>
      <c r="J14" s="211" t="s">
        <v>186</v>
      </c>
      <c r="K14" s="5"/>
      <c r="L14" s="5"/>
      <c r="M14" s="245"/>
      <c r="N14" s="248" t="s">
        <v>172</v>
      </c>
      <c r="O14" s="241"/>
      <c r="P14" s="79"/>
      <c r="Q14" s="82"/>
      <c r="R14" s="5"/>
      <c r="S14" s="51"/>
      <c r="T14" s="75"/>
      <c r="U14" s="30"/>
      <c r="V14" s="42"/>
      <c r="W14" s="108"/>
      <c r="X14" s="75"/>
      <c r="Y14" s="44"/>
      <c r="Z14" s="30"/>
      <c r="AA14" s="42"/>
      <c r="AB14" s="51"/>
      <c r="AC14" s="75"/>
      <c r="AD14" s="44"/>
      <c r="AE14" s="75"/>
      <c r="AF14" s="107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54</v>
      </c>
      <c r="E15" s="70">
        <v>2.6</v>
      </c>
      <c r="F15" s="211" t="s">
        <v>174</v>
      </c>
      <c r="G15" s="5"/>
      <c r="H15" s="215" t="s">
        <v>67</v>
      </c>
      <c r="I15" s="70" t="s">
        <v>11</v>
      </c>
      <c r="J15" s="211" t="s">
        <v>184</v>
      </c>
      <c r="K15" s="5"/>
      <c r="L15" s="5"/>
      <c r="M15" s="245"/>
      <c r="N15" s="240" t="s">
        <v>168</v>
      </c>
      <c r="O15" s="241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8"/>
      <c r="AC15" s="75"/>
      <c r="AD15" s="75"/>
      <c r="AE15" s="75"/>
      <c r="AF15" s="107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55</v>
      </c>
      <c r="E16" s="70">
        <v>1.44</v>
      </c>
      <c r="F16" s="211" t="s">
        <v>174</v>
      </c>
      <c r="G16" s="5"/>
      <c r="H16" s="237" t="s">
        <v>51</v>
      </c>
      <c r="I16" s="68" t="s">
        <v>172</v>
      </c>
      <c r="J16" s="211" t="s">
        <v>174</v>
      </c>
      <c r="K16" s="5"/>
      <c r="L16" s="5"/>
      <c r="M16" s="245"/>
      <c r="N16" s="241"/>
      <c r="O16" s="241"/>
      <c r="P16" s="79"/>
      <c r="Q16" s="82"/>
      <c r="R16" s="5"/>
      <c r="S16" s="108"/>
      <c r="T16" s="75"/>
      <c r="U16" s="70"/>
      <c r="V16" s="15"/>
      <c r="W16" s="89"/>
      <c r="X16" s="15"/>
      <c r="Y16" s="15"/>
      <c r="Z16" s="66"/>
      <c r="AA16" s="15"/>
      <c r="AB16" s="108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56</v>
      </c>
      <c r="E17" s="70">
        <v>25</v>
      </c>
      <c r="F17" s="211" t="s">
        <v>178</v>
      </c>
      <c r="G17" s="5"/>
      <c r="H17" s="215"/>
      <c r="I17" s="70" t="s">
        <v>168</v>
      </c>
      <c r="J17" s="211" t="s">
        <v>174</v>
      </c>
      <c r="K17" s="5"/>
      <c r="L17" s="5"/>
      <c r="M17" s="245"/>
      <c r="N17" s="241"/>
      <c r="O17" s="241"/>
      <c r="P17" s="79"/>
      <c r="Q17" s="82"/>
      <c r="R17" s="5"/>
      <c r="S17" s="108"/>
      <c r="T17" s="75"/>
      <c r="U17" s="70"/>
      <c r="V17" s="15"/>
      <c r="W17" s="89"/>
      <c r="X17" s="15"/>
      <c r="Y17" s="15"/>
      <c r="Z17" s="66"/>
      <c r="AA17" s="15"/>
      <c r="AB17" s="108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57</v>
      </c>
      <c r="E18" s="70">
        <v>25</v>
      </c>
      <c r="F18" s="211" t="s">
        <v>178</v>
      </c>
      <c r="G18" s="5"/>
      <c r="H18" s="77"/>
      <c r="I18" s="70" t="s">
        <v>170</v>
      </c>
      <c r="J18" s="211"/>
      <c r="K18" s="5"/>
      <c r="L18" s="5"/>
      <c r="M18" s="245"/>
      <c r="N18" s="241"/>
      <c r="O18" s="241"/>
      <c r="P18" s="79"/>
      <c r="Q18" s="82"/>
      <c r="R18" s="5"/>
      <c r="S18" s="108"/>
      <c r="T18" s="75"/>
      <c r="U18" s="70"/>
      <c r="V18" s="15"/>
      <c r="W18" s="89"/>
      <c r="X18" s="15"/>
      <c r="Y18" s="15"/>
      <c r="Z18" s="66"/>
      <c r="AA18" s="15"/>
      <c r="AB18" s="108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58</v>
      </c>
      <c r="E19" s="70"/>
      <c r="F19" s="211" t="s">
        <v>178</v>
      </c>
      <c r="G19" s="5"/>
      <c r="H19" s="77"/>
      <c r="I19" s="70" t="s">
        <v>171</v>
      </c>
      <c r="J19" s="211"/>
      <c r="K19" s="5"/>
      <c r="L19" s="5"/>
      <c r="M19" s="245"/>
      <c r="N19" s="241"/>
      <c r="O19" s="241"/>
      <c r="P19" s="79"/>
      <c r="Q19" s="82"/>
      <c r="R19" s="5"/>
      <c r="S19" s="108"/>
      <c r="T19" s="75"/>
      <c r="U19" s="70"/>
      <c r="V19" s="15"/>
      <c r="W19" s="89"/>
      <c r="X19" s="15"/>
      <c r="Y19" s="15"/>
      <c r="Z19" s="66"/>
      <c r="AA19" s="15"/>
      <c r="AB19" s="108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59</v>
      </c>
      <c r="E20" s="70"/>
      <c r="F20" s="211" t="s">
        <v>178</v>
      </c>
      <c r="G20" s="5"/>
      <c r="H20" s="77"/>
      <c r="I20" s="70"/>
      <c r="J20" s="211"/>
      <c r="K20" s="5"/>
      <c r="L20" s="5"/>
      <c r="M20" s="241"/>
      <c r="N20" s="241"/>
      <c r="O20" s="241"/>
      <c r="P20" s="79"/>
      <c r="Q20" s="82"/>
      <c r="R20" s="5"/>
      <c r="S20" s="108"/>
      <c r="T20" s="75"/>
      <c r="U20" s="70"/>
      <c r="V20" s="15"/>
      <c r="W20" s="89"/>
      <c r="X20" s="15"/>
      <c r="Y20" s="15"/>
      <c r="Z20" s="66"/>
      <c r="AA20" s="15"/>
      <c r="AB20" s="108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60</v>
      </c>
      <c r="E21" s="141" t="s">
        <v>90</v>
      </c>
      <c r="F21" s="211" t="s">
        <v>174</v>
      </c>
      <c r="G21" s="5"/>
      <c r="H21" s="109"/>
      <c r="I21" s="70"/>
      <c r="J21" s="211"/>
      <c r="K21" s="5"/>
      <c r="L21" s="5"/>
      <c r="M21" s="241"/>
      <c r="N21" s="241"/>
      <c r="O21" s="241"/>
      <c r="P21" s="79"/>
      <c r="Q21" s="82"/>
      <c r="R21" s="5"/>
      <c r="S21" s="108"/>
      <c r="T21" s="75"/>
      <c r="U21" s="70"/>
      <c r="V21" s="15"/>
      <c r="W21" s="89"/>
      <c r="X21" s="15"/>
      <c r="Y21" s="15"/>
      <c r="Z21" s="66"/>
      <c r="AA21" s="15"/>
      <c r="AB21" s="108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61</v>
      </c>
      <c r="E22" s="70"/>
      <c r="F22" s="211" t="s">
        <v>174</v>
      </c>
      <c r="G22" s="5"/>
      <c r="H22" s="109"/>
      <c r="I22" s="70"/>
      <c r="J22" s="211"/>
      <c r="K22" s="5"/>
      <c r="L22" s="5"/>
      <c r="M22" s="241"/>
      <c r="N22" s="241"/>
      <c r="O22" s="241"/>
      <c r="P22" s="79"/>
      <c r="Q22" s="82"/>
      <c r="R22" s="5"/>
      <c r="S22" s="108"/>
      <c r="T22" s="75"/>
      <c r="U22" s="70"/>
      <c r="V22" s="15"/>
      <c r="W22" s="89"/>
      <c r="X22" s="15"/>
      <c r="Y22" s="15"/>
      <c r="Z22" s="66"/>
      <c r="AA22" s="15"/>
      <c r="AB22" s="108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62</v>
      </c>
      <c r="E23" s="70"/>
      <c r="F23" s="211" t="s">
        <v>174</v>
      </c>
      <c r="G23" s="5"/>
      <c r="H23" s="109"/>
      <c r="I23" s="82"/>
      <c r="J23" s="211"/>
      <c r="K23" s="5"/>
      <c r="L23" s="5"/>
      <c r="M23" s="241"/>
      <c r="N23" s="241"/>
      <c r="O23" s="241"/>
      <c r="P23" s="79"/>
      <c r="Q23" s="82"/>
      <c r="R23" s="5"/>
      <c r="S23" s="108"/>
      <c r="T23" s="75"/>
      <c r="U23" s="70"/>
      <c r="V23" s="15"/>
      <c r="W23" s="89"/>
      <c r="X23" s="15"/>
      <c r="Y23" s="15"/>
      <c r="Z23" s="66"/>
      <c r="AA23" s="15"/>
      <c r="AB23" s="108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1" t="s">
        <v>82</v>
      </c>
      <c r="E24" s="92"/>
      <c r="F24" s="211" t="s">
        <v>174</v>
      </c>
      <c r="G24" s="11"/>
      <c r="H24" s="109"/>
      <c r="I24" s="82"/>
      <c r="J24" s="174"/>
      <c r="K24" s="11"/>
      <c r="L24" s="11"/>
      <c r="M24" s="241"/>
      <c r="N24" s="241"/>
      <c r="O24" s="241"/>
      <c r="P24" s="79"/>
      <c r="Q24" s="82"/>
      <c r="R24" s="5"/>
      <c r="S24" s="108"/>
      <c r="T24" s="75"/>
      <c r="U24" s="70"/>
      <c r="V24" s="15"/>
      <c r="W24" s="89"/>
      <c r="X24" s="15"/>
      <c r="Y24" s="15"/>
      <c r="Z24" s="66"/>
      <c r="AA24" s="15"/>
      <c r="AB24" s="108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1" t="s">
        <v>83</v>
      </c>
      <c r="E25" s="92"/>
      <c r="F25" s="211" t="s">
        <v>174</v>
      </c>
      <c r="G25" s="11"/>
      <c r="H25" s="109"/>
      <c r="I25" s="82"/>
      <c r="J25" s="174"/>
      <c r="K25" s="11"/>
      <c r="L25" s="11"/>
      <c r="M25" s="241"/>
      <c r="N25" s="241"/>
      <c r="O25" s="241"/>
      <c r="P25" s="79"/>
      <c r="Q25" s="82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2" t="s">
        <v>84</v>
      </c>
      <c r="E26" s="65"/>
      <c r="F26" s="212" t="s">
        <v>174</v>
      </c>
      <c r="G26" s="5"/>
      <c r="H26" s="109"/>
      <c r="I26" s="82"/>
      <c r="J26" s="211"/>
      <c r="K26" s="5"/>
      <c r="L26" s="5"/>
      <c r="M26" s="241"/>
      <c r="N26" s="241"/>
      <c r="O26" s="241"/>
      <c r="P26" s="79"/>
      <c r="Q26" s="82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5" t="s">
        <v>196</v>
      </c>
      <c r="E27" s="226">
        <f>Systemblatt!C11</f>
        <v>8000</v>
      </c>
      <c r="F27" s="227" t="s">
        <v>176</v>
      </c>
      <c r="G27" s="5"/>
      <c r="H27" s="110"/>
      <c r="I27" s="72"/>
      <c r="J27" s="212"/>
      <c r="K27" s="5"/>
      <c r="L27" s="5"/>
      <c r="M27" s="242"/>
      <c r="N27" s="242"/>
      <c r="O27" s="242"/>
      <c r="P27" s="80"/>
      <c r="Q27" s="81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84"/>
      <c r="E47" s="284"/>
      <c r="F47" s="284"/>
      <c r="G47" s="284"/>
      <c r="H47" s="284"/>
      <c r="I47" s="284"/>
      <c r="J47" s="284"/>
      <c r="K47" s="284"/>
      <c r="L47" s="28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19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Systemblatt!$E$5:$E$38</xm:f>
          </x14:formula1>
          <xm:sqref>I16:I27 AC10:AC27 N13:N27 O14:Q27 N12:Q12 T10:T27 AE10:AE27</xm:sqref>
        </x14:dataValidation>
        <x14:dataValidation type="list" allowBlank="1" showInputMessage="1" showErrorMessage="1" xr:uid="{8303D604-CD4F-41ED-A7DF-DE57D81A386C}">
          <x14:formula1>
            <xm:f>Systemblatt!$E$5:$E$11</xm:f>
          </x14:formula1>
          <xm:sqref>K16:K17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53E2-FA2D-4230-AB3B-6BE499AE625D}">
  <sheetPr codeName="Tabelle37"/>
  <dimension ref="A1:AJ144"/>
  <sheetViews>
    <sheetView tabSelected="1" topLeftCell="P7" zoomScale="75" zoomScaleNormal="47" workbookViewId="0">
      <selection activeCell="U11" sqref="U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85"/>
      <c r="E6" s="285"/>
      <c r="F6" s="5"/>
      <c r="G6" s="5"/>
      <c r="H6" s="285"/>
      <c r="I6" s="285"/>
      <c r="J6" s="15"/>
      <c r="K6" s="15"/>
      <c r="L6" s="5"/>
      <c r="M6" s="285"/>
      <c r="N6" s="285"/>
      <c r="O6" s="285"/>
      <c r="P6" s="285"/>
      <c r="Q6" s="5"/>
      <c r="R6" s="5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86" t="s">
        <v>48</v>
      </c>
      <c r="E8" s="287"/>
      <c r="F8" s="288"/>
      <c r="G8" s="5"/>
      <c r="H8" s="289" t="s">
        <v>49</v>
      </c>
      <c r="I8" s="290"/>
      <c r="J8" s="291"/>
      <c r="K8" s="16"/>
      <c r="L8" s="5"/>
      <c r="M8" s="281" t="s">
        <v>68</v>
      </c>
      <c r="N8" s="282"/>
      <c r="O8" s="282"/>
      <c r="P8" s="282"/>
      <c r="Q8" s="283"/>
      <c r="R8" s="5"/>
      <c r="S8" s="275" t="s">
        <v>74</v>
      </c>
      <c r="T8" s="276"/>
      <c r="U8" s="277"/>
      <c r="V8" s="12"/>
      <c r="W8" s="278" t="s">
        <v>104</v>
      </c>
      <c r="X8" s="279"/>
      <c r="Y8" s="279"/>
      <c r="Z8" s="280"/>
      <c r="AA8" s="11"/>
      <c r="AB8" s="278" t="s">
        <v>81</v>
      </c>
      <c r="AC8" s="279"/>
      <c r="AD8" s="279"/>
      <c r="AE8" s="279"/>
      <c r="AF8" s="280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28</v>
      </c>
      <c r="E9" s="210" t="s">
        <v>0</v>
      </c>
      <c r="F9" s="213" t="s">
        <v>173</v>
      </c>
      <c r="G9" s="5"/>
      <c r="H9" s="74" t="s">
        <v>28</v>
      </c>
      <c r="I9" s="74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85" t="s">
        <v>100</v>
      </c>
      <c r="X9" s="198" t="s">
        <v>157</v>
      </c>
      <c r="Y9" s="198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207</v>
      </c>
      <c r="F10" s="211" t="s">
        <v>174</v>
      </c>
      <c r="G10" s="5"/>
      <c r="H10" s="67" t="s">
        <v>2</v>
      </c>
      <c r="I10" s="68"/>
      <c r="J10" s="214" t="s">
        <v>174</v>
      </c>
      <c r="K10" s="5"/>
      <c r="L10" s="5"/>
      <c r="M10" s="67" t="s">
        <v>71</v>
      </c>
      <c r="N10" s="177"/>
      <c r="O10" s="177">
        <v>0.1</v>
      </c>
      <c r="P10" s="178"/>
      <c r="Q10" s="179"/>
      <c r="R10" s="5" t="s">
        <v>188</v>
      </c>
      <c r="S10" s="102">
        <v>3000</v>
      </c>
      <c r="T10" s="103" t="s">
        <v>168</v>
      </c>
      <c r="U10" s="104">
        <v>0.95</v>
      </c>
      <c r="V10" s="84"/>
      <c r="W10" s="137"/>
      <c r="X10" s="83">
        <v>3000</v>
      </c>
      <c r="Y10" s="138">
        <v>220</v>
      </c>
      <c r="Z10" s="136"/>
      <c r="AA10" s="15"/>
      <c r="AB10" s="135"/>
      <c r="AC10" s="83"/>
      <c r="AD10" s="138"/>
      <c r="AE10" s="83"/>
      <c r="AF10" s="136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400</v>
      </c>
      <c r="F11" s="211" t="s">
        <v>174</v>
      </c>
      <c r="G11" s="5"/>
      <c r="H11" s="69" t="s">
        <v>63</v>
      </c>
      <c r="I11" s="104">
        <v>2</v>
      </c>
      <c r="J11" s="211" t="s">
        <v>183</v>
      </c>
      <c r="K11" s="5"/>
      <c r="L11" s="5"/>
      <c r="M11" s="76" t="s">
        <v>72</v>
      </c>
      <c r="N11" s="124"/>
      <c r="O11" s="124" t="s">
        <v>11</v>
      </c>
      <c r="P11" s="79"/>
      <c r="Q11" s="126"/>
      <c r="R11" s="5" t="s">
        <v>184</v>
      </c>
      <c r="S11" s="102">
        <v>220</v>
      </c>
      <c r="T11" s="103" t="s">
        <v>209</v>
      </c>
      <c r="U11" s="104">
        <v>0.85</v>
      </c>
      <c r="V11" s="84"/>
      <c r="W11" s="108"/>
      <c r="X11" s="75"/>
      <c r="Y11" s="105"/>
      <c r="Z11" s="107"/>
      <c r="AA11" s="15"/>
      <c r="AB11" s="106"/>
      <c r="AC11" s="75"/>
      <c r="AD11" s="105"/>
      <c r="AE11" s="75"/>
      <c r="AF11" s="107"/>
      <c r="AG11" s="5"/>
      <c r="AH11" s="5"/>
      <c r="AI11" s="87"/>
      <c r="AJ11" s="5"/>
    </row>
    <row r="12" spans="1:36" ht="19" thickBot="1" x14ac:dyDescent="0.5">
      <c r="A12" s="5"/>
      <c r="B12" s="5"/>
      <c r="C12" s="86"/>
      <c r="D12" s="69" t="s">
        <v>38</v>
      </c>
      <c r="E12" s="200"/>
      <c r="F12" s="211" t="s">
        <v>174</v>
      </c>
      <c r="G12" s="5"/>
      <c r="H12" s="69" t="s">
        <v>64</v>
      </c>
      <c r="I12" s="104">
        <v>10</v>
      </c>
      <c r="J12" s="211" t="str">
        <f>J15</f>
        <v>t/h</v>
      </c>
      <c r="K12" s="5"/>
      <c r="L12" s="5"/>
      <c r="M12" s="243" t="s">
        <v>73</v>
      </c>
      <c r="N12" s="251"/>
      <c r="O12" s="177" t="s">
        <v>168</v>
      </c>
      <c r="P12" s="178"/>
      <c r="Q12" s="179"/>
      <c r="R12" s="5"/>
      <c r="S12" s="125"/>
      <c r="T12" s="124"/>
      <c r="U12" s="126"/>
      <c r="V12" s="84"/>
      <c r="W12" s="108"/>
      <c r="X12" s="75"/>
      <c r="Y12" s="44"/>
      <c r="Z12" s="30"/>
      <c r="AA12" s="42"/>
      <c r="AB12" s="51"/>
      <c r="AC12" s="75"/>
      <c r="AD12" s="44"/>
      <c r="AE12" s="75"/>
      <c r="AF12" s="107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52</v>
      </c>
      <c r="F13" s="211" t="s">
        <v>174</v>
      </c>
      <c r="G13" s="5"/>
      <c r="H13" s="69" t="s">
        <v>65</v>
      </c>
      <c r="I13" s="104">
        <v>0.1</v>
      </c>
      <c r="J13" s="211" t="s">
        <v>174</v>
      </c>
      <c r="K13" s="5"/>
      <c r="L13" s="5"/>
      <c r="M13" s="244"/>
      <c r="N13" s="125"/>
      <c r="O13" s="177" t="s">
        <v>209</v>
      </c>
      <c r="P13" s="75"/>
      <c r="Q13" s="70"/>
      <c r="R13" s="5"/>
      <c r="S13" s="118"/>
      <c r="T13" s="119"/>
      <c r="U13" s="120"/>
      <c r="V13" s="42"/>
      <c r="W13" s="108"/>
      <c r="X13" s="75"/>
      <c r="Y13" s="44"/>
      <c r="Z13" s="30"/>
      <c r="AA13" s="42"/>
      <c r="AB13" s="51"/>
      <c r="AC13" s="75"/>
      <c r="AD13" s="44"/>
      <c r="AE13" s="75"/>
      <c r="AF13" s="107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>
        <v>2018</v>
      </c>
      <c r="J14" s="211" t="s">
        <v>186</v>
      </c>
      <c r="K14" s="5"/>
      <c r="L14" s="5"/>
      <c r="M14" s="245"/>
      <c r="N14" s="109"/>
      <c r="O14" s="79"/>
      <c r="P14" s="79"/>
      <c r="Q14" s="82"/>
      <c r="R14" s="5"/>
      <c r="S14" s="51"/>
      <c r="T14" s="75"/>
      <c r="U14" s="30"/>
      <c r="V14" s="42"/>
      <c r="W14" s="108"/>
      <c r="X14" s="75"/>
      <c r="Y14" s="44"/>
      <c r="Z14" s="30"/>
      <c r="AA14" s="42"/>
      <c r="AB14" s="51"/>
      <c r="AC14" s="75"/>
      <c r="AD14" s="44"/>
      <c r="AE14" s="75"/>
      <c r="AF14" s="107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54</v>
      </c>
      <c r="E15" s="70">
        <v>2.6</v>
      </c>
      <c r="F15" s="211" t="s">
        <v>174</v>
      </c>
      <c r="G15" s="5"/>
      <c r="H15" s="215" t="s">
        <v>67</v>
      </c>
      <c r="I15" s="70" t="s">
        <v>11</v>
      </c>
      <c r="J15" s="211" t="s">
        <v>184</v>
      </c>
      <c r="K15" s="5"/>
      <c r="L15" s="5"/>
      <c r="M15" s="245"/>
      <c r="N15" s="109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8"/>
      <c r="AC15" s="75"/>
      <c r="AD15" s="75"/>
      <c r="AE15" s="75"/>
      <c r="AF15" s="107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40" t="s">
        <v>168</v>
      </c>
      <c r="J16" s="214" t="s">
        <v>174</v>
      </c>
      <c r="K16" s="5"/>
      <c r="L16" s="5"/>
      <c r="M16" s="245"/>
      <c r="N16" s="109"/>
      <c r="O16" s="79"/>
      <c r="P16" s="79"/>
      <c r="Q16" s="82"/>
      <c r="R16" s="5"/>
      <c r="S16" s="108"/>
      <c r="T16" s="75"/>
      <c r="U16" s="70"/>
      <c r="V16" s="15"/>
      <c r="W16" s="89"/>
      <c r="X16" s="15"/>
      <c r="Y16" s="15"/>
      <c r="Z16" s="66"/>
      <c r="AA16" s="15"/>
      <c r="AB16" s="108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56</v>
      </c>
      <c r="E17" s="70">
        <v>25</v>
      </c>
      <c r="F17" s="211" t="s">
        <v>187</v>
      </c>
      <c r="G17" s="5"/>
      <c r="H17" s="76"/>
      <c r="J17" s="211" t="s">
        <v>174</v>
      </c>
      <c r="K17" s="5"/>
      <c r="L17" s="5"/>
      <c r="M17" s="245"/>
      <c r="N17" s="109"/>
      <c r="O17" s="79"/>
      <c r="P17" s="79"/>
      <c r="Q17" s="82"/>
      <c r="R17" s="5"/>
      <c r="S17" s="108"/>
      <c r="T17" s="75"/>
      <c r="U17" s="70"/>
      <c r="V17" s="15"/>
      <c r="W17" s="89"/>
      <c r="X17" s="15"/>
      <c r="Y17" s="15"/>
      <c r="Z17" s="66"/>
      <c r="AA17" s="15"/>
      <c r="AB17" s="108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57</v>
      </c>
      <c r="E18" s="70">
        <v>25</v>
      </c>
      <c r="F18" s="211" t="s">
        <v>187</v>
      </c>
      <c r="G18" s="5"/>
      <c r="H18" s="77"/>
      <c r="I18" s="240"/>
      <c r="J18" s="211" t="s">
        <v>174</v>
      </c>
      <c r="K18" s="5"/>
      <c r="L18" s="5"/>
      <c r="M18" s="245"/>
      <c r="N18" s="109"/>
      <c r="O18" s="79"/>
      <c r="P18" s="79"/>
      <c r="Q18" s="82"/>
      <c r="R18" s="5"/>
      <c r="S18" s="108"/>
      <c r="T18" s="75"/>
      <c r="U18" s="70"/>
      <c r="V18" s="15"/>
      <c r="W18" s="89"/>
      <c r="X18" s="15"/>
      <c r="Y18" s="15"/>
      <c r="Z18" s="66"/>
      <c r="AA18" s="15"/>
      <c r="AB18" s="108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58</v>
      </c>
      <c r="E19" s="70"/>
      <c r="F19" s="211" t="s">
        <v>187</v>
      </c>
      <c r="G19" s="5"/>
      <c r="H19" s="77"/>
      <c r="I19" s="240"/>
      <c r="J19" s="211" t="s">
        <v>174</v>
      </c>
      <c r="K19" s="5"/>
      <c r="L19" s="5"/>
      <c r="M19" s="245"/>
      <c r="N19" s="109"/>
      <c r="O19" s="79"/>
      <c r="P19" s="79"/>
      <c r="Q19" s="82"/>
      <c r="R19" s="5"/>
      <c r="S19" s="108"/>
      <c r="T19" s="75"/>
      <c r="U19" s="70"/>
      <c r="V19" s="15"/>
      <c r="W19" s="89"/>
      <c r="X19" s="15"/>
      <c r="Y19" s="15"/>
      <c r="Z19" s="66"/>
      <c r="AA19" s="15"/>
      <c r="AB19" s="108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59</v>
      </c>
      <c r="E20" s="70"/>
      <c r="F20" s="211" t="s">
        <v>187</v>
      </c>
      <c r="G20" s="5"/>
      <c r="H20" s="77"/>
      <c r="I20" s="240"/>
      <c r="J20" s="211" t="s">
        <v>174</v>
      </c>
      <c r="K20" s="5"/>
      <c r="L20" s="5"/>
      <c r="M20" s="241"/>
      <c r="N20" s="109"/>
      <c r="O20" s="79"/>
      <c r="P20" s="79"/>
      <c r="Q20" s="82"/>
      <c r="R20" s="5"/>
      <c r="S20" s="108"/>
      <c r="T20" s="75"/>
      <c r="U20" s="70"/>
      <c r="V20" s="15"/>
      <c r="W20" s="89"/>
      <c r="X20" s="15"/>
      <c r="Y20" s="15"/>
      <c r="Z20" s="66"/>
      <c r="AA20" s="15"/>
      <c r="AB20" s="108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60</v>
      </c>
      <c r="E21" s="141" t="s">
        <v>90</v>
      </c>
      <c r="F21" s="211" t="s">
        <v>174</v>
      </c>
      <c r="G21" s="5"/>
      <c r="H21" s="109"/>
      <c r="I21" s="240"/>
      <c r="J21" s="211" t="s">
        <v>174</v>
      </c>
      <c r="K21" s="5"/>
      <c r="L21" s="5"/>
      <c r="M21" s="241"/>
      <c r="N21" s="109"/>
      <c r="O21" s="79"/>
      <c r="P21" s="79"/>
      <c r="Q21" s="82"/>
      <c r="R21" s="5"/>
      <c r="S21" s="108"/>
      <c r="T21" s="75"/>
      <c r="U21" s="70"/>
      <c r="V21" s="15"/>
      <c r="W21" s="89"/>
      <c r="X21" s="15"/>
      <c r="Y21" s="15"/>
      <c r="Z21" s="66"/>
      <c r="AA21" s="15"/>
      <c r="AB21" s="108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5"/>
      <c r="L22" s="5"/>
      <c r="M22" s="241"/>
      <c r="N22" s="109"/>
      <c r="O22" s="79"/>
      <c r="P22" s="79"/>
      <c r="Q22" s="82"/>
      <c r="R22" s="5"/>
      <c r="S22" s="108"/>
      <c r="T22" s="75"/>
      <c r="U22" s="70"/>
      <c r="V22" s="15"/>
      <c r="W22" s="89"/>
      <c r="X22" s="15"/>
      <c r="Y22" s="15"/>
      <c r="Z22" s="66"/>
      <c r="AA22" s="15"/>
      <c r="AB22" s="108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5"/>
      <c r="L23" s="5"/>
      <c r="M23" s="241"/>
      <c r="N23" s="109"/>
      <c r="O23" s="79"/>
      <c r="P23" s="79"/>
      <c r="Q23" s="82"/>
      <c r="R23" s="5"/>
      <c r="S23" s="108"/>
      <c r="T23" s="75"/>
      <c r="U23" s="70"/>
      <c r="V23" s="15"/>
      <c r="W23" s="89"/>
      <c r="X23" s="15"/>
      <c r="Y23" s="15"/>
      <c r="Z23" s="66"/>
      <c r="AA23" s="15"/>
      <c r="AB23" s="108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11"/>
      <c r="L24" s="11"/>
      <c r="M24" s="241"/>
      <c r="N24" s="109"/>
      <c r="O24" s="79"/>
      <c r="P24" s="79"/>
      <c r="Q24" s="82"/>
      <c r="R24" s="5"/>
      <c r="S24" s="108"/>
      <c r="T24" s="75"/>
      <c r="U24" s="70"/>
      <c r="V24" s="15"/>
      <c r="W24" s="89"/>
      <c r="X24" s="15"/>
      <c r="Y24" s="15"/>
      <c r="Z24" s="66"/>
      <c r="AA24" s="15"/>
      <c r="AB24" s="108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11"/>
      <c r="L25" s="11"/>
      <c r="M25" s="241"/>
      <c r="N25" s="109"/>
      <c r="O25" s="79"/>
      <c r="P25" s="79"/>
      <c r="Q25" s="82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5"/>
      <c r="L26" s="5"/>
      <c r="M26" s="241"/>
      <c r="N26" s="109"/>
      <c r="O26" s="79"/>
      <c r="P26" s="79"/>
      <c r="Q26" s="82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5"/>
      <c r="L27" s="5"/>
      <c r="M27" s="242"/>
      <c r="N27" s="110"/>
      <c r="O27" s="80"/>
      <c r="P27" s="80"/>
      <c r="Q27" s="81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84"/>
      <c r="E47" s="284"/>
      <c r="F47" s="284"/>
      <c r="G47" s="284"/>
      <c r="H47" s="284"/>
      <c r="I47" s="284"/>
      <c r="J47" s="284"/>
      <c r="K47" s="284"/>
      <c r="L47" s="28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19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EC32630-3987-4C88-B7DF-868230F2B024}">
          <x14:formula1>
            <xm:f>DataBank!$A$3:$A$11</xm:f>
          </x14:formula1>
          <xm:sqref>N11</xm:sqref>
        </x14:dataValidation>
        <x14:dataValidation type="list" allowBlank="1" showInputMessage="1" showErrorMessage="1" xr:uid="{5F362D21-96EA-4895-9DE9-1FCB5A73AFC8}">
          <x14:formula1>
            <xm:f>DataBank!$B$2:$B$3</xm:f>
          </x14:formula1>
          <xm:sqref>J15</xm:sqref>
        </x14:dataValidation>
        <x14:dataValidation type="list" allowBlank="1" showInputMessage="1" showErrorMessage="1" xr:uid="{EABC91DD-0EB1-4C5B-8E13-C73AD26A4D03}">
          <x14:formula1>
            <xm:f>DataBank!$K$17:$K$18</xm:f>
          </x14:formula1>
          <xm:sqref>E26</xm:sqref>
        </x14:dataValidation>
        <x14:dataValidation type="list" allowBlank="1" showInputMessage="1" showErrorMessage="1" xr:uid="{A1A1CDC2-CCA6-4D97-B4E4-CB0588B48199}">
          <x14:formula1>
            <xm:f>DataBank!$A$3:$A$10</xm:f>
          </x14:formula1>
          <xm:sqref>O11:Q11</xm:sqref>
        </x14:dataValidation>
        <x14:dataValidation type="list" allowBlank="1" showInputMessage="1" showErrorMessage="1" xr:uid="{27973CB4-BF77-417A-9DF5-900C7B5905CF}">
          <x14:formula1>
            <xm:f>DataBank!$C$2:$C$7</xm:f>
          </x14:formula1>
          <xm:sqref>I15</xm:sqref>
        </x14:dataValidation>
        <x14:dataValidation type="list" allowBlank="1" showInputMessage="1" showErrorMessage="1" xr:uid="{85BB3B86-E2E3-407F-A881-AE29A8E5557B}">
          <x14:formula1>
            <xm:f>DataBank!$A$3:$A$4</xm:f>
          </x14:formula1>
          <xm:sqref>AB10 AD10</xm:sqref>
        </x14:dataValidation>
        <x14:dataValidation type="list" allowBlank="1" showInputMessage="1" showErrorMessage="1" xr:uid="{691AB474-3F28-4974-9F2B-24C696E435DF}">
          <x14:formula1>
            <xm:f>DataBank!$A$3:$A$5</xm:f>
          </x14:formula1>
          <xm:sqref>K15</xm:sqref>
        </x14:dataValidation>
        <x14:dataValidation type="whole" allowBlank="1" showInputMessage="1" showErrorMessage="1" xr:uid="{48E4E28D-387C-49D4-A77F-104930411FC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5F60C22-0655-4050-AD45-E42D055DAD1D}">
          <x14:formula1>
            <xm:f>Systemblatt!$E$5:$E$38</xm:f>
          </x14:formula1>
          <xm:sqref>AE10:AE27 T10:T27 I18:I27 I16 N13:O13 N12:Q12 N14:Q27 AC10:AC27</xm:sqref>
        </x14:dataValidation>
        <x14:dataValidation type="list" allowBlank="1" showInputMessage="1" showErrorMessage="1" xr:uid="{4F521101-60F8-41A4-9173-1F687F5A1E31}">
          <x14:formula1>
            <xm:f>Systemblatt!$E$5:$E$11</xm:f>
          </x14:formula1>
          <xm:sqref>K16:K17</xm:sqref>
        </x14:dataValidation>
        <x14:dataValidation type="list" allowBlank="1" showInputMessage="1" showErrorMessage="1" xr:uid="{F4370FA1-012E-4071-8257-870972E285A1}">
          <x14:formula1>
            <xm:f>Sources!$E$6:$O$6</xm:f>
          </x14:formula1>
          <xm:sqref>P13:Q13</xm:sqref>
        </x14:dataValidation>
        <x14:dataValidation type="list" allowBlank="1" showInputMessage="1" showErrorMessage="1" xr:uid="{D0CA8508-83E1-47B8-A2E4-7796C284CCE8}">
          <x14:formula1>
            <xm:f>Sources!$E$7:$O$7</xm:f>
          </x14:formula1>
          <xm:sqref>W10:W27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Distributor</vt:lpstr>
      <vt:lpstr>Microwave assisted extraction</vt:lpstr>
      <vt:lpstr>recovery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2023-10-05T14:53:32Z</dcterms:modified>
</cp:coreProperties>
</file>