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rcelormittal-my.sharepoint.com/personal/swbkeph_arcelormittal_de/Documents/Arbeitsordner/Bearbeitung/Python-Scripts/OUTDOOR/examples/"/>
    </mc:Choice>
  </mc:AlternateContent>
  <xr:revisionPtr revIDLastSave="2" documentId="13_ncr:1_{EF802C99-6886-F949-B880-6D5EECAB3C16}" xr6:coauthVersionLast="47" xr6:coauthVersionMax="47" xr10:uidLastSave="{87F0BFC9-E5C8-47EE-BE01-71D04DD18C75}"/>
  <bookViews>
    <workbookView xWindow="-120" yWindow="-120" windowWidth="29040" windowHeight="15840" tabRatio="912" firstSheet="18" activeTab="43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Sources" sheetId="119" r:id="rId8"/>
    <sheet name="Pools" sheetId="118" r:id="rId9"/>
    <sheet name="Distributor" sheetId="133" r:id="rId10"/>
    <sheet name="CC-MEA" sheetId="114" r:id="rId11"/>
    <sheet name="CC-MEA (2)" sheetId="113" r:id="rId12"/>
    <sheet name="CC-OXY1" sheetId="76" r:id="rId13"/>
    <sheet name="CC--OXY3" sheetId="74" r:id="rId14"/>
    <sheet name="DAC" sheetId="30" r:id="rId15"/>
    <sheet name="DAC (2)" sheetId="157" r:id="rId16"/>
    <sheet name="CO2-COMP" sheetId="22" r:id="rId17"/>
    <sheet name="AEL" sheetId="17" r:id="rId18"/>
    <sheet name="SOEL" sheetId="18" r:id="rId19"/>
    <sheet name="H2-COMP" sheetId="115" r:id="rId20"/>
    <sheet name="HP AEL" sheetId="162" r:id="rId21"/>
    <sheet name="HP PEM" sheetId="163" r:id="rId22"/>
    <sheet name="H2-COMP2" sheetId="164" r:id="rId23"/>
    <sheet name="MEOH1" sheetId="23" r:id="rId24"/>
    <sheet name="MEOH2" sheetId="25" r:id="rId25"/>
    <sheet name="MEOH3" sheetId="35" r:id="rId26"/>
    <sheet name="FURNACE" sheetId="48" r:id="rId27"/>
    <sheet name="PSA" sheetId="174" r:id="rId28"/>
    <sheet name="VACP" sheetId="175" r:id="rId29"/>
    <sheet name="SMR1" sheetId="166" r:id="rId30"/>
    <sheet name="SMR2" sheetId="168" r:id="rId31"/>
    <sheet name="SMR-PSA" sheetId="169" r:id="rId32"/>
    <sheet name="SMR-COMP" sheetId="183" r:id="rId33"/>
    <sheet name="ATR1" sheetId="176" r:id="rId34"/>
    <sheet name="ATR2" sheetId="172" r:id="rId35"/>
    <sheet name="ATR-SEL" sheetId="173" r:id="rId36"/>
    <sheet name="ATR-COMP" sheetId="181" r:id="rId37"/>
    <sheet name="TRI1" sheetId="171" r:id="rId38"/>
    <sheet name="TRI2" sheetId="177" r:id="rId39"/>
    <sheet name="TRI-SEL" sheetId="178" r:id="rId40"/>
    <sheet name="TRI-COMP" sheetId="182" r:id="rId41"/>
    <sheet name="SynFeed COMP" sheetId="170" r:id="rId42"/>
    <sheet name="H2O-PUR" sheetId="179" r:id="rId43"/>
    <sheet name="CCP" sheetId="165" r:id="rId44"/>
    <sheet name="DataBank" sheetId="12" state="hidden" r:id="rId45"/>
  </sheets>
  <externalReferences>
    <externalReference r:id="rId46"/>
    <externalReference r:id="rId47"/>
    <externalReference r:id="rId48"/>
    <externalReference r:id="rId49"/>
  </externalReferences>
  <definedNames>
    <definedName name="solver_adj" localSheetId="8" hidden="1">Pools!$F$25</definedName>
    <definedName name="solver_adj" localSheetId="7" hidden="1">Sources!$AH$32</definedName>
    <definedName name="solver_cvg" localSheetId="8" hidden="1">0.0001</definedName>
    <definedName name="solver_cvg" localSheetId="7" hidden="1">0.0001</definedName>
    <definedName name="solver_drv" localSheetId="8" hidden="1">1</definedName>
    <definedName name="solver_drv" localSheetId="7" hidden="1">1</definedName>
    <definedName name="solver_eng" localSheetId="8" hidden="1">1</definedName>
    <definedName name="solver_eng" localSheetId="7" hidden="1">1</definedName>
    <definedName name="solver_itr" localSheetId="8" hidden="1">2147483647</definedName>
    <definedName name="solver_itr" localSheetId="7" hidden="1">2147483647</definedName>
    <definedName name="solver_lin" localSheetId="8" hidden="1">2</definedName>
    <definedName name="solver_lin" localSheetId="7" hidden="1">2</definedName>
    <definedName name="solver_mip" localSheetId="8" hidden="1">2147483647</definedName>
    <definedName name="solver_mip" localSheetId="7" hidden="1">2147483647</definedName>
    <definedName name="solver_mni" localSheetId="8" hidden="1">30</definedName>
    <definedName name="solver_mni" localSheetId="7" hidden="1">30</definedName>
    <definedName name="solver_mrt" localSheetId="8" hidden="1">0.075</definedName>
    <definedName name="solver_mrt" localSheetId="7" hidden="1">0.075</definedName>
    <definedName name="solver_msl" localSheetId="8" hidden="1">2</definedName>
    <definedName name="solver_msl" localSheetId="7" hidden="1">2</definedName>
    <definedName name="solver_neg" localSheetId="8" hidden="1">1</definedName>
    <definedName name="solver_neg" localSheetId="7" hidden="1">1</definedName>
    <definedName name="solver_nod" localSheetId="8" hidden="1">2147483647</definedName>
    <definedName name="solver_nod" localSheetId="7" hidden="1">2147483647</definedName>
    <definedName name="solver_num" localSheetId="8" hidden="1">0</definedName>
    <definedName name="solver_num" localSheetId="7" hidden="1">0</definedName>
    <definedName name="solver_opt" localSheetId="8" hidden="1">Pools!$F$28</definedName>
    <definedName name="solver_opt" localSheetId="7" hidden="1">Sources!$AH$36</definedName>
    <definedName name="solver_pre" localSheetId="8" hidden="1">0.000001</definedName>
    <definedName name="solver_pre" localSheetId="7" hidden="1">0.000001</definedName>
    <definedName name="solver_rbv" localSheetId="8" hidden="1">1</definedName>
    <definedName name="solver_rbv" localSheetId="7" hidden="1">1</definedName>
    <definedName name="solver_rlx" localSheetId="8" hidden="1">2</definedName>
    <definedName name="solver_rlx" localSheetId="7" hidden="1">2</definedName>
    <definedName name="solver_rsd" localSheetId="8" hidden="1">0</definedName>
    <definedName name="solver_rsd" localSheetId="7" hidden="1">0</definedName>
    <definedName name="solver_scl" localSheetId="8" hidden="1">1</definedName>
    <definedName name="solver_scl" localSheetId="7" hidden="1">1</definedName>
    <definedName name="solver_sho" localSheetId="8" hidden="1">2</definedName>
    <definedName name="solver_sho" localSheetId="7" hidden="1">2</definedName>
    <definedName name="solver_ssz" localSheetId="8" hidden="1">100</definedName>
    <definedName name="solver_ssz" localSheetId="7" hidden="1">100</definedName>
    <definedName name="solver_tim" localSheetId="8" hidden="1">2147483647</definedName>
    <definedName name="solver_tim" localSheetId="7" hidden="1">2147483647</definedName>
    <definedName name="solver_tol" localSheetId="8" hidden="1">0.01</definedName>
    <definedName name="solver_tol" localSheetId="7" hidden="1">0.01</definedName>
    <definedName name="solver_typ" localSheetId="8" hidden="1">3</definedName>
    <definedName name="solver_typ" localSheetId="7" hidden="1">3</definedName>
    <definedName name="solver_val" localSheetId="8" hidden="1">200.72</definedName>
    <definedName name="solver_val" localSheetId="7" hidden="1">1</definedName>
    <definedName name="solver_ver" localSheetId="8" hidden="1">2</definedName>
    <definedName name="solver_ver" localSheetId="7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4" i="178" l="1"/>
  <c r="U11" i="178"/>
  <c r="U12" i="178"/>
  <c r="U13" i="178"/>
  <c r="U10" i="178"/>
  <c r="U19" i="173" l="1"/>
  <c r="U18" i="173"/>
  <c r="U17" i="173"/>
  <c r="U16" i="173"/>
  <c r="U15" i="173"/>
  <c r="J40" i="162" l="1"/>
  <c r="K40" i="162" s="1"/>
  <c r="I10" i="119" l="1"/>
  <c r="E10" i="119" l="1"/>
  <c r="N10" i="175" l="1"/>
  <c r="I11" i="174"/>
  <c r="K12" i="119" l="1"/>
  <c r="E12" i="119" l="1"/>
  <c r="F12" i="119" l="1"/>
  <c r="G12" i="119"/>
  <c r="H12" i="119"/>
  <c r="I12" i="119"/>
  <c r="J12" i="119"/>
  <c r="H10" i="119" l="1"/>
</calcChain>
</file>

<file path=xl/sharedStrings.xml><?xml version="1.0" encoding="utf-8"?>
<sst xmlns="http://schemas.openxmlformats.org/spreadsheetml/2006/main" count="3158" uniqueCount="288">
  <si>
    <t>Index</t>
  </si>
  <si>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</si>
  <si>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</si>
  <si>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</si>
  <si>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</si>
  <si>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</si>
  <si>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</si>
  <si>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</si>
  <si>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</si>
  <si>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</si>
  <si>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</si>
  <si>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</si>
  <si>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</si>
  <si>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</si>
  <si>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</si>
  <si>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</si>
  <si>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</si>
  <si>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</si>
  <si>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</si>
  <si>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</si>
  <si>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</si>
  <si>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</si>
  <si>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</si>
  <si>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</si>
  <si>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</si>
  <si>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</si>
  <si>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</si>
  <si>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</si>
  <si>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</si>
  <si>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</si>
  <si>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</si>
  <si>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</si>
  <si>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</si>
  <si>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</si>
  <si>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</si>
  <si>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</si>
  <si>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</si>
  <si>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</si>
  <si>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</si>
  <si>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</si>
  <si>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</si>
  <si>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</si>
  <si>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</si>
  <si>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</si>
  <si>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CC</t>
  </si>
  <si>
    <t>Stö</t>
  </si>
  <si>
    <t>Yield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</si>
  <si>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</si>
  <si>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</si>
  <si>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</si>
  <si>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</si>
  <si>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</si>
  <si>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</si>
  <si>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</si>
  <si>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</si>
  <si>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</si>
  <si>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</si>
  <si>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</si>
  <si>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</si>
  <si>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PEL_PROD</t>
  </si>
  <si>
    <t>MeOH Reaktor</t>
  </si>
  <si>
    <t>MeOH Flash</t>
  </si>
  <si>
    <t>CC-MEA</t>
  </si>
  <si>
    <t>CC-DAC</t>
  </si>
  <si>
    <t>CO2-COMP</t>
  </si>
  <si>
    <t>MeOH Destillation Column</t>
  </si>
  <si>
    <t>Steam Generation</t>
  </si>
  <si>
    <t>CC-OXY1</t>
  </si>
  <si>
    <t>CPU</t>
  </si>
  <si>
    <t>TestCaseName</t>
  </si>
  <si>
    <t>Objective</t>
  </si>
  <si>
    <t>Operating Factor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</si>
  <si>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</si>
  <si>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</si>
  <si>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</si>
  <si>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</si>
  <si>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</si>
  <si>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</si>
  <si>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</si>
  <si>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</si>
  <si>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</si>
  <si>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</si>
  <si>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</si>
  <si>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</si>
  <si>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</si>
  <si>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</si>
  <si>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</si>
  <si>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</si>
  <si>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</si>
  <si>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</si>
  <si>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</si>
  <si>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</si>
  <si>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</si>
  <si>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</si>
  <si>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</si>
  <si>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</si>
  <si>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</si>
  <si>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</si>
  <si>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</si>
  <si>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</si>
  <si>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</si>
  <si>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</si>
  <si>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</si>
  <si>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</si>
  <si>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</si>
  <si>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</si>
  <si>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</si>
  <si>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</si>
  <si>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</si>
  <si>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</si>
  <si>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</si>
  <si>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</si>
  <si>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</si>
  <si>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</si>
  <si>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</si>
  <si>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</si>
  <si>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</si>
  <si>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</si>
  <si>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</si>
  <si>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</si>
  <si>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</si>
  <si>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</si>
  <si>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</si>
  <si>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</si>
  <si>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</si>
  <si>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</si>
  <si>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</si>
  <si>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</si>
  <si>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</si>
  <si>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</si>
  <si>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</si>
  <si>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</si>
  <si>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</si>
  <si>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</si>
  <si>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</si>
  <si>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</si>
  <si>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</si>
  <si>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</si>
  <si>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</si>
  <si>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</si>
  <si>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</si>
  <si>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Reaction r</t>
  </si>
  <si>
    <t>Component m</t>
  </si>
  <si>
    <t>Conversion</t>
  </si>
  <si>
    <t>NO VALUE</t>
  </si>
  <si>
    <t>Process specific Full Load Hours</t>
  </si>
  <si>
    <t>CC-MEA2</t>
  </si>
  <si>
    <t>Generalfaktoren</t>
  </si>
  <si>
    <t>Kostenfaktoren</t>
  </si>
  <si>
    <t>Energiefaktoren</t>
  </si>
  <si>
    <t>Splitfaktoren</t>
  </si>
  <si>
    <t>Konzentration Cu</t>
  </si>
  <si>
    <t>Value_EL</t>
  </si>
  <si>
    <t>Value_cool</t>
  </si>
  <si>
    <t>Value_heat</t>
  </si>
  <si>
    <t>Prozess u2</t>
  </si>
  <si>
    <t>Komponente3</t>
  </si>
  <si>
    <t>Komponente</t>
  </si>
  <si>
    <t>F1</t>
  </si>
  <si>
    <t>Komponente1</t>
  </si>
  <si>
    <t>Komponente2</t>
  </si>
  <si>
    <t>Cu</t>
  </si>
  <si>
    <t xml:space="preserve">Value </t>
  </si>
  <si>
    <t>C_Ref</t>
  </si>
  <si>
    <t>FIN /FOUT/ P</t>
  </si>
  <si>
    <t>m_Ref</t>
  </si>
  <si>
    <t>f</t>
  </si>
  <si>
    <t xml:space="preserve">Lebensdauer </t>
  </si>
  <si>
    <t>CECPI_ref</t>
  </si>
  <si>
    <t>direkte Kosten</t>
  </si>
  <si>
    <t xml:space="preserve">FIN / FOUT  / P </t>
  </si>
  <si>
    <t>indirekte Kosten</t>
  </si>
  <si>
    <t>Temperatur_IN</t>
  </si>
  <si>
    <t>Temperatur_OUT</t>
  </si>
  <si>
    <t>-</t>
  </si>
  <si>
    <t>Emissionenbau</t>
  </si>
  <si>
    <t>Faktor für Maintenance</t>
  </si>
  <si>
    <t>Cost per kW installed</t>
  </si>
  <si>
    <t>TIN</t>
  </si>
  <si>
    <t>TOUT</t>
  </si>
  <si>
    <t>Heatpump Yes/No</t>
  </si>
  <si>
    <t>Yes</t>
  </si>
  <si>
    <t>COP</t>
  </si>
  <si>
    <t>Number</t>
  </si>
  <si>
    <t>Price</t>
  </si>
  <si>
    <t>Waste Water</t>
  </si>
  <si>
    <t>Group</t>
  </si>
  <si>
    <t xml:space="preserve">Pools </t>
  </si>
  <si>
    <t>Sources</t>
  </si>
  <si>
    <t>Costs</t>
  </si>
  <si>
    <t>Composition</t>
  </si>
  <si>
    <t>Air</t>
  </si>
  <si>
    <t>Fluegas</t>
  </si>
  <si>
    <t>Pure CO2</t>
  </si>
  <si>
    <t>Process Water</t>
  </si>
  <si>
    <t>Pure O2</t>
  </si>
  <si>
    <t>CO2-Emission-Fac</t>
  </si>
  <si>
    <t>Material Sources for Process</t>
  </si>
  <si>
    <t>Hydrogen</t>
  </si>
  <si>
    <t>Wert</t>
  </si>
  <si>
    <t>CH4</t>
  </si>
  <si>
    <t>Chilling</t>
  </si>
  <si>
    <t>Methane combustion</t>
  </si>
  <si>
    <t>Productpoool</t>
  </si>
  <si>
    <t>Distributors</t>
  </si>
  <si>
    <t>Decimal place</t>
  </si>
  <si>
    <t>Targets</t>
  </si>
  <si>
    <t>Min</t>
  </si>
  <si>
    <t xml:space="preserve">Max </t>
  </si>
  <si>
    <t>Low pressure steam</t>
  </si>
  <si>
    <t>Medium pressure steam</t>
  </si>
  <si>
    <t>real</t>
  </si>
  <si>
    <t>Fresh Water Factor</t>
  </si>
  <si>
    <t>CO2 Credits</t>
  </si>
  <si>
    <t>Water Credits</t>
  </si>
  <si>
    <t>CC-DAC-H2O</t>
  </si>
  <si>
    <t>HP  AEL</t>
  </si>
  <si>
    <t>HP PEM</t>
  </si>
  <si>
    <t>Single Stage H2- COMP</t>
  </si>
  <si>
    <t>Gas and Steam Turbine</t>
  </si>
  <si>
    <t>Elect.Generator</t>
  </si>
  <si>
    <t>SMR-Mixer</t>
  </si>
  <si>
    <t>Ineter component</t>
  </si>
  <si>
    <t>SMR Reformer</t>
  </si>
  <si>
    <t>SMR PSA</t>
  </si>
  <si>
    <t>SynFeed Compressor</t>
  </si>
  <si>
    <t>ATR Mixer</t>
  </si>
  <si>
    <t>ATR-Reactor</t>
  </si>
  <si>
    <t>ATR-Selexol</t>
  </si>
  <si>
    <t>O2-Dist</t>
  </si>
  <si>
    <t>H2-Dist</t>
  </si>
  <si>
    <t>Compressor plus Pressure Swing Adsorption</t>
  </si>
  <si>
    <t>rechnung: Energy mit MW aus Gong: 2,79 *0,2278/30</t>
  </si>
  <si>
    <t>PSA</t>
  </si>
  <si>
    <t>FOUT_M</t>
  </si>
  <si>
    <t>Vacuum pump</t>
  </si>
  <si>
    <t>Biogas</t>
  </si>
  <si>
    <t>CH4-Dist</t>
  </si>
  <si>
    <t>Slack CO2</t>
  </si>
  <si>
    <t>Slack H2</t>
  </si>
  <si>
    <t>CO2 Pool</t>
  </si>
  <si>
    <t>Byproduct</t>
  </si>
  <si>
    <t>TRI Mixer</t>
  </si>
  <si>
    <t>TRI-Reactor</t>
  </si>
  <si>
    <t>TRI-Selexol</t>
  </si>
  <si>
    <t>H2O-Dist</t>
  </si>
  <si>
    <t>Water Purification</t>
  </si>
  <si>
    <t>Impurities</t>
  </si>
  <si>
    <t>Multi-Stage Compression</t>
  </si>
  <si>
    <t>FWD</t>
  </si>
  <si>
    <t>Optimization Modes</t>
  </si>
  <si>
    <t>single</t>
  </si>
  <si>
    <t>sensitivity</t>
  </si>
  <si>
    <t>cross-parameter sensitivity</t>
  </si>
  <si>
    <t>NPC</t>
  </si>
  <si>
    <t>Freshwater depletion in  (t/MWh)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</si>
  <si>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</si>
  <si>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</si>
  <si>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</si>
  <si>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</si>
  <si>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</si>
  <si>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</si>
  <si>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 xml:space="preserve">Sensitivity / Cross parameter data </t>
  </si>
  <si>
    <t>electricity_price</t>
  </si>
  <si>
    <t>heat_price</t>
  </si>
  <si>
    <t>capital_costs</t>
  </si>
  <si>
    <t>heating_demand</t>
  </si>
  <si>
    <t>component_concentration</t>
  </si>
  <si>
    <t>source_costs</t>
  </si>
  <si>
    <t>Multi-criteria data</t>
  </si>
  <si>
    <t>Criterion</t>
  </si>
  <si>
    <t>Weight</t>
  </si>
  <si>
    <t>Reference value</t>
  </si>
  <si>
    <t>multi-objective</t>
  </si>
  <si>
    <t>NPE</t>
  </si>
  <si>
    <t>OXY</t>
  </si>
  <si>
    <t>DAC</t>
  </si>
  <si>
    <t>SMR</t>
  </si>
  <si>
    <t>ATR</t>
  </si>
  <si>
    <t>TRI</t>
  </si>
  <si>
    <t>opex</t>
  </si>
  <si>
    <t>simple_capex</t>
  </si>
  <si>
    <t>SMR-Dist</t>
  </si>
  <si>
    <t>ATR-Dist</t>
  </si>
  <si>
    <t>TRI-Dist</t>
  </si>
  <si>
    <t>ATR-COMP</t>
  </si>
  <si>
    <t>TRI-COMP</t>
  </si>
  <si>
    <t>SMR-COMP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</si>
</sst>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€&quot;* #,##0.00_);_(&quot;€&quot;* \(#,##0.00\);_(&quot;€&quot;* &quot;-&quot;??_);_(@_)"/>
    <numFmt numFmtId="165" formatCode="0.0000"/>
    <numFmt numFmtId="166" formatCode="0.000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sz val="16"/>
      <color rgb="FF202124"/>
      <name val="Arial"/>
      <family val="2"/>
    </font>
    <font>
      <b/>
      <sz val="16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548235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4" fillId="0" borderId="0"/>
    <xf numFmtId="164" fontId="20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164" fontId="20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</cellStyleXfs>
  <cellXfs count="615">
    <xf numFmtId="0" fontId="0" fillId="0" borderId="0" xfId="0"/>
    <xf numFmtId="0" fontId="14" fillId="0" borderId="4" xfId="1" applyBorder="1"/>
    <xf numFmtId="0" fontId="14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Protection="1">
      <protection locked="0"/>
    </xf>
    <xf numFmtId="0" fontId="17" fillId="5" borderId="0" xfId="1" applyFont="1" applyFill="1" applyAlignment="1" applyProtection="1">
      <alignment vertical="center"/>
      <protection locked="0"/>
    </xf>
    <xf numFmtId="0" fontId="14" fillId="5" borderId="0" xfId="1" applyFill="1" applyAlignment="1" applyProtection="1">
      <alignment vertical="center"/>
      <protection locked="0"/>
    </xf>
    <xf numFmtId="0" fontId="14" fillId="5" borderId="0" xfId="1" applyFill="1" applyAlignment="1" applyProtection="1">
      <alignment horizontal="right"/>
      <protection locked="0"/>
    </xf>
    <xf numFmtId="0" fontId="14" fillId="5" borderId="0" xfId="1" applyFill="1" applyAlignment="1" applyProtection="1">
      <alignment horizontal="right" vertical="center"/>
      <protection locked="0"/>
    </xf>
    <xf numFmtId="0" fontId="18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7" fillId="5" borderId="0" xfId="1" applyFont="1" applyFill="1" applyAlignment="1">
      <alignment vertical="center"/>
    </xf>
    <xf numFmtId="0" fontId="18" fillId="5" borderId="0" xfId="1" applyFont="1" applyFill="1" applyAlignment="1">
      <alignment horizontal="center" vertical="center"/>
    </xf>
    <xf numFmtId="0" fontId="17" fillId="5" borderId="0" xfId="1" applyFont="1" applyFill="1" applyAlignment="1">
      <alignment horizontal="center" vertical="center"/>
    </xf>
    <xf numFmtId="0" fontId="14" fillId="5" borderId="0" xfId="1" applyFill="1" applyProtection="1">
      <protection locked="0"/>
    </xf>
    <xf numFmtId="0" fontId="15" fillId="5" borderId="0" xfId="1" applyFont="1" applyFill="1" applyAlignment="1" applyProtection="1">
      <alignment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1" fillId="0" borderId="0" xfId="1" applyFont="1" applyProtection="1">
      <protection locked="0"/>
    </xf>
    <xf numFmtId="0" fontId="12" fillId="5" borderId="0" xfId="1" applyFont="1" applyFill="1" applyProtection="1">
      <protection locked="0"/>
    </xf>
    <xf numFmtId="0" fontId="23" fillId="5" borderId="0" xfId="1" applyFont="1" applyFill="1" applyProtection="1">
      <protection locked="0"/>
    </xf>
    <xf numFmtId="0" fontId="23" fillId="5" borderId="14" xfId="1" applyFont="1" applyFill="1" applyBorder="1"/>
    <xf numFmtId="0" fontId="14" fillId="5" borderId="15" xfId="1" applyFill="1" applyBorder="1" applyAlignment="1" applyProtection="1">
      <alignment horizontal="right"/>
      <protection locked="0"/>
    </xf>
    <xf numFmtId="0" fontId="23" fillId="5" borderId="14" xfId="1" applyFont="1" applyFill="1" applyBorder="1" applyProtection="1">
      <protection locked="0"/>
    </xf>
    <xf numFmtId="0" fontId="23" fillId="5" borderId="16" xfId="1" applyFont="1" applyFill="1" applyBorder="1" applyProtection="1">
      <protection locked="0"/>
    </xf>
    <xf numFmtId="0" fontId="23" fillId="5" borderId="12" xfId="1" applyFont="1" applyFill="1" applyBorder="1" applyProtection="1">
      <protection locked="0"/>
    </xf>
    <xf numFmtId="0" fontId="23" fillId="5" borderId="16" xfId="1" applyFont="1" applyFill="1" applyBorder="1"/>
    <xf numFmtId="0" fontId="23" fillId="5" borderId="13" xfId="1" applyFont="1" applyFill="1" applyBorder="1" applyAlignment="1" applyProtection="1">
      <alignment horizontal="center"/>
      <protection locked="0"/>
    </xf>
    <xf numFmtId="0" fontId="23" fillId="5" borderId="17" xfId="1" applyFont="1" applyFill="1" applyBorder="1" applyAlignment="1" applyProtection="1">
      <alignment horizontal="center"/>
      <protection locked="0"/>
    </xf>
    <xf numFmtId="0" fontId="23" fillId="5" borderId="15" xfId="1" applyFont="1" applyFill="1" applyBorder="1" applyAlignment="1" applyProtection="1">
      <alignment horizontal="center"/>
      <protection locked="0"/>
    </xf>
    <xf numFmtId="0" fontId="19" fillId="5" borderId="0" xfId="1" applyFont="1" applyFill="1" applyProtection="1">
      <protection locked="0"/>
    </xf>
    <xf numFmtId="0" fontId="18" fillId="5" borderId="0" xfId="1" applyFont="1" applyFill="1" applyAlignment="1" applyProtection="1">
      <alignment horizontal="center"/>
      <protection locked="0"/>
    </xf>
    <xf numFmtId="0" fontId="22" fillId="5" borderId="0" xfId="1" applyFont="1" applyFill="1" applyAlignment="1" applyProtection="1">
      <alignment vertical="center"/>
      <protection locked="0"/>
    </xf>
    <xf numFmtId="0" fontId="13" fillId="5" borderId="0" xfId="1" applyFont="1" applyFill="1" applyProtection="1">
      <protection locked="0"/>
    </xf>
    <xf numFmtId="0" fontId="14" fillId="5" borderId="5" xfId="1" applyFill="1" applyBorder="1" applyProtection="1">
      <protection locked="0"/>
    </xf>
    <xf numFmtId="0" fontId="14" fillId="5" borderId="13" xfId="1" applyFill="1" applyBorder="1" applyProtection="1">
      <protection locked="0"/>
    </xf>
    <xf numFmtId="0" fontId="14" fillId="5" borderId="15" xfId="1" applyFill="1" applyBorder="1" applyProtection="1">
      <protection locked="0"/>
    </xf>
    <xf numFmtId="0" fontId="14" fillId="5" borderId="14" xfId="1" applyFill="1" applyBorder="1" applyProtection="1">
      <protection locked="0"/>
    </xf>
    <xf numFmtId="0" fontId="14" fillId="5" borderId="16" xfId="1" applyFill="1" applyBorder="1" applyProtection="1">
      <protection locked="0"/>
    </xf>
    <xf numFmtId="0" fontId="14" fillId="5" borderId="6" xfId="1" applyFill="1" applyBorder="1" applyProtection="1">
      <protection locked="0"/>
    </xf>
    <xf numFmtId="0" fontId="14" fillId="5" borderId="17" xfId="1" applyFill="1" applyBorder="1" applyProtection="1">
      <protection locked="0"/>
    </xf>
    <xf numFmtId="0" fontId="14" fillId="5" borderId="0" xfId="1" applyFill="1" applyAlignment="1" applyProtection="1">
      <alignment horizontal="center"/>
      <protection locked="0"/>
    </xf>
    <xf numFmtId="0" fontId="23" fillId="5" borderId="5" xfId="1" applyFont="1" applyFill="1" applyBorder="1" applyAlignment="1" applyProtection="1">
      <alignment horizontal="center"/>
      <protection locked="0"/>
    </xf>
    <xf numFmtId="165" fontId="23" fillId="5" borderId="5" xfId="1" applyNumberFormat="1" applyFont="1" applyFill="1" applyBorder="1" applyAlignment="1" applyProtection="1">
      <alignment horizontal="center"/>
      <protection locked="0"/>
    </xf>
    <xf numFmtId="0" fontId="23" fillId="5" borderId="0" xfId="1" applyFont="1" applyFill="1" applyAlignment="1" applyProtection="1">
      <alignment horizontal="center"/>
      <protection locked="0"/>
    </xf>
    <xf numFmtId="165" fontId="23" fillId="5" borderId="0" xfId="1" applyNumberFormat="1" applyFont="1" applyFill="1" applyAlignment="1" applyProtection="1">
      <alignment horizontal="center"/>
      <protection locked="0"/>
    </xf>
    <xf numFmtId="0" fontId="23" fillId="5" borderId="6" xfId="1" applyFont="1" applyFill="1" applyBorder="1" applyAlignment="1" applyProtection="1">
      <alignment horizontal="center"/>
      <protection locked="0"/>
    </xf>
    <xf numFmtId="0" fontId="15" fillId="6" borderId="20" xfId="1" applyFont="1" applyFill="1" applyBorder="1" applyAlignment="1" applyProtection="1">
      <alignment horizontal="center" vertical="center" wrapText="1"/>
      <protection locked="0"/>
    </xf>
    <xf numFmtId="0" fontId="15" fillId="6" borderId="20" xfId="1" applyFont="1" applyFill="1" applyBorder="1" applyAlignment="1" applyProtection="1">
      <alignment horizontal="center" vertical="center"/>
      <protection locked="0"/>
    </xf>
    <xf numFmtId="0" fontId="23" fillId="5" borderId="12" xfId="1" applyFont="1" applyFill="1" applyBorder="1" applyAlignment="1" applyProtection="1">
      <alignment horizontal="center"/>
      <protection locked="0"/>
    </xf>
    <xf numFmtId="0" fontId="23" fillId="5" borderId="5" xfId="1" applyFont="1" applyFill="1" applyBorder="1" applyAlignment="1" applyProtection="1">
      <alignment horizontal="left"/>
      <protection locked="0"/>
    </xf>
    <xf numFmtId="0" fontId="23" fillId="5" borderId="14" xfId="1" applyFont="1" applyFill="1" applyBorder="1" applyAlignment="1" applyProtection="1">
      <alignment horizontal="center"/>
      <protection locked="0"/>
    </xf>
    <xf numFmtId="0" fontId="23" fillId="5" borderId="0" xfId="1" applyFont="1" applyFill="1" applyAlignment="1" applyProtection="1">
      <alignment horizontal="left"/>
      <protection locked="0"/>
    </xf>
    <xf numFmtId="0" fontId="23" fillId="5" borderId="14" xfId="1" applyFont="1" applyFill="1" applyBorder="1" applyAlignment="1" applyProtection="1">
      <alignment horizontal="left"/>
      <protection locked="0"/>
    </xf>
    <xf numFmtId="0" fontId="23" fillId="5" borderId="15" xfId="1" applyFont="1" applyFill="1" applyBorder="1" applyProtection="1">
      <protection locked="0"/>
    </xf>
    <xf numFmtId="0" fontId="23" fillId="5" borderId="6" xfId="1" applyFont="1" applyFill="1" applyBorder="1" applyProtection="1">
      <protection locked="0"/>
    </xf>
    <xf numFmtId="0" fontId="23" fillId="5" borderId="17" xfId="1" applyFont="1" applyFill="1" applyBorder="1" applyProtection="1">
      <protection locked="0"/>
    </xf>
    <xf numFmtId="0" fontId="15" fillId="12" borderId="20" xfId="1" applyFont="1" applyFill="1" applyBorder="1" applyAlignment="1" applyProtection="1">
      <alignment horizontal="left" vertical="center"/>
      <protection locked="0"/>
    </xf>
    <xf numFmtId="0" fontId="15" fillId="12" borderId="20" xfId="1" applyFont="1" applyFill="1" applyBorder="1" applyAlignment="1" applyProtection="1">
      <alignment horizontal="center" vertical="center" wrapText="1"/>
      <protection locked="0"/>
    </xf>
    <xf numFmtId="0" fontId="15" fillId="12" borderId="20" xfId="1" applyFont="1" applyFill="1" applyBorder="1" applyAlignment="1" applyProtection="1">
      <alignment horizontal="center" vertical="center"/>
      <protection locked="0"/>
    </xf>
    <xf numFmtId="0" fontId="15" fillId="13" borderId="7" xfId="1" applyFont="1" applyFill="1" applyBorder="1" applyAlignment="1" applyProtection="1">
      <alignment vertical="center"/>
      <protection locked="0"/>
    </xf>
    <xf numFmtId="0" fontId="18" fillId="5" borderId="0" xfId="1" applyFont="1" applyFill="1" applyAlignment="1" applyProtection="1">
      <alignment horizontal="right" vertical="center"/>
      <protection locked="0"/>
    </xf>
    <xf numFmtId="0" fontId="14" fillId="5" borderId="12" xfId="1" applyFill="1" applyBorder="1" applyProtection="1">
      <protection locked="0"/>
    </xf>
    <xf numFmtId="0" fontId="14" fillId="0" borderId="14" xfId="1" applyBorder="1" applyProtection="1">
      <protection locked="0"/>
    </xf>
    <xf numFmtId="0" fontId="14" fillId="5" borderId="14" xfId="1" applyFill="1" applyBorder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17" fillId="5" borderId="12" xfId="1" applyFont="1" applyFill="1" applyBorder="1" applyAlignment="1">
      <alignment horizontal="left" vertical="center"/>
    </xf>
    <xf numFmtId="0" fontId="23" fillId="5" borderId="13" xfId="0" applyFont="1" applyFill="1" applyBorder="1" applyAlignment="1" applyProtection="1">
      <alignment horizontal="center"/>
      <protection locked="0"/>
    </xf>
    <xf numFmtId="0" fontId="17" fillId="5" borderId="14" xfId="1" applyFont="1" applyFill="1" applyBorder="1" applyAlignment="1">
      <alignment horizontal="left" vertical="center"/>
    </xf>
    <xf numFmtId="0" fontId="23" fillId="5" borderId="15" xfId="0" applyFont="1" applyFill="1" applyBorder="1" applyAlignment="1" applyProtection="1">
      <alignment horizontal="center"/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16" xfId="0" applyFont="1" applyFill="1" applyBorder="1" applyAlignment="1" applyProtection="1">
      <alignment horizontal="left"/>
      <protection locked="0"/>
    </xf>
    <xf numFmtId="0" fontId="23" fillId="5" borderId="17" xfId="0" applyFont="1" applyFill="1" applyBorder="1" applyAlignment="1" applyProtection="1">
      <alignment horizontal="center"/>
      <protection locked="0"/>
    </xf>
    <xf numFmtId="0" fontId="24" fillId="2" borderId="20" xfId="0" applyFont="1" applyFill="1" applyBorder="1" applyAlignment="1" applyProtection="1">
      <alignment horizontal="center"/>
      <protection locked="0"/>
    </xf>
    <xf numFmtId="0" fontId="15" fillId="2" borderId="20" xfId="1" applyFont="1" applyFill="1" applyBorder="1" applyAlignment="1" applyProtection="1">
      <alignment horizontal="left" vertical="center"/>
      <protection locked="0"/>
    </xf>
    <xf numFmtId="0" fontId="15" fillId="10" borderId="7" xfId="0" applyFont="1" applyFill="1" applyBorder="1" applyProtection="1">
      <protection locked="0"/>
    </xf>
    <xf numFmtId="0" fontId="23" fillId="5" borderId="0" xfId="0" applyFont="1" applyFill="1" applyAlignment="1" applyProtection="1">
      <alignment horizontal="center"/>
      <protection locked="0"/>
    </xf>
    <xf numFmtId="0" fontId="17" fillId="5" borderId="14" xfId="1" applyFont="1" applyFill="1" applyBorder="1" applyAlignment="1">
      <alignment horizontal="left"/>
    </xf>
    <xf numFmtId="0" fontId="23" fillId="5" borderId="14" xfId="0" applyFont="1" applyFill="1" applyBorder="1" applyAlignment="1" applyProtection="1">
      <alignment horizontal="left"/>
      <protection locked="0"/>
    </xf>
    <xf numFmtId="0" fontId="23" fillId="5" borderId="15" xfId="0" applyFont="1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23" fillId="5" borderId="0" xfId="0" applyFont="1" applyFill="1" applyProtection="1">
      <protection locked="0"/>
    </xf>
    <xf numFmtId="0" fontId="23" fillId="5" borderId="6" xfId="0" applyFont="1" applyFill="1" applyBorder="1" applyProtection="1">
      <protection locked="0"/>
    </xf>
    <xf numFmtId="0" fontId="23" fillId="5" borderId="17" xfId="0" applyFont="1" applyFill="1" applyBorder="1" applyProtection="1">
      <protection locked="0"/>
    </xf>
    <xf numFmtId="0" fontId="15" fillId="3" borderId="7" xfId="0" applyFont="1" applyFill="1" applyBorder="1" applyProtection="1">
      <protection locked="0"/>
    </xf>
    <xf numFmtId="0" fontId="23" fillId="5" borderId="16" xfId="0" applyFont="1" applyFill="1" applyBorder="1" applyAlignment="1" applyProtection="1">
      <alignment horizontal="left"/>
      <protection locked="0"/>
    </xf>
    <xf numFmtId="0" fontId="23" fillId="5" borderId="5" xfId="0" applyFont="1" applyFill="1" applyBorder="1" applyAlignment="1" applyProtection="1">
      <alignment horizontal="center"/>
      <protection locked="0"/>
    </xf>
    <xf numFmtId="0" fontId="14" fillId="5" borderId="0" xfId="1" applyFill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14" fillId="5" borderId="13" xfId="1" applyFill="1" applyBorder="1" applyAlignment="1" applyProtection="1">
      <alignment horizontal="center" vertical="center"/>
      <protection locked="0"/>
    </xf>
    <xf numFmtId="0" fontId="14" fillId="5" borderId="15" xfId="1" applyFill="1" applyBorder="1" applyAlignment="1" applyProtection="1">
      <alignment horizontal="center" vertical="center"/>
      <protection locked="0"/>
    </xf>
    <xf numFmtId="0" fontId="14" fillId="5" borderId="15" xfId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15" fillId="4" borderId="7" xfId="1" applyFont="1" applyFill="1" applyBorder="1" applyAlignment="1">
      <alignment horizontal="center" vertical="center"/>
    </xf>
    <xf numFmtId="0" fontId="14" fillId="5" borderId="5" xfId="1" applyFill="1" applyBorder="1" applyAlignment="1" applyProtection="1">
      <alignment horizontal="center" vertical="center"/>
      <protection locked="0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14" fillId="5" borderId="14" xfId="1" applyFill="1" applyBorder="1" applyAlignment="1" applyProtection="1">
      <alignment horizontal="center" vertical="center"/>
      <protection locked="0"/>
    </xf>
    <xf numFmtId="0" fontId="14" fillId="5" borderId="14" xfId="1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/>
    <xf numFmtId="0" fontId="0" fillId="5" borderId="14" xfId="0" applyFill="1" applyBorder="1"/>
    <xf numFmtId="0" fontId="14" fillId="5" borderId="6" xfId="1" applyFill="1" applyBorder="1" applyAlignment="1" applyProtection="1">
      <alignment horizontal="right" vertical="center"/>
      <protection locked="0"/>
    </xf>
    <xf numFmtId="0" fontId="14" fillId="5" borderId="6" xfId="1" applyFill="1" applyBorder="1" applyAlignment="1" applyProtection="1">
      <alignment vertical="center"/>
      <protection locked="0"/>
    </xf>
    <xf numFmtId="0" fontId="18" fillId="5" borderId="6" xfId="1" applyFont="1" applyFill="1" applyBorder="1" applyAlignment="1" applyProtection="1">
      <alignment vertical="center"/>
      <protection locked="0"/>
    </xf>
    <xf numFmtId="0" fontId="0" fillId="5" borderId="6" xfId="0" applyFill="1" applyBorder="1"/>
    <xf numFmtId="0" fontId="0" fillId="5" borderId="17" xfId="0" applyFill="1" applyBorder="1"/>
    <xf numFmtId="0" fontId="0" fillId="5" borderId="5" xfId="0" applyFill="1" applyBorder="1"/>
    <xf numFmtId="0" fontId="0" fillId="5" borderId="13" xfId="0" applyFill="1" applyBorder="1" applyProtection="1">
      <protection locked="0"/>
    </xf>
    <xf numFmtId="0" fontId="18" fillId="5" borderId="0" xfId="1" applyFont="1" applyFill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5" fillId="10" borderId="20" xfId="0" applyFont="1" applyFill="1" applyBorder="1" applyProtection="1">
      <protection locked="0"/>
    </xf>
    <xf numFmtId="0" fontId="15" fillId="3" borderId="20" xfId="0" applyFont="1" applyFill="1" applyBorder="1" applyProtection="1">
      <protection locked="0"/>
    </xf>
    <xf numFmtId="0" fontId="15" fillId="4" borderId="20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8" fillId="5" borderId="14" xfId="1" applyFont="1" applyFill="1" applyBorder="1" applyAlignment="1">
      <alignment horizontal="left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0" fillId="5" borderId="16" xfId="0" applyFill="1" applyBorder="1"/>
    <xf numFmtId="0" fontId="17" fillId="11" borderId="21" xfId="1" applyFont="1" applyFill="1" applyBorder="1" applyAlignment="1" applyProtection="1">
      <alignment horizontal="center" vertical="center"/>
      <protection locked="0"/>
    </xf>
    <xf numFmtId="0" fontId="17" fillId="5" borderId="15" xfId="1" applyFont="1" applyFill="1" applyBorder="1" applyAlignment="1" applyProtection="1">
      <alignment horizontal="center" vertical="center"/>
      <protection locked="0"/>
    </xf>
    <xf numFmtId="0" fontId="21" fillId="5" borderId="14" xfId="0" applyFont="1" applyFill="1" applyBorder="1" applyAlignment="1" applyProtection="1">
      <alignment horizontal="left"/>
      <protection locked="0"/>
    </xf>
    <xf numFmtId="0" fontId="14" fillId="5" borderId="12" xfId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3" xfId="0" applyFill="1" applyBorder="1"/>
    <xf numFmtId="0" fontId="0" fillId="5" borderId="15" xfId="0" applyFill="1" applyBorder="1" applyAlignment="1">
      <alignment horizontal="center" vertical="center"/>
    </xf>
    <xf numFmtId="0" fontId="15" fillId="2" borderId="7" xfId="1" applyFont="1" applyFill="1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23" fillId="5" borderId="13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right" vertical="center"/>
      <protection locked="0"/>
    </xf>
    <xf numFmtId="0" fontId="23" fillId="5" borderId="14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Alignment="1" applyProtection="1">
      <alignment horizontal="center" vertical="center"/>
      <protection locked="0"/>
    </xf>
    <xf numFmtId="0" fontId="23" fillId="5" borderId="15" xfId="0" applyFont="1" applyFill="1" applyBorder="1" applyAlignment="1" applyProtection="1">
      <alignment horizontal="center" vertical="center"/>
      <protection locked="0"/>
    </xf>
    <xf numFmtId="0" fontId="23" fillId="5" borderId="0" xfId="1" applyFont="1" applyFill="1" applyAlignment="1" applyProtection="1">
      <alignment horizontal="center" vertical="center"/>
      <protection locked="0"/>
    </xf>
    <xf numFmtId="0" fontId="23" fillId="5" borderId="14" xfId="1" applyFont="1" applyFill="1" applyBorder="1" applyAlignment="1" applyProtection="1">
      <alignment horizontal="center" vertical="center"/>
      <protection locked="0"/>
    </xf>
    <xf numFmtId="0" fontId="23" fillId="5" borderId="15" xfId="1" applyFont="1" applyFill="1" applyBorder="1" applyAlignment="1" applyProtection="1">
      <alignment horizontal="center" vertical="center"/>
      <protection locked="0"/>
    </xf>
    <xf numFmtId="0" fontId="23" fillId="5" borderId="14" xfId="0" applyFont="1" applyFill="1" applyBorder="1" applyAlignment="1" applyProtection="1">
      <alignment horizontal="center"/>
      <protection locked="0"/>
    </xf>
    <xf numFmtId="0" fontId="23" fillId="5" borderId="14" xfId="0" applyFont="1" applyFill="1" applyBorder="1" applyProtection="1">
      <protection locked="0"/>
    </xf>
    <xf numFmtId="0" fontId="23" fillId="5" borderId="16" xfId="0" applyFont="1" applyFill="1" applyBorder="1" applyProtection="1"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5" borderId="6" xfId="0" applyFont="1" applyFill="1" applyBorder="1" applyAlignment="1" applyProtection="1">
      <alignment horizontal="center"/>
      <protection locked="0"/>
    </xf>
    <xf numFmtId="0" fontId="23" fillId="5" borderId="0" xfId="0" applyFont="1" applyFill="1"/>
    <xf numFmtId="0" fontId="23" fillId="5" borderId="14" xfId="0" applyFont="1" applyFill="1" applyBorder="1" applyAlignment="1" applyProtection="1">
      <alignment horizontal="right" vertical="center"/>
      <protection locked="0"/>
    </xf>
    <xf numFmtId="0" fontId="23" fillId="5" borderId="15" xfId="0" applyFont="1" applyFill="1" applyBorder="1" applyAlignment="1" applyProtection="1">
      <alignment vertical="center"/>
      <protection locked="0"/>
    </xf>
    <xf numFmtId="0" fontId="23" fillId="5" borderId="0" xfId="1" applyFont="1" applyFill="1" applyAlignment="1" applyProtection="1">
      <alignment vertical="center"/>
      <protection locked="0"/>
    </xf>
    <xf numFmtId="0" fontId="23" fillId="5" borderId="14" xfId="1" applyFont="1" applyFill="1" applyBorder="1" applyAlignment="1" applyProtection="1">
      <alignment horizontal="right" vertical="center"/>
      <protection locked="0"/>
    </xf>
    <xf numFmtId="0" fontId="23" fillId="5" borderId="0" xfId="1" applyFont="1" applyFill="1" applyAlignment="1" applyProtection="1">
      <alignment horizontal="right" vertical="center"/>
      <protection locked="0"/>
    </xf>
    <xf numFmtId="0" fontId="23" fillId="5" borderId="15" xfId="1" applyFont="1" applyFill="1" applyBorder="1" applyAlignment="1" applyProtection="1">
      <alignment horizontal="right" vertical="center"/>
      <protection locked="0"/>
    </xf>
    <xf numFmtId="0" fontId="23" fillId="5" borderId="15" xfId="1" applyFont="1" applyFill="1" applyBorder="1" applyAlignment="1" applyProtection="1">
      <alignment vertical="center"/>
      <protection locked="0"/>
    </xf>
    <xf numFmtId="0" fontId="23" fillId="5" borderId="14" xfId="0" applyFont="1" applyFill="1" applyBorder="1" applyAlignment="1" applyProtection="1">
      <alignment horizontal="right"/>
      <protection locked="0"/>
    </xf>
    <xf numFmtId="0" fontId="23" fillId="5" borderId="0" xfId="1" applyFont="1" applyFill="1" applyAlignment="1" applyProtection="1">
      <alignment horizontal="right"/>
      <protection locked="0"/>
    </xf>
    <xf numFmtId="0" fontId="23" fillId="5" borderId="14" xfId="1" applyFont="1" applyFill="1" applyBorder="1" applyAlignment="1" applyProtection="1">
      <alignment horizontal="right"/>
      <protection locked="0"/>
    </xf>
    <xf numFmtId="0" fontId="23" fillId="5" borderId="15" xfId="1" applyFont="1" applyFill="1" applyBorder="1" applyAlignment="1" applyProtection="1">
      <alignment horizontal="right"/>
      <protection locked="0"/>
    </xf>
    <xf numFmtId="0" fontId="23" fillId="5" borderId="14" xfId="0" applyFont="1" applyFill="1" applyBorder="1"/>
    <xf numFmtId="0" fontId="23" fillId="5" borderId="15" xfId="0" applyFont="1" applyFill="1" applyBorder="1"/>
    <xf numFmtId="0" fontId="23" fillId="5" borderId="16" xfId="0" applyFont="1" applyFill="1" applyBorder="1"/>
    <xf numFmtId="0" fontId="23" fillId="5" borderId="6" xfId="0" applyFont="1" applyFill="1" applyBorder="1"/>
    <xf numFmtId="0" fontId="23" fillId="5" borderId="17" xfId="0" applyFont="1" applyFill="1" applyBorder="1"/>
    <xf numFmtId="0" fontId="23" fillId="5" borderId="14" xfId="0" applyFont="1" applyFill="1" applyBorder="1" applyAlignment="1">
      <alignment horizontal="center"/>
    </xf>
    <xf numFmtId="0" fontId="23" fillId="5" borderId="0" xfId="0" applyFont="1" applyFill="1" applyAlignment="1">
      <alignment horizontal="center"/>
    </xf>
    <xf numFmtId="0" fontId="23" fillId="5" borderId="15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23" fillId="5" borderId="6" xfId="0" applyFont="1" applyFill="1" applyBorder="1" applyAlignment="1">
      <alignment horizontal="center"/>
    </xf>
    <xf numFmtId="0" fontId="23" fillId="5" borderId="17" xfId="0" applyFont="1" applyFill="1" applyBorder="1" applyAlignment="1">
      <alignment horizontal="center"/>
    </xf>
    <xf numFmtId="0" fontId="23" fillId="5" borderId="0" xfId="0" applyFont="1" applyFill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23" fillId="5" borderId="15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right" vertical="center"/>
    </xf>
    <xf numFmtId="0" fontId="17" fillId="5" borderId="0" xfId="0" applyFont="1" applyFill="1" applyAlignment="1">
      <alignment vertical="center"/>
    </xf>
    <xf numFmtId="0" fontId="17" fillId="5" borderId="15" xfId="0" applyFont="1" applyFill="1" applyBorder="1" applyAlignment="1">
      <alignment vertical="center"/>
    </xf>
    <xf numFmtId="0" fontId="17" fillId="5" borderId="15" xfId="1" applyFont="1" applyFill="1" applyBorder="1" applyAlignment="1" applyProtection="1">
      <alignment vertical="center"/>
      <protection locked="0"/>
    </xf>
    <xf numFmtId="0" fontId="17" fillId="5" borderId="14" xfId="0" applyFont="1" applyFill="1" applyBorder="1"/>
    <xf numFmtId="0" fontId="17" fillId="5" borderId="14" xfId="0" applyFont="1" applyFill="1" applyBorder="1" applyProtection="1">
      <protection locked="0"/>
    </xf>
    <xf numFmtId="0" fontId="17" fillId="5" borderId="16" xfId="0" applyFont="1" applyFill="1" applyBorder="1" applyProtection="1">
      <protection locked="0"/>
    </xf>
    <xf numFmtId="0" fontId="23" fillId="5" borderId="16" xfId="1" applyFont="1" applyFill="1" applyBorder="1" applyAlignment="1" applyProtection="1">
      <alignment horizontal="center" vertical="center"/>
      <protection locked="0"/>
    </xf>
    <xf numFmtId="0" fontId="17" fillId="5" borderId="6" xfId="1" applyFont="1" applyFill="1" applyBorder="1" applyAlignment="1" applyProtection="1">
      <alignment vertical="center"/>
      <protection locked="0"/>
    </xf>
    <xf numFmtId="0" fontId="17" fillId="5" borderId="6" xfId="1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5" xfId="0" applyFont="1" applyFill="1" applyBorder="1" applyAlignment="1" applyProtection="1">
      <alignment horizontal="center" vertical="center"/>
      <protection locked="0"/>
    </xf>
    <xf numFmtId="0" fontId="23" fillId="5" borderId="12" xfId="1" applyFont="1" applyFill="1" applyBorder="1" applyAlignment="1" applyProtection="1">
      <alignment horizontal="center" vertical="center"/>
      <protection locked="0"/>
    </xf>
    <xf numFmtId="0" fontId="23" fillId="5" borderId="13" xfId="1" applyFont="1" applyFill="1" applyBorder="1" applyAlignment="1" applyProtection="1">
      <alignment horizontal="center" vertical="center"/>
      <protection locked="0"/>
    </xf>
    <xf numFmtId="0" fontId="23" fillId="5" borderId="13" xfId="0" applyFont="1" applyFill="1" applyBorder="1" applyAlignment="1">
      <alignment horizontal="center" vertical="center"/>
    </xf>
    <xf numFmtId="0" fontId="27" fillId="5" borderId="15" xfId="0" applyFont="1" applyFill="1" applyBorder="1" applyAlignment="1" applyProtection="1">
      <alignment horizontal="center" vertical="center"/>
      <protection locked="0"/>
    </xf>
    <xf numFmtId="0" fontId="17" fillId="5" borderId="17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Protection="1">
      <protection locked="0"/>
    </xf>
    <xf numFmtId="0" fontId="23" fillId="5" borderId="12" xfId="0" applyFont="1" applyFill="1" applyBorder="1" applyAlignment="1" applyProtection="1">
      <alignment horizontal="center" vertical="center"/>
      <protection locked="0"/>
    </xf>
    <xf numFmtId="0" fontId="23" fillId="5" borderId="5" xfId="0" applyFont="1" applyFill="1" applyBorder="1" applyAlignment="1" applyProtection="1">
      <alignment horizontal="center" vertical="center"/>
      <protection locked="0"/>
    </xf>
    <xf numFmtId="0" fontId="17" fillId="5" borderId="16" xfId="1" applyFont="1" applyFill="1" applyBorder="1" applyAlignment="1">
      <alignment horizontal="left" vertical="center"/>
    </xf>
    <xf numFmtId="0" fontId="23" fillId="5" borderId="17" xfId="1" applyFont="1" applyFill="1" applyBorder="1" applyAlignment="1" applyProtection="1">
      <alignment horizontal="center" vertical="center"/>
      <protection locked="0"/>
    </xf>
    <xf numFmtId="0" fontId="17" fillId="5" borderId="14" xfId="1" applyFont="1" applyFill="1" applyBorder="1" applyAlignment="1" applyProtection="1">
      <alignment horizontal="left"/>
      <protection locked="0"/>
    </xf>
    <xf numFmtId="0" fontId="15" fillId="4" borderId="7" xfId="1" applyFont="1" applyFill="1" applyBorder="1" applyAlignment="1" applyProtection="1">
      <alignment horizontal="center" vertical="center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5" fillId="4" borderId="26" xfId="1" applyFont="1" applyFill="1" applyBorder="1" applyAlignment="1">
      <alignment horizontal="center" vertical="center"/>
    </xf>
    <xf numFmtId="0" fontId="28" fillId="9" borderId="7" xfId="1" applyFont="1" applyFill="1" applyBorder="1" applyAlignment="1">
      <alignment horizontal="left" vertical="center"/>
    </xf>
    <xf numFmtId="0" fontId="28" fillId="9" borderId="7" xfId="1" applyFont="1" applyFill="1" applyBorder="1" applyAlignment="1" applyProtection="1">
      <alignment horizontal="center" vertical="center"/>
      <protection locked="0"/>
    </xf>
    <xf numFmtId="0" fontId="17" fillId="5" borderId="0" xfId="4" applyFont="1" applyFill="1" applyAlignment="1">
      <alignment vertical="center"/>
    </xf>
    <xf numFmtId="0" fontId="15" fillId="2" borderId="20" xfId="4" applyFont="1" applyFill="1" applyBorder="1" applyAlignment="1" applyProtection="1">
      <alignment horizontal="left" vertical="center"/>
      <protection locked="0"/>
    </xf>
    <xf numFmtId="0" fontId="15" fillId="4" borderId="7" xfId="4" applyFont="1" applyFill="1" applyBorder="1" applyAlignment="1">
      <alignment horizontal="center" vertical="center"/>
    </xf>
    <xf numFmtId="0" fontId="18" fillId="5" borderId="0" xfId="4" applyFont="1" applyFill="1" applyAlignment="1">
      <alignment horizontal="center" vertical="center"/>
    </xf>
    <xf numFmtId="0" fontId="17" fillId="5" borderId="12" xfId="4" applyFont="1" applyFill="1" applyBorder="1" applyAlignment="1">
      <alignment horizontal="left" vertical="center"/>
    </xf>
    <xf numFmtId="0" fontId="9" fillId="5" borderId="12" xfId="4" applyFill="1" applyBorder="1" applyAlignment="1" applyProtection="1">
      <alignment horizontal="left" vertical="center"/>
      <protection locked="0"/>
    </xf>
    <xf numFmtId="0" fontId="9" fillId="5" borderId="13" xfId="4" applyFill="1" applyBorder="1" applyAlignment="1" applyProtection="1">
      <alignment horizontal="center" vertical="center"/>
      <protection locked="0"/>
    </xf>
    <xf numFmtId="0" fontId="9" fillId="5" borderId="0" xfId="4" applyFill="1" applyAlignment="1" applyProtection="1">
      <alignment vertical="center"/>
      <protection locked="0"/>
    </xf>
    <xf numFmtId="0" fontId="17" fillId="5" borderId="14" xfId="4" applyFont="1" applyFill="1" applyBorder="1" applyAlignment="1">
      <alignment horizontal="left" vertical="center"/>
    </xf>
    <xf numFmtId="0" fontId="17" fillId="5" borderId="14" xfId="4" applyFont="1" applyFill="1" applyBorder="1" applyAlignment="1">
      <alignment horizontal="left"/>
    </xf>
    <xf numFmtId="0" fontId="9" fillId="5" borderId="14" xfId="4" applyFill="1" applyBorder="1" applyAlignment="1" applyProtection="1">
      <alignment horizontal="left" vertical="center"/>
      <protection locked="0"/>
    </xf>
    <xf numFmtId="0" fontId="9" fillId="5" borderId="15" xfId="4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left"/>
      <protection locked="0"/>
    </xf>
    <xf numFmtId="0" fontId="9" fillId="5" borderId="0" xfId="4" applyFill="1" applyAlignment="1" applyProtection="1">
      <alignment horizontal="center" vertical="center"/>
      <protection locked="0"/>
    </xf>
    <xf numFmtId="0" fontId="9" fillId="5" borderId="14" xfId="4" applyFill="1" applyBorder="1" applyAlignment="1" applyProtection="1">
      <alignment horizontal="center" vertical="center"/>
      <protection locked="0"/>
    </xf>
    <xf numFmtId="0" fontId="9" fillId="5" borderId="0" xfId="4" applyFill="1" applyAlignment="1" applyProtection="1">
      <alignment horizontal="center"/>
      <protection locked="0"/>
    </xf>
    <xf numFmtId="0" fontId="9" fillId="5" borderId="15" xfId="4" applyFill="1" applyBorder="1" applyAlignment="1" applyProtection="1">
      <alignment horizontal="center"/>
      <protection locked="0"/>
    </xf>
    <xf numFmtId="0" fontId="9" fillId="5" borderId="0" xfId="4" applyFill="1" applyAlignment="1" applyProtection="1">
      <alignment horizontal="right"/>
      <protection locked="0"/>
    </xf>
    <xf numFmtId="0" fontId="9" fillId="5" borderId="14" xfId="4" applyFill="1" applyBorder="1" applyAlignment="1" applyProtection="1">
      <alignment horizontal="center"/>
      <protection locked="0"/>
    </xf>
    <xf numFmtId="0" fontId="9" fillId="5" borderId="14" xfId="4" applyFill="1" applyBorder="1" applyAlignment="1" applyProtection="1">
      <alignment horizontal="left"/>
      <protection locked="0"/>
    </xf>
    <xf numFmtId="0" fontId="9" fillId="5" borderId="0" xfId="4" applyFill="1" applyProtection="1">
      <protection locked="0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6" xfId="0" applyFill="1" applyBorder="1" applyAlignment="1" applyProtection="1">
      <alignment horizontal="left"/>
      <protection locked="0"/>
    </xf>
    <xf numFmtId="0" fontId="9" fillId="5" borderId="0" xfId="4" applyFill="1" applyAlignment="1" applyProtection="1">
      <alignment horizontal="right" vertical="center"/>
      <protection locked="0"/>
    </xf>
    <xf numFmtId="0" fontId="18" fillId="5" borderId="0" xfId="4" applyFont="1" applyFill="1" applyAlignment="1" applyProtection="1">
      <alignment horizontal="center" vertical="center"/>
      <protection locked="0"/>
    </xf>
    <xf numFmtId="0" fontId="18" fillId="5" borderId="0" xfId="4" applyFont="1" applyFill="1" applyAlignment="1" applyProtection="1">
      <alignment vertical="center"/>
      <protection locked="0"/>
    </xf>
    <xf numFmtId="0" fontId="23" fillId="5" borderId="27" xfId="0" applyFont="1" applyFill="1" applyBorder="1"/>
    <xf numFmtId="0" fontId="17" fillId="5" borderId="0" xfId="4" applyFont="1" applyFill="1" applyAlignment="1" applyProtection="1">
      <alignment horizontal="center" vertic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7" xfId="0" applyFont="1" applyFill="1" applyBorder="1" applyAlignment="1" applyProtection="1">
      <alignment horizontal="center"/>
      <protection locked="0"/>
    </xf>
    <xf numFmtId="0" fontId="18" fillId="4" borderId="28" xfId="1" applyFont="1" applyFill="1" applyBorder="1" applyAlignment="1" applyProtection="1">
      <alignment horizontal="center" vertical="center"/>
      <protection locked="0"/>
    </xf>
    <xf numFmtId="0" fontId="18" fillId="4" borderId="29" xfId="1" applyFont="1" applyFill="1" applyBorder="1" applyAlignment="1" applyProtection="1">
      <alignment horizontal="center" vertical="center"/>
      <protection locked="0"/>
    </xf>
    <xf numFmtId="0" fontId="18" fillId="4" borderId="30" xfId="1" applyFont="1" applyFill="1" applyBorder="1" applyAlignment="1" applyProtection="1">
      <alignment horizontal="center" vertical="center"/>
      <protection locked="0"/>
    </xf>
    <xf numFmtId="0" fontId="18" fillId="5" borderId="12" xfId="4" applyFont="1" applyFill="1" applyBorder="1" applyAlignment="1">
      <alignment horizontal="left" vertical="center"/>
    </xf>
    <xf numFmtId="0" fontId="18" fillId="5" borderId="14" xfId="4" applyFont="1" applyFill="1" applyBorder="1" applyAlignment="1">
      <alignment horizontal="left" vertical="center"/>
    </xf>
    <xf numFmtId="0" fontId="21" fillId="5" borderId="16" xfId="0" applyFont="1" applyFill="1" applyBorder="1" applyAlignment="1" applyProtection="1">
      <alignment horizontal="left"/>
      <protection locked="0"/>
    </xf>
    <xf numFmtId="0" fontId="18" fillId="2" borderId="7" xfId="4" applyFont="1" applyFill="1" applyBorder="1" applyAlignment="1">
      <alignment horizontal="center" vertical="center"/>
    </xf>
    <xf numFmtId="0" fontId="0" fillId="5" borderId="17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left" vertical="center"/>
      <protection locked="0"/>
    </xf>
    <xf numFmtId="0" fontId="0" fillId="5" borderId="16" xfId="0" applyFill="1" applyBorder="1" applyAlignment="1" applyProtection="1">
      <alignment horizontal="left" vertical="center"/>
      <protection locked="0"/>
    </xf>
    <xf numFmtId="0" fontId="18" fillId="10" borderId="7" xfId="0" applyFont="1" applyFill="1" applyBorder="1"/>
    <xf numFmtId="0" fontId="18" fillId="10" borderId="7" xfId="0" applyFont="1" applyFill="1" applyBorder="1" applyProtection="1">
      <protection locked="0"/>
    </xf>
    <xf numFmtId="0" fontId="18" fillId="3" borderId="7" xfId="0" applyFont="1" applyFill="1" applyBorder="1"/>
    <xf numFmtId="0" fontId="18" fillId="3" borderId="7" xfId="0" applyFont="1" applyFill="1" applyBorder="1" applyProtection="1">
      <protection locked="0"/>
    </xf>
    <xf numFmtId="0" fontId="9" fillId="5" borderId="14" xfId="4" applyFill="1" applyBorder="1" applyAlignment="1" applyProtection="1">
      <alignment horizontal="right"/>
      <protection locked="0"/>
    </xf>
    <xf numFmtId="0" fontId="9" fillId="5" borderId="15" xfId="4" applyFill="1" applyBorder="1" applyProtection="1">
      <protection locked="0"/>
    </xf>
    <xf numFmtId="0" fontId="9" fillId="5" borderId="15" xfId="4" applyFill="1" applyBorder="1" applyAlignment="1" applyProtection="1">
      <alignment horizontal="right"/>
      <protection locked="0"/>
    </xf>
    <xf numFmtId="0" fontId="18" fillId="4" borderId="7" xfId="4" applyFont="1" applyFill="1" applyBorder="1" applyAlignment="1">
      <alignment horizontal="center" vertical="center"/>
    </xf>
    <xf numFmtId="0" fontId="20" fillId="5" borderId="15" xfId="4" applyFont="1" applyFill="1" applyBorder="1" applyAlignment="1" applyProtection="1">
      <alignment horizontal="center" vertical="center"/>
      <protection locked="0"/>
    </xf>
    <xf numFmtId="0" fontId="21" fillId="5" borderId="14" xfId="4" applyFont="1" applyFill="1" applyBorder="1" applyAlignment="1" applyProtection="1">
      <alignment horizontal="left" vertical="center"/>
      <protection locked="0"/>
    </xf>
    <xf numFmtId="0" fontId="21" fillId="0" borderId="14" xfId="0" applyFont="1" applyBorder="1" applyAlignment="1">
      <alignment horizontal="left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0" fontId="9" fillId="5" borderId="14" xfId="4" applyFill="1" applyBorder="1" applyAlignment="1" applyProtection="1">
      <alignment horizontal="right" vertical="center"/>
      <protection locked="0"/>
    </xf>
    <xf numFmtId="0" fontId="9" fillId="5" borderId="15" xfId="4" applyFill="1" applyBorder="1" applyAlignment="1" applyProtection="1">
      <alignment horizontal="right" vertical="center"/>
      <protection locked="0"/>
    </xf>
    <xf numFmtId="0" fontId="18" fillId="4" borderId="7" xfId="4" applyFont="1" applyFill="1" applyBorder="1" applyAlignment="1" applyProtection="1">
      <alignment horizontal="center" vertical="center"/>
      <protection locked="0"/>
    </xf>
    <xf numFmtId="0" fontId="18" fillId="5" borderId="14" xfId="4" applyFont="1" applyFill="1" applyBorder="1" applyAlignment="1" applyProtection="1">
      <alignment horizontal="left" vertical="center"/>
      <protection locked="0"/>
    </xf>
    <xf numFmtId="0" fontId="18" fillId="5" borderId="16" xfId="4" applyFont="1" applyFill="1" applyBorder="1" applyAlignment="1" applyProtection="1">
      <alignment horizontal="left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21" fillId="5" borderId="14" xfId="0" applyFont="1" applyFill="1" applyBorder="1" applyAlignment="1" applyProtection="1">
      <alignment horizontal="left" vertical="center"/>
      <protection locked="0"/>
    </xf>
    <xf numFmtId="0" fontId="21" fillId="5" borderId="16" xfId="0" applyFont="1" applyFill="1" applyBorder="1" applyAlignment="1" applyProtection="1">
      <alignment horizontal="left" vertical="center"/>
      <protection locked="0"/>
    </xf>
    <xf numFmtId="0" fontId="18" fillId="5" borderId="15" xfId="4" applyFont="1" applyFill="1" applyBorder="1" applyAlignment="1" applyProtection="1">
      <alignment horizontal="center" vertical="center"/>
      <protection locked="0"/>
    </xf>
    <xf numFmtId="0" fontId="18" fillId="5" borderId="6" xfId="4" applyFont="1" applyFill="1" applyBorder="1" applyAlignment="1" applyProtection="1">
      <alignment horizontal="center" vertical="center"/>
      <protection locked="0"/>
    </xf>
    <xf numFmtId="0" fontId="26" fillId="5" borderId="0" xfId="0" applyFont="1" applyFill="1"/>
    <xf numFmtId="0" fontId="18" fillId="4" borderId="10" xfId="1" applyFont="1" applyFill="1" applyBorder="1" applyAlignment="1">
      <alignment horizontal="center" vertical="center"/>
    </xf>
    <xf numFmtId="0" fontId="18" fillId="4" borderId="11" xfId="1" applyFont="1" applyFill="1" applyBorder="1" applyAlignment="1">
      <alignment horizontal="center" vertical="center"/>
    </xf>
    <xf numFmtId="0" fontId="18" fillId="4" borderId="19" xfId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0" fontId="23" fillId="5" borderId="13" xfId="0" applyFont="1" applyFill="1" applyBorder="1" applyProtection="1">
      <protection locked="0"/>
    </xf>
    <xf numFmtId="0" fontId="23" fillId="5" borderId="5" xfId="1" applyFont="1" applyFill="1" applyBorder="1" applyAlignment="1" applyProtection="1">
      <alignment horizontal="center" vertical="center"/>
      <protection locked="0"/>
    </xf>
    <xf numFmtId="0" fontId="23" fillId="5" borderId="12" xfId="0" applyFont="1" applyFill="1" applyBorder="1" applyAlignment="1" applyProtection="1">
      <alignment horizontal="center"/>
      <protection locked="0"/>
    </xf>
    <xf numFmtId="0" fontId="23" fillId="5" borderId="12" xfId="0" applyFont="1" applyFill="1" applyBorder="1" applyAlignment="1">
      <alignment horizontal="center" vertical="center"/>
    </xf>
    <xf numFmtId="0" fontId="7" fillId="5" borderId="0" xfId="1" applyFont="1" applyFill="1" applyProtection="1">
      <protection locked="0"/>
    </xf>
    <xf numFmtId="0" fontId="7" fillId="5" borderId="0" xfId="0" applyFont="1" applyFill="1" applyAlignment="1">
      <alignment horizontal="center"/>
    </xf>
    <xf numFmtId="0" fontId="23" fillId="5" borderId="12" xfId="0" applyFont="1" applyFill="1" applyBorder="1"/>
    <xf numFmtId="0" fontId="7" fillId="5" borderId="5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7" fillId="5" borderId="15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30" fillId="5" borderId="27" xfId="6" applyFont="1" applyFill="1" applyBorder="1" applyAlignment="1" applyProtection="1">
      <alignment horizontal="center"/>
      <protection locked="0"/>
    </xf>
    <xf numFmtId="0" fontId="7" fillId="5" borderId="0" xfId="0" applyFont="1" applyFill="1"/>
    <xf numFmtId="0" fontId="7" fillId="5" borderId="0" xfId="7" applyFill="1" applyAlignment="1" applyProtection="1">
      <alignment horizontal="center" vertical="center"/>
      <protection locked="0"/>
    </xf>
    <xf numFmtId="0" fontId="7" fillId="5" borderId="0" xfId="7" applyFill="1" applyAlignment="1" applyProtection="1">
      <alignment horizontal="center"/>
      <protection locked="0"/>
    </xf>
    <xf numFmtId="0" fontId="30" fillId="5" borderId="26" xfId="6" applyFont="1" applyFill="1" applyBorder="1" applyAlignment="1" applyProtection="1">
      <alignment horizontal="center"/>
      <protection locked="0"/>
    </xf>
    <xf numFmtId="0" fontId="7" fillId="5" borderId="16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23" fillId="5" borderId="16" xfId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3" fillId="5" borderId="12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17" fillId="5" borderId="14" xfId="1" applyFont="1" applyFill="1" applyBorder="1" applyAlignment="1" applyProtection="1">
      <alignment horizontal="left" vertical="center"/>
      <protection locked="0"/>
    </xf>
    <xf numFmtId="0" fontId="23" fillId="5" borderId="13" xfId="0" applyFont="1" applyFill="1" applyBorder="1" applyAlignment="1">
      <alignment horizontal="center"/>
    </xf>
    <xf numFmtId="0" fontId="23" fillId="5" borderId="0" xfId="4" applyFont="1" applyFill="1" applyAlignment="1" applyProtection="1">
      <alignment horizontal="center" vertical="center"/>
      <protection locked="0"/>
    </xf>
    <xf numFmtId="0" fontId="23" fillId="5" borderId="0" xfId="4" applyFont="1" applyFill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left"/>
      <protection locked="0"/>
    </xf>
    <xf numFmtId="0" fontId="31" fillId="0" borderId="0" xfId="0" applyFont="1"/>
    <xf numFmtId="0" fontId="14" fillId="0" borderId="0" xfId="1"/>
    <xf numFmtId="0" fontId="0" fillId="0" borderId="15" xfId="0" applyBorder="1" applyProtection="1">
      <protection locked="0"/>
    </xf>
    <xf numFmtId="0" fontId="17" fillId="5" borderId="0" xfId="10" applyFont="1" applyFill="1" applyAlignment="1">
      <alignment vertical="center"/>
    </xf>
    <xf numFmtId="0" fontId="17" fillId="5" borderId="0" xfId="10" applyFont="1" applyFill="1" applyAlignment="1" applyProtection="1">
      <alignment horizontal="center" vertical="center"/>
      <protection locked="0"/>
    </xf>
    <xf numFmtId="0" fontId="15" fillId="2" borderId="20" xfId="10" applyFont="1" applyFill="1" applyBorder="1" applyAlignment="1" applyProtection="1">
      <alignment horizontal="left" vertical="center"/>
      <protection locked="0"/>
    </xf>
    <xf numFmtId="0" fontId="18" fillId="5" borderId="0" xfId="10" applyFont="1" applyFill="1" applyAlignment="1">
      <alignment horizontal="center" vertical="center"/>
    </xf>
    <xf numFmtId="0" fontId="15" fillId="4" borderId="7" xfId="10" applyFont="1" applyFill="1" applyBorder="1" applyAlignment="1">
      <alignment horizontal="center" vertical="center"/>
    </xf>
    <xf numFmtId="0" fontId="18" fillId="4" borderId="28" xfId="10" applyFont="1" applyFill="1" applyBorder="1" applyAlignment="1" applyProtection="1">
      <alignment horizontal="center" vertical="center"/>
      <protection locked="0"/>
    </xf>
    <xf numFmtId="0" fontId="18" fillId="4" borderId="29" xfId="10" applyFont="1" applyFill="1" applyBorder="1" applyAlignment="1" applyProtection="1">
      <alignment horizontal="center" vertical="center"/>
      <protection locked="0"/>
    </xf>
    <xf numFmtId="0" fontId="18" fillId="4" borderId="30" xfId="10" applyFont="1" applyFill="1" applyBorder="1" applyAlignment="1" applyProtection="1">
      <alignment horizontal="center" vertical="center"/>
      <protection locked="0"/>
    </xf>
    <xf numFmtId="0" fontId="18" fillId="5" borderId="0" xfId="10" applyFont="1" applyFill="1" applyAlignment="1" applyProtection="1">
      <alignment horizontal="center" vertical="center"/>
      <protection locked="0"/>
    </xf>
    <xf numFmtId="0" fontId="17" fillId="5" borderId="12" xfId="10" applyFont="1" applyFill="1" applyBorder="1" applyAlignment="1">
      <alignment horizontal="left" vertical="center"/>
    </xf>
    <xf numFmtId="0" fontId="17" fillId="5" borderId="14" xfId="10" applyFont="1" applyFill="1" applyBorder="1" applyAlignment="1">
      <alignment horizontal="left" vertical="center"/>
    </xf>
    <xf numFmtId="0" fontId="23" fillId="5" borderId="0" xfId="10" applyFont="1" applyFill="1" applyAlignment="1" applyProtection="1">
      <alignment horizontal="center" vertical="center"/>
      <protection locked="0"/>
    </xf>
    <xf numFmtId="0" fontId="23" fillId="5" borderId="14" xfId="10" applyFont="1" applyFill="1" applyBorder="1" applyAlignment="1" applyProtection="1">
      <alignment horizontal="center" vertical="center"/>
      <protection locked="0"/>
    </xf>
    <xf numFmtId="0" fontId="23" fillId="5" borderId="15" xfId="10" applyFont="1" applyFill="1" applyBorder="1" applyAlignment="1" applyProtection="1">
      <alignment horizontal="center" vertical="center"/>
      <protection locked="0"/>
    </xf>
    <xf numFmtId="0" fontId="23" fillId="5" borderId="0" xfId="10" applyFont="1" applyFill="1" applyAlignment="1" applyProtection="1">
      <alignment vertical="center"/>
      <protection locked="0"/>
    </xf>
    <xf numFmtId="0" fontId="17" fillId="5" borderId="14" xfId="10" applyFont="1" applyFill="1" applyBorder="1" applyAlignment="1">
      <alignment horizontal="left"/>
    </xf>
    <xf numFmtId="0" fontId="23" fillId="5" borderId="14" xfId="10" applyFont="1" applyFill="1" applyBorder="1" applyAlignment="1" applyProtection="1">
      <alignment horizontal="right" vertical="center"/>
      <protection locked="0"/>
    </xf>
    <xf numFmtId="0" fontId="17" fillId="5" borderId="0" xfId="10" applyFont="1" applyFill="1" applyAlignment="1" applyProtection="1">
      <alignment vertical="center"/>
      <protection locked="0"/>
    </xf>
    <xf numFmtId="0" fontId="17" fillId="5" borderId="15" xfId="10" applyFont="1" applyFill="1" applyBorder="1" applyAlignment="1" applyProtection="1">
      <alignment vertical="center"/>
      <protection locked="0"/>
    </xf>
    <xf numFmtId="0" fontId="23" fillId="5" borderId="0" xfId="10" applyFont="1" applyFill="1" applyAlignment="1" applyProtection="1">
      <alignment horizontal="center"/>
      <protection locked="0"/>
    </xf>
    <xf numFmtId="0" fontId="23" fillId="5" borderId="15" xfId="10" applyFont="1" applyFill="1" applyBorder="1" applyAlignment="1" applyProtection="1">
      <alignment horizontal="center"/>
      <protection locked="0"/>
    </xf>
    <xf numFmtId="0" fontId="23" fillId="5" borderId="14" xfId="10" applyFont="1" applyFill="1" applyBorder="1" applyAlignment="1" applyProtection="1">
      <alignment horizontal="center"/>
      <protection locked="0"/>
    </xf>
    <xf numFmtId="0" fontId="23" fillId="5" borderId="14" xfId="10" applyFont="1" applyFill="1" applyBorder="1" applyAlignment="1" applyProtection="1">
      <alignment horizontal="right"/>
      <protection locked="0"/>
    </xf>
    <xf numFmtId="0" fontId="23" fillId="5" borderId="15" xfId="10" applyFont="1" applyFill="1" applyBorder="1" applyAlignment="1" applyProtection="1">
      <alignment horizontal="right"/>
      <protection locked="0"/>
    </xf>
    <xf numFmtId="0" fontId="23" fillId="5" borderId="16" xfId="10" applyFont="1" applyFill="1" applyBorder="1" applyAlignment="1" applyProtection="1">
      <alignment horizontal="center" vertical="center"/>
      <protection locked="0"/>
    </xf>
    <xf numFmtId="0" fontId="17" fillId="5" borderId="6" xfId="10" applyFont="1" applyFill="1" applyBorder="1" applyAlignment="1" applyProtection="1">
      <alignment vertical="center"/>
      <protection locked="0"/>
    </xf>
    <xf numFmtId="0" fontId="6" fillId="5" borderId="0" xfId="10" applyFill="1" applyAlignment="1" applyProtection="1">
      <alignment horizontal="right" vertical="center"/>
      <protection locked="0"/>
    </xf>
    <xf numFmtId="0" fontId="18" fillId="5" borderId="0" xfId="10" applyFont="1" applyFill="1" applyAlignment="1" applyProtection="1">
      <alignment vertical="center"/>
      <protection locked="0"/>
    </xf>
    <xf numFmtId="0" fontId="15" fillId="2" borderId="7" xfId="10" applyFont="1" applyFill="1" applyBorder="1" applyAlignment="1" applyProtection="1">
      <alignment horizontal="left" vertical="center"/>
      <protection locked="0"/>
    </xf>
    <xf numFmtId="0" fontId="32" fillId="16" borderId="7" xfId="0" applyFont="1" applyFill="1" applyBorder="1" applyAlignment="1">
      <alignment horizontal="center" vertical="center"/>
    </xf>
    <xf numFmtId="0" fontId="18" fillId="4" borderId="7" xfId="10" applyFont="1" applyFill="1" applyBorder="1" applyAlignment="1" applyProtection="1">
      <alignment horizontal="center" vertical="center"/>
      <protection locked="0"/>
    </xf>
    <xf numFmtId="0" fontId="27" fillId="14" borderId="14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5" borderId="15" xfId="10" applyFont="1" applyFill="1" applyBorder="1" applyAlignment="1" applyProtection="1">
      <alignment horizontal="center" vertical="center"/>
      <protection locked="0"/>
    </xf>
    <xf numFmtId="0" fontId="23" fillId="5" borderId="0" xfId="10" applyFont="1" applyFill="1" applyProtection="1">
      <protection locked="0"/>
    </xf>
    <xf numFmtId="0" fontId="23" fillId="5" borderId="0" xfId="10" applyFont="1" applyFill="1" applyAlignment="1" applyProtection="1">
      <alignment horizontal="right"/>
      <protection locked="0"/>
    </xf>
    <xf numFmtId="0" fontId="17" fillId="5" borderId="6" xfId="1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vertical="center"/>
      <protection locked="0"/>
    </xf>
    <xf numFmtId="0" fontId="17" fillId="5" borderId="15" xfId="0" applyFont="1" applyFill="1" applyBorder="1" applyAlignment="1" applyProtection="1">
      <alignment vertical="center"/>
      <protection locked="0"/>
    </xf>
    <xf numFmtId="0" fontId="23" fillId="5" borderId="16" xfId="10" applyFont="1" applyFill="1" applyBorder="1" applyAlignment="1" applyProtection="1">
      <alignment horizontal="right" vertical="center"/>
      <protection locked="0"/>
    </xf>
    <xf numFmtId="0" fontId="18" fillId="4" borderId="10" xfId="10" applyFont="1" applyFill="1" applyBorder="1" applyAlignment="1" applyProtection="1">
      <alignment horizontal="center" vertical="center"/>
      <protection locked="0"/>
    </xf>
    <xf numFmtId="0" fontId="18" fillId="4" borderId="19" xfId="10" applyFont="1" applyFill="1" applyBorder="1" applyAlignment="1" applyProtection="1">
      <alignment horizontal="center" vertical="center"/>
      <protection locked="0"/>
    </xf>
    <xf numFmtId="0" fontId="18" fillId="4" borderId="11" xfId="10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protection locked="0"/>
    </xf>
    <xf numFmtId="0" fontId="17" fillId="5" borderId="0" xfId="10" applyFont="1" applyFill="1" applyAlignment="1">
      <alignment horizontal="center" vertical="center"/>
    </xf>
    <xf numFmtId="0" fontId="18" fillId="4" borderId="10" xfId="10" applyFont="1" applyFill="1" applyBorder="1" applyAlignment="1">
      <alignment horizontal="center" vertical="center"/>
    </xf>
    <xf numFmtId="0" fontId="18" fillId="4" borderId="19" xfId="10" applyFont="1" applyFill="1" applyBorder="1" applyAlignment="1">
      <alignment horizontal="center" vertical="center"/>
    </xf>
    <xf numFmtId="0" fontId="18" fillId="4" borderId="11" xfId="10" applyFont="1" applyFill="1" applyBorder="1" applyAlignment="1">
      <alignment horizontal="center" vertical="center"/>
    </xf>
    <xf numFmtId="0" fontId="23" fillId="5" borderId="0" xfId="0" applyFont="1" applyFill="1" applyAlignment="1">
      <alignment horizontal="right" vertical="center"/>
    </xf>
    <xf numFmtId="0" fontId="23" fillId="5" borderId="15" xfId="0" applyFont="1" applyFill="1" applyBorder="1" applyAlignment="1">
      <alignment vertical="center"/>
    </xf>
    <xf numFmtId="0" fontId="23" fillId="5" borderId="14" xfId="0" applyFont="1" applyFill="1" applyBorder="1" applyAlignment="1">
      <alignment horizontal="right"/>
    </xf>
    <xf numFmtId="0" fontId="23" fillId="5" borderId="0" xfId="0" applyFont="1" applyFill="1" applyAlignment="1">
      <alignment horizontal="right"/>
    </xf>
    <xf numFmtId="0" fontId="23" fillId="5" borderId="15" xfId="0" applyFont="1" applyFill="1" applyBorder="1" applyAlignment="1">
      <alignment horizontal="right"/>
    </xf>
    <xf numFmtId="0" fontId="0" fillId="5" borderId="0" xfId="0" applyFill="1" applyAlignment="1" applyProtection="1">
      <alignment horizontal="right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17" fillId="5" borderId="0" xfId="11" applyFont="1" applyFill="1" applyAlignment="1">
      <alignment vertical="center"/>
    </xf>
    <xf numFmtId="0" fontId="15" fillId="2" borderId="20" xfId="11" applyFont="1" applyFill="1" applyBorder="1" applyAlignment="1" applyProtection="1">
      <alignment horizontal="left" vertical="center"/>
      <protection locked="0"/>
    </xf>
    <xf numFmtId="0" fontId="15" fillId="4" borderId="20" xfId="11" applyFont="1" applyFill="1" applyBorder="1" applyAlignment="1">
      <alignment horizontal="center" vertical="center"/>
    </xf>
    <xf numFmtId="0" fontId="18" fillId="5" borderId="0" xfId="11" applyFont="1" applyFill="1" applyAlignment="1">
      <alignment horizontal="center" vertical="center"/>
    </xf>
    <xf numFmtId="0" fontId="15" fillId="4" borderId="7" xfId="11" applyFont="1" applyFill="1" applyBorder="1" applyAlignment="1">
      <alignment horizontal="center" vertical="center"/>
    </xf>
    <xf numFmtId="0" fontId="17" fillId="5" borderId="12" xfId="11" applyFont="1" applyFill="1" applyBorder="1" applyAlignment="1">
      <alignment horizontal="left" vertical="center"/>
    </xf>
    <xf numFmtId="0" fontId="23" fillId="5" borderId="12" xfId="11" applyFont="1" applyFill="1" applyBorder="1" applyAlignment="1" applyProtection="1">
      <alignment horizontal="center" vertical="center"/>
      <protection locked="0"/>
    </xf>
    <xf numFmtId="0" fontId="23" fillId="5" borderId="13" xfId="11" applyFont="1" applyFill="1" applyBorder="1" applyAlignment="1" applyProtection="1">
      <alignment horizontal="center" vertical="center"/>
      <protection locked="0"/>
    </xf>
    <xf numFmtId="0" fontId="5" fillId="5" borderId="0" xfId="11" applyFill="1" applyAlignment="1" applyProtection="1">
      <alignment horizontal="center" vertical="center"/>
      <protection locked="0"/>
    </xf>
    <xf numFmtId="0" fontId="17" fillId="5" borderId="14" xfId="11" applyFont="1" applyFill="1" applyBorder="1" applyAlignment="1">
      <alignment horizontal="left" vertical="center"/>
    </xf>
    <xf numFmtId="0" fontId="17" fillId="5" borderId="14" xfId="11" applyFont="1" applyFill="1" applyBorder="1" applyAlignment="1">
      <alignment horizontal="left"/>
    </xf>
    <xf numFmtId="0" fontId="23" fillId="5" borderId="14" xfId="11" applyFont="1" applyFill="1" applyBorder="1" applyAlignment="1" applyProtection="1">
      <alignment horizontal="center" vertical="center"/>
      <protection locked="0"/>
    </xf>
    <xf numFmtId="0" fontId="23" fillId="5" borderId="15" xfId="11" applyFont="1" applyFill="1" applyBorder="1" applyAlignment="1" applyProtection="1">
      <alignment horizontal="center" vertical="center"/>
      <protection locked="0"/>
    </xf>
    <xf numFmtId="0" fontId="23" fillId="5" borderId="0" xfId="11" applyFont="1" applyFill="1" applyAlignment="1" applyProtection="1">
      <alignment horizontal="center" vertical="center"/>
      <protection locked="0"/>
    </xf>
    <xf numFmtId="0" fontId="23" fillId="5" borderId="0" xfId="11" applyFont="1" applyFill="1" applyAlignment="1" applyProtection="1">
      <alignment horizontal="center"/>
      <protection locked="0"/>
    </xf>
    <xf numFmtId="0" fontId="23" fillId="5" borderId="15" xfId="11" applyFont="1" applyFill="1" applyBorder="1" applyAlignment="1" applyProtection="1">
      <alignment horizontal="center"/>
      <protection locked="0"/>
    </xf>
    <xf numFmtId="0" fontId="5" fillId="5" borderId="0" xfId="11" applyFill="1" applyAlignment="1" applyProtection="1">
      <alignment horizontal="center"/>
      <protection locked="0"/>
    </xf>
    <xf numFmtId="0" fontId="23" fillId="5" borderId="14" xfId="11" applyFont="1" applyFill="1" applyBorder="1" applyAlignment="1" applyProtection="1">
      <alignment horizontal="center"/>
      <protection locked="0"/>
    </xf>
    <xf numFmtId="0" fontId="5" fillId="5" borderId="0" xfId="11" applyFill="1" applyAlignment="1" applyProtection="1">
      <alignment horizontal="right" vertical="center"/>
      <protection locked="0"/>
    </xf>
    <xf numFmtId="0" fontId="18" fillId="5" borderId="0" xfId="11" applyFont="1" applyFill="1" applyAlignment="1" applyProtection="1">
      <alignment horizontal="center" vertical="center"/>
      <protection locked="0"/>
    </xf>
    <xf numFmtId="0" fontId="5" fillId="5" borderId="0" xfId="11" applyFill="1" applyAlignment="1" applyProtection="1">
      <alignment vertical="center"/>
      <protection locked="0"/>
    </xf>
    <xf numFmtId="0" fontId="18" fillId="5" borderId="0" xfId="11" applyFont="1" applyFill="1" applyAlignment="1" applyProtection="1">
      <alignment vertical="center"/>
      <protection locked="0"/>
    </xf>
    <xf numFmtId="0" fontId="5" fillId="5" borderId="0" xfId="11" applyFill="1" applyAlignment="1" applyProtection="1">
      <alignment horizontal="right"/>
      <protection locked="0"/>
    </xf>
    <xf numFmtId="0" fontId="17" fillId="5" borderId="0" xfId="11" applyFont="1" applyFill="1" applyAlignment="1" applyProtection="1">
      <alignment horizontal="center" vertical="center"/>
      <protection locked="0"/>
    </xf>
    <xf numFmtId="0" fontId="23" fillId="5" borderId="5" xfId="11" applyFont="1" applyFill="1" applyBorder="1" applyAlignment="1" applyProtection="1">
      <alignment horizontal="center" vertical="center"/>
      <protection locked="0"/>
    </xf>
    <xf numFmtId="0" fontId="17" fillId="5" borderId="0" xfId="11" applyFont="1" applyFill="1" applyAlignment="1" applyProtection="1">
      <alignment vertical="center"/>
      <protection locked="0"/>
    </xf>
    <xf numFmtId="0" fontId="5" fillId="5" borderId="5" xfId="0" applyFont="1" applyFill="1" applyBorder="1" applyAlignment="1">
      <alignment horizontal="center"/>
    </xf>
    <xf numFmtId="0" fontId="17" fillId="5" borderId="0" xfId="12" applyFont="1" applyFill="1" applyAlignment="1">
      <alignment vertical="center"/>
    </xf>
    <xf numFmtId="0" fontId="17" fillId="5" borderId="0" xfId="12" applyFont="1" applyFill="1" applyAlignment="1" applyProtection="1">
      <alignment horizontal="center" vertical="center"/>
      <protection locked="0"/>
    </xf>
    <xf numFmtId="0" fontId="15" fillId="2" borderId="20" xfId="12" applyFont="1" applyFill="1" applyBorder="1" applyAlignment="1" applyProtection="1">
      <alignment horizontal="left" vertical="center"/>
      <protection locked="0"/>
    </xf>
    <xf numFmtId="0" fontId="24" fillId="2" borderId="7" xfId="0" applyFont="1" applyFill="1" applyBorder="1" applyAlignment="1" applyProtection="1">
      <alignment horizontal="center"/>
      <protection locked="0"/>
    </xf>
    <xf numFmtId="0" fontId="15" fillId="10" borderId="7" xfId="0" applyFont="1" applyFill="1" applyBorder="1" applyAlignment="1" applyProtection="1">
      <alignment horizontal="center"/>
      <protection locked="0"/>
    </xf>
    <xf numFmtId="0" fontId="15" fillId="4" borderId="20" xfId="12" applyFont="1" applyFill="1" applyBorder="1" applyAlignment="1">
      <alignment horizontal="center" vertical="center"/>
    </xf>
    <xf numFmtId="0" fontId="18" fillId="5" borderId="0" xfId="12" applyFont="1" applyFill="1" applyAlignment="1">
      <alignment horizontal="center" vertical="center"/>
    </xf>
    <xf numFmtId="0" fontId="15" fillId="4" borderId="7" xfId="12" applyFont="1" applyFill="1" applyBorder="1" applyAlignment="1">
      <alignment horizontal="center" vertical="center"/>
    </xf>
    <xf numFmtId="0" fontId="18" fillId="4" borderId="4" xfId="12" applyFont="1" applyFill="1" applyBorder="1" applyAlignment="1" applyProtection="1">
      <alignment horizontal="center" vertical="center"/>
      <protection locked="0"/>
    </xf>
    <xf numFmtId="0" fontId="18" fillId="5" borderId="0" xfId="12" applyFont="1" applyFill="1" applyAlignment="1" applyProtection="1">
      <alignment horizontal="center" vertical="center"/>
      <protection locked="0"/>
    </xf>
    <xf numFmtId="0" fontId="17" fillId="5" borderId="12" xfId="12" applyFont="1" applyFill="1" applyBorder="1" applyAlignment="1">
      <alignment horizontal="left" vertical="center"/>
    </xf>
    <xf numFmtId="0" fontId="17" fillId="5" borderId="14" xfId="12" applyFont="1" applyFill="1" applyBorder="1" applyAlignment="1">
      <alignment horizontal="left" vertical="center"/>
    </xf>
    <xf numFmtId="0" fontId="23" fillId="5" borderId="0" xfId="12" applyFont="1" applyFill="1" applyAlignment="1" applyProtection="1">
      <alignment horizontal="center" vertical="center"/>
      <protection locked="0"/>
    </xf>
    <xf numFmtId="0" fontId="23" fillId="5" borderId="12" xfId="12" applyFont="1" applyFill="1" applyBorder="1" applyAlignment="1" applyProtection="1">
      <alignment horizontal="center" vertical="center"/>
      <protection locked="0"/>
    </xf>
    <xf numFmtId="0" fontId="23" fillId="5" borderId="5" xfId="12" applyFont="1" applyFill="1" applyBorder="1" applyAlignment="1" applyProtection="1">
      <alignment horizontal="center" vertical="center"/>
      <protection locked="0"/>
    </xf>
    <xf numFmtId="0" fontId="23" fillId="5" borderId="13" xfId="12" applyFont="1" applyFill="1" applyBorder="1" applyAlignment="1" applyProtection="1">
      <alignment horizontal="center" vertical="center"/>
      <protection locked="0"/>
    </xf>
    <xf numFmtId="0" fontId="23" fillId="5" borderId="0" xfId="12" applyFont="1" applyFill="1" applyAlignment="1" applyProtection="1">
      <alignment vertical="center"/>
      <protection locked="0"/>
    </xf>
    <xf numFmtId="0" fontId="17" fillId="5" borderId="14" xfId="12" applyFont="1" applyFill="1" applyBorder="1" applyAlignment="1">
      <alignment horizontal="left"/>
    </xf>
    <xf numFmtId="0" fontId="23" fillId="5" borderId="15" xfId="12" applyFont="1" applyFill="1" applyBorder="1" applyAlignment="1" applyProtection="1">
      <alignment horizontal="center" vertical="center"/>
      <protection locked="0"/>
    </xf>
    <xf numFmtId="0" fontId="23" fillId="5" borderId="14" xfId="12" applyFont="1" applyFill="1" applyBorder="1" applyAlignment="1" applyProtection="1">
      <alignment horizontal="center" vertical="center"/>
      <protection locked="0"/>
    </xf>
    <xf numFmtId="0" fontId="23" fillId="5" borderId="14" xfId="12" applyFont="1" applyFill="1" applyBorder="1" applyAlignment="1" applyProtection="1">
      <alignment horizontal="right" vertical="center"/>
      <protection locked="0"/>
    </xf>
    <xf numFmtId="0" fontId="17" fillId="5" borderId="0" xfId="12" applyFont="1" applyFill="1" applyAlignment="1" applyProtection="1">
      <alignment vertical="center"/>
      <protection locked="0"/>
    </xf>
    <xf numFmtId="0" fontId="17" fillId="5" borderId="15" xfId="12" applyFont="1" applyFill="1" applyBorder="1" applyAlignment="1" applyProtection="1">
      <alignment vertical="center"/>
      <protection locked="0"/>
    </xf>
    <xf numFmtId="0" fontId="23" fillId="5" borderId="0" xfId="12" applyFont="1" applyFill="1" applyAlignment="1" applyProtection="1">
      <alignment horizontal="center"/>
      <protection locked="0"/>
    </xf>
    <xf numFmtId="0" fontId="23" fillId="5" borderId="15" xfId="12" applyFont="1" applyFill="1" applyBorder="1" applyAlignment="1" applyProtection="1">
      <alignment horizontal="center"/>
      <protection locked="0"/>
    </xf>
    <xf numFmtId="0" fontId="23" fillId="5" borderId="14" xfId="12" applyFont="1" applyFill="1" applyBorder="1" applyAlignment="1" applyProtection="1">
      <alignment horizontal="center"/>
      <protection locked="0"/>
    </xf>
    <xf numFmtId="0" fontId="23" fillId="5" borderId="14" xfId="12" applyFont="1" applyFill="1" applyBorder="1" applyAlignment="1" applyProtection="1">
      <alignment horizontal="right"/>
      <protection locked="0"/>
    </xf>
    <xf numFmtId="0" fontId="23" fillId="5" borderId="15" xfId="12" applyFont="1" applyFill="1" applyBorder="1" applyAlignment="1" applyProtection="1">
      <alignment horizontal="right"/>
      <protection locked="0"/>
    </xf>
    <xf numFmtId="0" fontId="23" fillId="5" borderId="16" xfId="12" applyFont="1" applyFill="1" applyBorder="1" applyAlignment="1" applyProtection="1">
      <alignment horizontal="center" vertical="center"/>
      <protection locked="0"/>
    </xf>
    <xf numFmtId="0" fontId="17" fillId="5" borderId="6" xfId="12" applyFont="1" applyFill="1" applyBorder="1" applyAlignment="1" applyProtection="1">
      <alignment vertical="center"/>
      <protection locked="0"/>
    </xf>
    <xf numFmtId="0" fontId="4" fillId="5" borderId="0" xfId="12" applyFill="1" applyAlignment="1" applyProtection="1">
      <alignment horizontal="right" vertical="center"/>
      <protection locked="0"/>
    </xf>
    <xf numFmtId="0" fontId="18" fillId="5" borderId="0" xfId="12" applyFont="1" applyFill="1" applyAlignment="1" applyProtection="1">
      <alignment vertical="center"/>
      <protection locked="0"/>
    </xf>
    <xf numFmtId="164" fontId="0" fillId="5" borderId="0" xfId="9" applyFont="1" applyFill="1" applyBorder="1" applyProtection="1">
      <protection locked="0"/>
    </xf>
    <xf numFmtId="0" fontId="4" fillId="5" borderId="5" xfId="0" applyFont="1" applyFill="1" applyBorder="1" applyAlignment="1">
      <alignment horizontal="center"/>
    </xf>
    <xf numFmtId="0" fontId="0" fillId="17" borderId="0" xfId="0" applyFill="1"/>
    <xf numFmtId="0" fontId="18" fillId="3" borderId="0" xfId="0" applyFont="1" applyFill="1"/>
    <xf numFmtId="0" fontId="23" fillId="5" borderId="13" xfId="0" applyFont="1" applyFill="1" applyBorder="1" applyAlignment="1" applyProtection="1">
      <alignment horizontal="right"/>
      <protection locked="0"/>
    </xf>
    <xf numFmtId="0" fontId="23" fillId="5" borderId="15" xfId="0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27" fillId="14" borderId="12" xfId="0" applyFont="1" applyFill="1" applyBorder="1" applyAlignment="1" applyProtection="1">
      <alignment horizontal="center"/>
      <protection locked="0"/>
    </xf>
    <xf numFmtId="0" fontId="27" fillId="14" borderId="5" xfId="0" applyFont="1" applyFill="1" applyBorder="1" applyAlignment="1">
      <alignment horizontal="center" vertical="center"/>
    </xf>
    <xf numFmtId="0" fontId="27" fillId="14" borderId="13" xfId="0" applyFont="1" applyFill="1" applyBorder="1" applyAlignment="1">
      <alignment horizontal="center" vertical="center"/>
    </xf>
    <xf numFmtId="0" fontId="27" fillId="14" borderId="14" xfId="0" applyFont="1" applyFill="1" applyBorder="1" applyAlignment="1" applyProtection="1">
      <alignment horizontal="center"/>
      <protection locked="0"/>
    </xf>
    <xf numFmtId="0" fontId="27" fillId="14" borderId="0" xfId="0" applyFont="1" applyFill="1" applyAlignment="1">
      <alignment horizontal="center" vertical="center"/>
    </xf>
    <xf numFmtId="0" fontId="27" fillId="14" borderId="15" xfId="0" applyFont="1" applyFill="1" applyBorder="1" applyAlignment="1">
      <alignment horizontal="center" vertical="center"/>
    </xf>
    <xf numFmtId="0" fontId="27" fillId="14" borderId="0" xfId="0" applyFont="1" applyFill="1" applyAlignment="1" applyProtection="1">
      <alignment horizontal="center" vertical="center"/>
      <protection locked="0"/>
    </xf>
    <xf numFmtId="0" fontId="27" fillId="14" borderId="15" xfId="0" applyFont="1" applyFill="1" applyBorder="1" applyAlignment="1" applyProtection="1">
      <alignment horizontal="center" vertical="center"/>
      <protection locked="0"/>
    </xf>
    <xf numFmtId="0" fontId="0" fillId="18" borderId="0" xfId="0" applyFill="1"/>
    <xf numFmtId="0" fontId="18" fillId="0" borderId="0" xfId="0" applyFont="1"/>
    <xf numFmtId="0" fontId="3" fillId="5" borderId="5" xfId="0" applyFont="1" applyFill="1" applyBorder="1" applyAlignment="1">
      <alignment horizontal="center"/>
    </xf>
    <xf numFmtId="0" fontId="23" fillId="5" borderId="5" xfId="0" applyFont="1" applyFill="1" applyBorder="1" applyProtection="1">
      <protection locked="0"/>
    </xf>
    <xf numFmtId="0" fontId="16" fillId="5" borderId="0" xfId="1" applyFont="1" applyFill="1" applyAlignment="1" applyProtection="1">
      <alignment horizontal="right" vertical="center"/>
      <protection locked="0"/>
    </xf>
    <xf numFmtId="0" fontId="15" fillId="13" borderId="9" xfId="1" applyFont="1" applyFill="1" applyBorder="1" applyAlignment="1" applyProtection="1">
      <alignment horizontal="center" vertical="center"/>
      <protection locked="0"/>
    </xf>
    <xf numFmtId="0" fontId="23" fillId="0" borderId="14" xfId="1" applyFont="1" applyBorder="1" applyAlignment="1">
      <alignment wrapText="1"/>
    </xf>
    <xf numFmtId="0" fontId="23" fillId="0" borderId="15" xfId="1" applyFont="1" applyBorder="1" applyAlignment="1" applyProtection="1">
      <alignment horizontal="center"/>
      <protection locked="0"/>
    </xf>
    <xf numFmtId="0" fontId="14" fillId="0" borderId="12" xfId="1" applyBorder="1" applyProtection="1">
      <protection locked="0"/>
    </xf>
    <xf numFmtId="0" fontId="23" fillId="0" borderId="13" xfId="1" applyFont="1" applyBorder="1" applyAlignment="1" applyProtection="1">
      <alignment horizontal="center"/>
      <protection locked="0"/>
    </xf>
    <xf numFmtId="0" fontId="27" fillId="14" borderId="17" xfId="0" applyFont="1" applyFill="1" applyBorder="1" applyAlignment="1" applyProtection="1">
      <alignment horizontal="center"/>
      <protection locked="0"/>
    </xf>
    <xf numFmtId="0" fontId="15" fillId="13" borderId="20" xfId="1" applyFont="1" applyFill="1" applyBorder="1" applyAlignment="1" applyProtection="1">
      <alignment vertical="center"/>
      <protection locked="0"/>
    </xf>
    <xf numFmtId="0" fontId="15" fillId="13" borderId="20" xfId="1" applyFont="1" applyFill="1" applyBorder="1" applyAlignment="1" applyProtection="1">
      <alignment vertical="center" wrapText="1"/>
      <protection locked="0"/>
    </xf>
    <xf numFmtId="0" fontId="23" fillId="5" borderId="13" xfId="1" applyFont="1" applyFill="1" applyBorder="1" applyProtection="1">
      <protection locked="0"/>
    </xf>
    <xf numFmtId="0" fontId="15" fillId="6" borderId="26" xfId="1" applyFont="1" applyFill="1" applyBorder="1" applyAlignment="1" applyProtection="1">
      <alignment horizontal="left" vertical="center"/>
      <protection locked="0"/>
    </xf>
    <xf numFmtId="0" fontId="15" fillId="6" borderId="26" xfId="1" applyFont="1" applyFill="1" applyBorder="1" applyAlignment="1" applyProtection="1">
      <alignment horizontal="center" vertical="center" wrapText="1"/>
      <protection locked="0"/>
    </xf>
    <xf numFmtId="0" fontId="15" fillId="6" borderId="26" xfId="1" applyFont="1" applyFill="1" applyBorder="1" applyAlignment="1" applyProtection="1">
      <alignment horizontal="center" vertical="center"/>
      <protection locked="0"/>
    </xf>
    <xf numFmtId="0" fontId="24" fillId="5" borderId="20" xfId="1" applyFont="1" applyFill="1" applyBorder="1" applyAlignment="1" applyProtection="1">
      <alignment horizontal="center" vertical="center" wrapText="1"/>
      <protection locked="0"/>
    </xf>
    <xf numFmtId="0" fontId="23" fillId="5" borderId="27" xfId="1" applyFont="1" applyFill="1" applyBorder="1" applyProtection="1">
      <protection locked="0"/>
    </xf>
    <xf numFmtId="0" fontId="23" fillId="5" borderId="26" xfId="1" applyFont="1" applyFill="1" applyBorder="1" applyProtection="1">
      <protection locked="0"/>
    </xf>
    <xf numFmtId="0" fontId="23" fillId="5" borderId="12" xfId="1" applyFont="1" applyFill="1" applyBorder="1" applyAlignment="1">
      <alignment horizontal="center"/>
    </xf>
    <xf numFmtId="0" fontId="23" fillId="5" borderId="5" xfId="1" applyFont="1" applyFill="1" applyBorder="1" applyProtection="1">
      <protection locked="0"/>
    </xf>
    <xf numFmtId="0" fontId="15" fillId="5" borderId="0" xfId="1" applyFont="1" applyFill="1" applyProtection="1">
      <protection locked="0"/>
    </xf>
    <xf numFmtId="0" fontId="9" fillId="0" borderId="0" xfId="1" applyFont="1" applyAlignment="1" applyProtection="1">
      <alignment horizontal="left"/>
      <protection locked="0"/>
    </xf>
    <xf numFmtId="0" fontId="14" fillId="0" borderId="0" xfId="1" applyAlignment="1" applyProtection="1">
      <alignment horizontal="center"/>
      <protection locked="0"/>
    </xf>
    <xf numFmtId="0" fontId="2" fillId="5" borderId="0" xfId="1" applyFont="1" applyFill="1" applyProtection="1">
      <protection locked="0"/>
    </xf>
    <xf numFmtId="0" fontId="14" fillId="0" borderId="15" xfId="1" applyBorder="1" applyProtection="1">
      <protection locked="0"/>
    </xf>
    <xf numFmtId="0" fontId="15" fillId="18" borderId="7" xfId="1" applyFont="1" applyFill="1" applyBorder="1" applyProtection="1">
      <protection locked="0"/>
    </xf>
    <xf numFmtId="0" fontId="24" fillId="18" borderId="7" xfId="1" applyFont="1" applyFill="1" applyBorder="1" applyProtection="1">
      <protection locked="0"/>
    </xf>
    <xf numFmtId="0" fontId="15" fillId="0" borderId="0" xfId="1" applyFont="1" applyProtection="1">
      <protection locked="0"/>
    </xf>
    <xf numFmtId="0" fontId="24" fillId="0" borderId="0" xfId="1" applyFont="1" applyProtection="1">
      <protection locked="0"/>
    </xf>
    <xf numFmtId="0" fontId="23" fillId="0" borderId="0" xfId="1" applyFont="1" applyProtection="1">
      <protection locked="0"/>
    </xf>
    <xf numFmtId="0" fontId="24" fillId="18" borderId="9" xfId="1" applyFont="1" applyFill="1" applyBorder="1" applyProtection="1">
      <protection locked="0"/>
    </xf>
    <xf numFmtId="0" fontId="1" fillId="5" borderId="13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5" fillId="4" borderId="20" xfId="11" applyFont="1" applyFill="1" applyBorder="1" applyAlignment="1">
      <alignment vertical="center"/>
    </xf>
    <xf numFmtId="0" fontId="23" fillId="5" borderId="0" xfId="0" applyFont="1" applyFill="1" applyAlignment="1" applyProtection="1">
      <alignment vertical="center"/>
      <protection locked="0"/>
    </xf>
    <xf numFmtId="166" fontId="0" fillId="5" borderId="0" xfId="0" applyNumberFormat="1" applyFill="1" applyProtection="1">
      <protection locked="0"/>
    </xf>
    <xf numFmtId="0" fontId="22" fillId="10" borderId="8" xfId="1" applyFont="1" applyFill="1" applyBorder="1" applyAlignment="1" applyProtection="1">
      <alignment horizontal="center" vertical="center"/>
      <protection locked="0"/>
    </xf>
    <xf numFmtId="0" fontId="22" fillId="10" borderId="9" xfId="1" applyFont="1" applyFill="1" applyBorder="1" applyAlignment="1" applyProtection="1">
      <alignment horizontal="center" vertical="center"/>
      <protection locked="0"/>
    </xf>
    <xf numFmtId="0" fontId="22" fillId="6" borderId="8" xfId="1" applyFont="1" applyFill="1" applyBorder="1" applyAlignment="1" applyProtection="1">
      <alignment horizontal="center" vertical="center"/>
      <protection locked="0"/>
    </xf>
    <xf numFmtId="0" fontId="22" fillId="6" borderId="18" xfId="1" applyFont="1" applyFill="1" applyBorder="1" applyAlignment="1" applyProtection="1">
      <alignment horizontal="center" vertical="center"/>
      <protection locked="0"/>
    </xf>
    <xf numFmtId="0" fontId="22" fillId="6" borderId="9" xfId="1" applyFont="1" applyFill="1" applyBorder="1" applyAlignment="1" applyProtection="1">
      <alignment horizontal="center" vertical="center"/>
      <protection locked="0"/>
    </xf>
    <xf numFmtId="0" fontId="15" fillId="13" borderId="8" xfId="1" applyFont="1" applyFill="1" applyBorder="1" applyAlignment="1" applyProtection="1">
      <alignment horizontal="center" vertical="center"/>
      <protection locked="0"/>
    </xf>
    <xf numFmtId="0" fontId="15" fillId="13" borderId="18" xfId="1" applyFont="1" applyFill="1" applyBorder="1" applyAlignment="1" applyProtection="1">
      <alignment horizontal="center" vertical="center"/>
      <protection locked="0"/>
    </xf>
    <xf numFmtId="0" fontId="15" fillId="13" borderId="9" xfId="1" applyFont="1" applyFill="1" applyBorder="1" applyAlignment="1" applyProtection="1">
      <alignment horizontal="center" vertical="center"/>
      <protection locked="0"/>
    </xf>
    <xf numFmtId="0" fontId="14" fillId="5" borderId="0" xfId="1" applyFill="1" applyAlignment="1" applyProtection="1">
      <alignment horizontal="right" vertical="center"/>
      <protection locked="0"/>
    </xf>
    <xf numFmtId="0" fontId="15" fillId="18" borderId="8" xfId="1" applyFont="1" applyFill="1" applyBorder="1" applyAlignment="1" applyProtection="1">
      <alignment horizontal="center"/>
      <protection locked="0"/>
    </xf>
    <xf numFmtId="0" fontId="15" fillId="18" borderId="18" xfId="1" applyFont="1" applyFill="1" applyBorder="1" applyAlignment="1" applyProtection="1">
      <alignment horizontal="center"/>
      <protection locked="0"/>
    </xf>
    <xf numFmtId="0" fontId="15" fillId="18" borderId="9" xfId="1" applyFont="1" applyFill="1" applyBorder="1" applyAlignment="1" applyProtection="1">
      <alignment horizontal="center"/>
      <protection locked="0"/>
    </xf>
    <xf numFmtId="0" fontId="22" fillId="9" borderId="8" xfId="1" applyFont="1" applyFill="1" applyBorder="1" applyAlignment="1" applyProtection="1">
      <alignment horizontal="center" vertical="center"/>
      <protection locked="0"/>
    </xf>
    <xf numFmtId="0" fontId="22" fillId="9" borderId="18" xfId="1" applyFont="1" applyFill="1" applyBorder="1" applyAlignment="1" applyProtection="1">
      <alignment horizontal="center" vertical="center"/>
      <protection locked="0"/>
    </xf>
    <xf numFmtId="0" fontId="22" fillId="9" borderId="9" xfId="1" applyFont="1" applyFill="1" applyBorder="1" applyAlignment="1" applyProtection="1">
      <alignment horizontal="center" vertical="center"/>
      <protection locked="0"/>
    </xf>
    <xf numFmtId="0" fontId="16" fillId="5" borderId="0" xfId="1" applyFont="1" applyFill="1" applyAlignment="1" applyProtection="1">
      <alignment horizontal="right" vertical="center"/>
      <protection locked="0"/>
    </xf>
    <xf numFmtId="0" fontId="16" fillId="5" borderId="15" xfId="1" applyFont="1" applyFill="1" applyBorder="1" applyAlignment="1" applyProtection="1">
      <alignment horizontal="right" vertical="center"/>
      <protection locked="0"/>
    </xf>
    <xf numFmtId="0" fontId="18" fillId="5" borderId="0" xfId="1" applyFont="1" applyFill="1" applyAlignment="1" applyProtection="1">
      <alignment horizontal="center" vertical="center"/>
      <protection locked="0"/>
    </xf>
    <xf numFmtId="0" fontId="18" fillId="5" borderId="15" xfId="1" applyFont="1" applyFill="1" applyBorder="1" applyAlignment="1" applyProtection="1">
      <alignment horizontal="center" vertical="center"/>
      <protection locked="0"/>
    </xf>
    <xf numFmtId="0" fontId="15" fillId="4" borderId="8" xfId="1" applyFont="1" applyFill="1" applyBorder="1" applyAlignment="1">
      <alignment horizontal="center" vertical="center"/>
    </xf>
    <xf numFmtId="0" fontId="15" fillId="4" borderId="18" xfId="1" applyFont="1" applyFill="1" applyBorder="1" applyAlignment="1">
      <alignment horizontal="center" vertical="center"/>
    </xf>
    <xf numFmtId="0" fontId="15" fillId="4" borderId="9" xfId="1" applyFont="1" applyFill="1" applyBorder="1" applyAlignment="1">
      <alignment horizontal="center" vertical="center"/>
    </xf>
    <xf numFmtId="0" fontId="22" fillId="11" borderId="12" xfId="1" applyFont="1" applyFill="1" applyBorder="1" applyAlignment="1" applyProtection="1">
      <alignment horizontal="center" vertical="center"/>
      <protection locked="0"/>
    </xf>
    <xf numFmtId="0" fontId="22" fillId="11" borderId="5" xfId="1" applyFont="1" applyFill="1" applyBorder="1" applyAlignment="1" applyProtection="1">
      <alignment horizontal="center" vertical="center"/>
      <protection locked="0"/>
    </xf>
    <xf numFmtId="0" fontId="22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22" fillId="2" borderId="10" xfId="0" applyFont="1" applyFill="1" applyBorder="1" applyAlignment="1" applyProtection="1">
      <alignment horizontal="center"/>
      <protection locked="0"/>
    </xf>
    <xf numFmtId="0" fontId="22" fillId="2" borderId="11" xfId="0" applyFont="1" applyFill="1" applyBorder="1" applyAlignment="1" applyProtection="1">
      <alignment horizontal="center"/>
      <protection locked="0"/>
    </xf>
    <xf numFmtId="0" fontId="22" fillId="10" borderId="10" xfId="0" applyFont="1" applyFill="1" applyBorder="1" applyAlignment="1" applyProtection="1">
      <alignment horizontal="center"/>
      <protection locked="0"/>
    </xf>
    <xf numFmtId="0" fontId="22" fillId="10" borderId="11" xfId="0" applyFont="1" applyFill="1" applyBorder="1" applyAlignment="1" applyProtection="1">
      <alignment horizontal="center"/>
      <protection locked="0"/>
    </xf>
    <xf numFmtId="0" fontId="22" fillId="3" borderId="10" xfId="0" applyFont="1" applyFill="1" applyBorder="1" applyAlignment="1" applyProtection="1">
      <alignment horizontal="center"/>
      <protection locked="0"/>
    </xf>
    <xf numFmtId="0" fontId="22" fillId="3" borderId="19" xfId="0" applyFont="1" applyFill="1" applyBorder="1" applyAlignment="1" applyProtection="1">
      <alignment horizontal="center"/>
      <protection locked="0"/>
    </xf>
    <xf numFmtId="0" fontId="22" fillId="3" borderId="11" xfId="0" applyFont="1" applyFill="1" applyBorder="1" applyAlignment="1" applyProtection="1">
      <alignment horizontal="center"/>
      <protection locked="0"/>
    </xf>
    <xf numFmtId="0" fontId="22" fillId="11" borderId="10" xfId="1" applyFont="1" applyFill="1" applyBorder="1" applyAlignment="1">
      <alignment horizontal="center" vertical="center"/>
    </xf>
    <xf numFmtId="0" fontId="22" fillId="11" borderId="19" xfId="1" applyFont="1" applyFill="1" applyBorder="1" applyAlignment="1">
      <alignment horizontal="center" vertical="center"/>
    </xf>
    <xf numFmtId="0" fontId="22" fillId="11" borderId="11" xfId="1" applyFont="1" applyFill="1" applyBorder="1" applyAlignment="1">
      <alignment horizontal="center" vertical="center"/>
    </xf>
    <xf numFmtId="0" fontId="22" fillId="11" borderId="8" xfId="1" applyFont="1" applyFill="1" applyBorder="1" applyAlignment="1">
      <alignment horizontal="center" vertical="center"/>
    </xf>
    <xf numFmtId="0" fontId="22" fillId="11" borderId="18" xfId="1" applyFont="1" applyFill="1" applyBorder="1" applyAlignment="1">
      <alignment horizontal="center" vertical="center"/>
    </xf>
    <xf numFmtId="0" fontId="22" fillId="11" borderId="9" xfId="1" applyFont="1" applyFill="1" applyBorder="1" applyAlignment="1">
      <alignment horizontal="center" vertical="center"/>
    </xf>
    <xf numFmtId="0" fontId="17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5" borderId="0" xfId="1" applyFont="1" applyFill="1" applyAlignment="1" applyProtection="1">
      <alignment horizontal="center" vertical="center"/>
      <protection locked="0"/>
    </xf>
    <xf numFmtId="0" fontId="22" fillId="5" borderId="8" xfId="0" applyFont="1" applyFill="1" applyBorder="1" applyAlignment="1">
      <alignment horizontal="center"/>
    </xf>
    <xf numFmtId="0" fontId="22" fillId="5" borderId="5" xfId="0" applyFont="1" applyFill="1" applyBorder="1" applyAlignment="1">
      <alignment horizontal="center"/>
    </xf>
    <xf numFmtId="0" fontId="22" fillId="5" borderId="13" xfId="0" applyFont="1" applyFill="1" applyBorder="1" applyAlignment="1">
      <alignment horizontal="center"/>
    </xf>
    <xf numFmtId="0" fontId="22" fillId="15" borderId="12" xfId="0" applyFont="1" applyFill="1" applyBorder="1" applyAlignment="1">
      <alignment horizontal="center"/>
    </xf>
    <xf numFmtId="0" fontId="22" fillId="15" borderId="5" xfId="0" applyFont="1" applyFill="1" applyBorder="1" applyAlignment="1">
      <alignment horizontal="center"/>
    </xf>
    <xf numFmtId="0" fontId="22" fillId="15" borderId="13" xfId="0" applyFont="1" applyFill="1" applyBorder="1" applyAlignment="1">
      <alignment horizontal="center"/>
    </xf>
    <xf numFmtId="0" fontId="22" fillId="5" borderId="12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22" fillId="11" borderId="10" xfId="4" applyFont="1" applyFill="1" applyBorder="1" applyAlignment="1">
      <alignment horizontal="center" vertical="center"/>
    </xf>
    <xf numFmtId="0" fontId="22" fillId="11" borderId="19" xfId="4" applyFont="1" applyFill="1" applyBorder="1" applyAlignment="1">
      <alignment horizontal="center" vertical="center"/>
    </xf>
    <xf numFmtId="0" fontId="22" fillId="11" borderId="11" xfId="4" applyFont="1" applyFill="1" applyBorder="1" applyAlignment="1">
      <alignment horizontal="center" vertical="center"/>
    </xf>
    <xf numFmtId="0" fontId="22" fillId="11" borderId="8" xfId="4" applyFont="1" applyFill="1" applyBorder="1" applyAlignment="1">
      <alignment horizontal="center" vertical="center"/>
    </xf>
    <xf numFmtId="0" fontId="22" fillId="11" borderId="18" xfId="4" applyFont="1" applyFill="1" applyBorder="1" applyAlignment="1">
      <alignment horizontal="center" vertical="center"/>
    </xf>
    <xf numFmtId="0" fontId="22" fillId="11" borderId="9" xfId="4" applyFont="1" applyFill="1" applyBorder="1" applyAlignment="1">
      <alignment horizontal="center" vertical="center"/>
    </xf>
    <xf numFmtId="0" fontId="17" fillId="5" borderId="0" xfId="4" applyFont="1" applyFill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17" fillId="11" borderId="22" xfId="1" applyFont="1" applyFill="1" applyBorder="1" applyAlignment="1" applyProtection="1">
      <alignment horizontal="center" vertical="center"/>
      <protection locked="0"/>
    </xf>
    <xf numFmtId="0" fontId="17" fillId="11" borderId="23" xfId="1" applyFont="1" applyFill="1" applyBorder="1" applyAlignment="1" applyProtection="1">
      <alignment horizontal="center" vertical="center"/>
      <protection locked="0"/>
    </xf>
    <xf numFmtId="0" fontId="17" fillId="11" borderId="24" xfId="1" applyFont="1" applyFill="1" applyBorder="1" applyAlignment="1" applyProtection="1">
      <alignment horizontal="center" vertical="center"/>
      <protection locked="0"/>
    </xf>
    <xf numFmtId="0" fontId="17" fillId="11" borderId="25" xfId="1" applyFont="1" applyFill="1" applyBorder="1" applyAlignment="1" applyProtection="1">
      <alignment horizontal="center" vertical="center"/>
      <protection locked="0"/>
    </xf>
    <xf numFmtId="0" fontId="17" fillId="11" borderId="8" xfId="4" applyFont="1" applyFill="1" applyBorder="1" applyAlignment="1" applyProtection="1">
      <alignment horizontal="center" vertical="center"/>
      <protection locked="0"/>
    </xf>
    <xf numFmtId="0" fontId="17" fillId="11" borderId="18" xfId="4" applyFont="1" applyFill="1" applyBorder="1" applyAlignment="1" applyProtection="1">
      <alignment horizontal="center" vertical="center"/>
      <protection locked="0"/>
    </xf>
    <xf numFmtId="0" fontId="17" fillId="11" borderId="9" xfId="4" applyFont="1" applyFill="1" applyBorder="1" applyAlignment="1" applyProtection="1">
      <alignment horizontal="center" vertical="center"/>
      <protection locked="0"/>
    </xf>
    <xf numFmtId="0" fontId="17" fillId="11" borderId="12" xfId="4" applyFont="1" applyFill="1" applyBorder="1" applyAlignment="1" applyProtection="1">
      <alignment horizontal="center" vertical="center"/>
      <protection locked="0"/>
    </xf>
    <xf numFmtId="0" fontId="17" fillId="11" borderId="5" xfId="4" applyFont="1" applyFill="1" applyBorder="1" applyAlignment="1" applyProtection="1">
      <alignment horizontal="center" vertical="center"/>
      <protection locked="0"/>
    </xf>
    <xf numFmtId="0" fontId="17" fillId="11" borderId="13" xfId="4" applyFont="1" applyFill="1" applyBorder="1" applyAlignment="1" applyProtection="1">
      <alignment horizontal="center" vertical="center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17" fillId="2" borderId="11" xfId="0" applyFont="1" applyFill="1" applyBorder="1" applyAlignment="1" applyProtection="1">
      <alignment horizontal="center"/>
      <protection locked="0"/>
    </xf>
    <xf numFmtId="0" fontId="17" fillId="10" borderId="10" xfId="0" applyFont="1" applyFill="1" applyBorder="1" applyAlignment="1" applyProtection="1">
      <alignment horizontal="center"/>
      <protection locked="0"/>
    </xf>
    <xf numFmtId="0" fontId="17" fillId="10" borderId="11" xfId="0" applyFont="1" applyFill="1" applyBorder="1" applyAlignment="1" applyProtection="1">
      <alignment horizontal="center"/>
      <protection locked="0"/>
    </xf>
    <xf numFmtId="0" fontId="17" fillId="3" borderId="8" xfId="0" applyFont="1" applyFill="1" applyBorder="1" applyAlignment="1" applyProtection="1">
      <alignment horizontal="center"/>
      <protection locked="0"/>
    </xf>
    <xf numFmtId="0" fontId="17" fillId="3" borderId="18" xfId="0" applyFont="1" applyFill="1" applyBorder="1" applyAlignment="1" applyProtection="1">
      <alignment horizontal="center"/>
      <protection locked="0"/>
    </xf>
    <xf numFmtId="0" fontId="17" fillId="3" borderId="9" xfId="0" applyFont="1" applyFill="1" applyBorder="1" applyAlignment="1" applyProtection="1">
      <alignment horizontal="center"/>
      <protection locked="0"/>
    </xf>
    <xf numFmtId="0" fontId="17" fillId="11" borderId="8" xfId="4" applyFont="1" applyFill="1" applyBorder="1" applyAlignment="1">
      <alignment horizontal="center" vertical="center"/>
    </xf>
    <xf numFmtId="0" fontId="17" fillId="11" borderId="18" xfId="4" applyFont="1" applyFill="1" applyBorder="1" applyAlignment="1">
      <alignment horizontal="center" vertical="center"/>
    </xf>
    <xf numFmtId="0" fontId="17" fillId="11" borderId="9" xfId="4" applyFont="1" applyFill="1" applyBorder="1" applyAlignment="1">
      <alignment horizontal="center" vertical="center"/>
    </xf>
    <xf numFmtId="0" fontId="22" fillId="11" borderId="12" xfId="10" applyFont="1" applyFill="1" applyBorder="1" applyAlignment="1" applyProtection="1">
      <alignment horizontal="center" vertical="center"/>
      <protection locked="0"/>
    </xf>
    <xf numFmtId="0" fontId="22" fillId="11" borderId="5" xfId="10" applyFont="1" applyFill="1" applyBorder="1" applyAlignment="1" applyProtection="1">
      <alignment horizontal="center" vertical="center"/>
      <protection locked="0"/>
    </xf>
    <xf numFmtId="0" fontId="22" fillId="11" borderId="13" xfId="10" applyFont="1" applyFill="1" applyBorder="1" applyAlignment="1" applyProtection="1">
      <alignment horizontal="center" vertical="center"/>
      <protection locked="0"/>
    </xf>
    <xf numFmtId="0" fontId="15" fillId="4" borderId="8" xfId="10" applyFont="1" applyFill="1" applyBorder="1" applyAlignment="1">
      <alignment horizontal="center" vertical="center"/>
    </xf>
    <xf numFmtId="0" fontId="15" fillId="4" borderId="18" xfId="10" applyFont="1" applyFill="1" applyBorder="1" applyAlignment="1">
      <alignment horizontal="center" vertical="center"/>
    </xf>
    <xf numFmtId="0" fontId="15" fillId="4" borderId="9" xfId="10" applyFont="1" applyFill="1" applyBorder="1" applyAlignment="1">
      <alignment horizontal="center" vertical="center"/>
    </xf>
    <xf numFmtId="0" fontId="22" fillId="11" borderId="10" xfId="10" applyFont="1" applyFill="1" applyBorder="1" applyAlignment="1">
      <alignment horizontal="center" vertical="center"/>
    </xf>
    <xf numFmtId="0" fontId="22" fillId="11" borderId="19" xfId="10" applyFont="1" applyFill="1" applyBorder="1" applyAlignment="1">
      <alignment horizontal="center" vertical="center"/>
    </xf>
    <xf numFmtId="0" fontId="22" fillId="11" borderId="11" xfId="10" applyFont="1" applyFill="1" applyBorder="1" applyAlignment="1">
      <alignment horizontal="center" vertical="center"/>
    </xf>
    <xf numFmtId="0" fontId="22" fillId="11" borderId="8" xfId="10" applyFont="1" applyFill="1" applyBorder="1" applyAlignment="1">
      <alignment horizontal="center" vertical="center"/>
    </xf>
    <xf numFmtId="0" fontId="22" fillId="11" borderId="18" xfId="10" applyFont="1" applyFill="1" applyBorder="1" applyAlignment="1">
      <alignment horizontal="center" vertical="center"/>
    </xf>
    <xf numFmtId="0" fontId="22" fillId="11" borderId="9" xfId="10" applyFont="1" applyFill="1" applyBorder="1" applyAlignment="1">
      <alignment horizontal="center" vertical="center"/>
    </xf>
    <xf numFmtId="0" fontId="22" fillId="11" borderId="22" xfId="10" applyFont="1" applyFill="1" applyBorder="1" applyAlignment="1" applyProtection="1">
      <alignment horizontal="center" vertical="center"/>
      <protection locked="0"/>
    </xf>
    <xf numFmtId="0" fontId="22" fillId="11" borderId="23" xfId="10" applyFont="1" applyFill="1" applyBorder="1" applyAlignment="1" applyProtection="1">
      <alignment horizontal="center" vertical="center"/>
      <protection locked="0"/>
    </xf>
    <xf numFmtId="0" fontId="22" fillId="11" borderId="24" xfId="10" applyFont="1" applyFill="1" applyBorder="1" applyAlignment="1" applyProtection="1">
      <alignment horizontal="center" vertical="center"/>
      <protection locked="0"/>
    </xf>
    <xf numFmtId="0" fontId="22" fillId="11" borderId="12" xfId="10" applyFont="1" applyFill="1" applyBorder="1" applyAlignment="1">
      <alignment horizontal="center" vertical="center"/>
    </xf>
    <xf numFmtId="0" fontId="22" fillId="11" borderId="5" xfId="10" applyFont="1" applyFill="1" applyBorder="1" applyAlignment="1">
      <alignment horizontal="center" vertical="center"/>
    </xf>
    <xf numFmtId="0" fontId="22" fillId="11" borderId="13" xfId="10" applyFont="1" applyFill="1" applyBorder="1" applyAlignment="1">
      <alignment horizontal="center" vertical="center"/>
    </xf>
    <xf numFmtId="0" fontId="22" fillId="11" borderId="12" xfId="1" applyFont="1" applyFill="1" applyBorder="1" applyAlignment="1">
      <alignment horizontal="center" vertical="center"/>
    </xf>
    <xf numFmtId="0" fontId="22" fillId="11" borderId="5" xfId="1" applyFont="1" applyFill="1" applyBorder="1" applyAlignment="1">
      <alignment horizontal="center" vertical="center"/>
    </xf>
    <xf numFmtId="0" fontId="22" fillId="11" borderId="13" xfId="1" applyFont="1" applyFill="1" applyBorder="1" applyAlignment="1">
      <alignment horizontal="center" vertical="center"/>
    </xf>
    <xf numFmtId="0" fontId="17" fillId="11" borderId="8" xfId="1" applyFont="1" applyFill="1" applyBorder="1" applyAlignment="1">
      <alignment horizontal="center" vertical="center"/>
    </xf>
    <xf numFmtId="0" fontId="17" fillId="11" borderId="9" xfId="1" applyFont="1" applyFill="1" applyBorder="1" applyAlignment="1">
      <alignment horizontal="center" vertical="center"/>
    </xf>
    <xf numFmtId="0" fontId="17" fillId="11" borderId="31" xfId="12" applyFont="1" applyFill="1" applyBorder="1" applyAlignment="1" applyProtection="1">
      <alignment horizontal="center" vertical="center"/>
      <protection locked="0"/>
    </xf>
    <xf numFmtId="0" fontId="17" fillId="11" borderId="32" xfId="12" applyFont="1" applyFill="1" applyBorder="1" applyAlignment="1" applyProtection="1">
      <alignment horizontal="center" vertical="center"/>
      <protection locked="0"/>
    </xf>
    <xf numFmtId="0" fontId="17" fillId="11" borderId="33" xfId="12" applyFont="1" applyFill="1" applyBorder="1" applyAlignment="1" applyProtection="1">
      <alignment horizontal="center" vertical="center"/>
      <protection locked="0"/>
    </xf>
    <xf numFmtId="0" fontId="15" fillId="4" borderId="8" xfId="12" applyFont="1" applyFill="1" applyBorder="1" applyAlignment="1">
      <alignment horizontal="center" vertical="center"/>
    </xf>
    <xf numFmtId="0" fontId="15" fillId="4" borderId="18" xfId="12" applyFont="1" applyFill="1" applyBorder="1" applyAlignment="1">
      <alignment horizontal="center" vertical="center"/>
    </xf>
    <xf numFmtId="0" fontId="15" fillId="4" borderId="9" xfId="12" applyFont="1" applyFill="1" applyBorder="1" applyAlignment="1">
      <alignment horizontal="center" vertical="center"/>
    </xf>
    <xf numFmtId="0" fontId="22" fillId="11" borderId="10" xfId="12" applyFont="1" applyFill="1" applyBorder="1" applyAlignment="1">
      <alignment horizontal="center" vertical="center"/>
    </xf>
    <xf numFmtId="0" fontId="22" fillId="11" borderId="19" xfId="12" applyFont="1" applyFill="1" applyBorder="1" applyAlignment="1">
      <alignment horizontal="center" vertical="center"/>
    </xf>
    <xf numFmtId="0" fontId="22" fillId="11" borderId="11" xfId="12" applyFont="1" applyFill="1" applyBorder="1" applyAlignment="1">
      <alignment horizontal="center" vertical="center"/>
    </xf>
    <xf numFmtId="0" fontId="22" fillId="11" borderId="8" xfId="12" applyFont="1" applyFill="1" applyBorder="1" applyAlignment="1">
      <alignment horizontal="center" vertical="center"/>
    </xf>
    <xf numFmtId="0" fontId="22" fillId="11" borderId="18" xfId="12" applyFont="1" applyFill="1" applyBorder="1" applyAlignment="1">
      <alignment horizontal="center" vertical="center"/>
    </xf>
    <xf numFmtId="0" fontId="22" fillId="11" borderId="9" xfId="12" applyFont="1" applyFill="1" applyBorder="1" applyAlignment="1">
      <alignment horizontal="center" vertical="center"/>
    </xf>
    <xf numFmtId="0" fontId="15" fillId="4" borderId="8" xfId="11" applyFont="1" applyFill="1" applyBorder="1" applyAlignment="1">
      <alignment horizontal="center" vertical="center"/>
    </xf>
    <xf numFmtId="0" fontId="15" fillId="4" borderId="18" xfId="11" applyFont="1" applyFill="1" applyBorder="1" applyAlignment="1">
      <alignment horizontal="center" vertical="center"/>
    </xf>
    <xf numFmtId="0" fontId="15" fillId="4" borderId="9" xfId="11" applyFont="1" applyFill="1" applyBorder="1" applyAlignment="1">
      <alignment horizontal="center" vertical="center"/>
    </xf>
    <xf numFmtId="0" fontId="17" fillId="5" borderId="0" xfId="11" applyFont="1" applyFill="1" applyAlignment="1" applyProtection="1">
      <alignment horizontal="center" vertical="center"/>
      <protection locked="0"/>
    </xf>
    <xf numFmtId="0" fontId="22" fillId="11" borderId="10" xfId="11" applyFont="1" applyFill="1" applyBorder="1" applyAlignment="1">
      <alignment horizontal="center" vertical="center"/>
    </xf>
    <xf numFmtId="0" fontId="22" fillId="11" borderId="19" xfId="11" applyFont="1" applyFill="1" applyBorder="1" applyAlignment="1">
      <alignment horizontal="center" vertical="center"/>
    </xf>
    <xf numFmtId="0" fontId="22" fillId="11" borderId="11" xfId="11" applyFont="1" applyFill="1" applyBorder="1" applyAlignment="1">
      <alignment horizontal="center" vertical="center"/>
    </xf>
    <xf numFmtId="0" fontId="22" fillId="11" borderId="8" xfId="11" applyFont="1" applyFill="1" applyBorder="1" applyAlignment="1">
      <alignment horizontal="center" vertical="center"/>
    </xf>
    <xf numFmtId="0" fontId="22" fillId="11" borderId="18" xfId="11" applyFont="1" applyFill="1" applyBorder="1" applyAlignment="1">
      <alignment horizontal="center" vertical="center"/>
    </xf>
    <xf numFmtId="0" fontId="22" fillId="11" borderId="9" xfId="11" applyFont="1" applyFill="1" applyBorder="1" applyAlignment="1">
      <alignment horizontal="center" vertical="center"/>
    </xf>
  </cellXfs>
  <cellStyles count="13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5" xr:uid="{5EC0CF33-237F-FD42-BED4-70A3101E4100}"/>
    <cellStyle name="Standard 2 2 3" xfId="8" xr:uid="{F3D02DD6-0024-2D44-AA3F-6428936FF97B}"/>
    <cellStyle name="Standard 2 2 3 2" xfId="12" xr:uid="{0442FE69-2A05-6749-8AC8-FEA0EB6F91F5}"/>
    <cellStyle name="Standard 2 3" xfId="4" xr:uid="{943D66B9-2760-1D40-A84F-F5000A53BB64}"/>
    <cellStyle name="Standard 2 3 2" xfId="7" xr:uid="{B4C848DB-730B-0349-A1D5-1C4A458C5374}"/>
    <cellStyle name="Standard 2 4" xfId="6" xr:uid="{CB6D8669-1CC3-244B-BCD7-4A8B7391841A}"/>
    <cellStyle name="Standard 2 5" xfId="10" xr:uid="{98CB69E5-2B92-5F43-9FDA-BFA0892FA69A}"/>
    <cellStyle name="Standard 2 6" xfId="11" xr:uid="{96CFECDC-8352-2F47-BCCF-0EF5E129431A}"/>
    <cellStyle name="Währung" xfId="2" builtinId="4"/>
    <cellStyle name="Währung 2" xfId="9" xr:uid="{200DEAF3-7A50-194F-AD78-19D5C2D13A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83563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hilippkenkel/Desktop/D:/Users/philippkenkel/Seafile/RESILIENTE%20ENERGIESYSTEME/Intern/SicherungsKopien/Version_1/Templates_V1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hilippkenkel\Seafile\RESILIENTE%20ENERGIESYSTEME\Intern\Methanol_Case_Dev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hilippkenkel\Seafile\RESILIENTE%20ENERGIESYSTEME\Intern\NEW_TEST_FIL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hilippkenkel\Seafile\RESILIENTE%20ENERGIESYSTEME\Intern\TEST_C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emblatt"/>
      <sheetName val="Tabelle1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emblatt"/>
      <sheetName val="DataBank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emblatt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emblatt"/>
      <sheetName val="DataBank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R106"/>
  <sheetViews>
    <sheetView zoomScale="86" zoomScaleNormal="90" workbookViewId="0">
      <selection activeCell="D5" sqref="D5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17.42578125" style="2" customWidth="1"/>
    <col min="4" max="4" width="13.85546875" style="2" customWidth="1"/>
    <col min="5" max="6" width="21.28515625" style="2" customWidth="1"/>
    <col min="7" max="7" width="19.140625" style="2" bestFit="1" customWidth="1"/>
    <col min="8" max="8" width="24.42578125" style="2" bestFit="1" customWidth="1"/>
    <col min="9" max="9" width="20.42578125" style="2" bestFit="1" customWidth="1"/>
    <col min="10" max="10" width="23" style="2" bestFit="1" customWidth="1"/>
    <col min="11" max="11" width="19.28515625" style="2" customWidth="1"/>
    <col min="12" max="13" width="20.140625" style="2" customWidth="1"/>
    <col min="14" max="14" width="22.28515625" style="2" bestFit="1" customWidth="1"/>
    <col min="15" max="15" width="32.28515625" style="2" customWidth="1"/>
    <col min="16" max="16" width="20.42578125" style="2" bestFit="1" customWidth="1"/>
    <col min="17" max="18" width="10.85546875" style="2"/>
    <col min="19" max="19" width="27.42578125" style="2" bestFit="1" customWidth="1"/>
    <col min="20" max="20" width="22.7109375" style="2" bestFit="1" customWidth="1"/>
    <col min="21" max="21" width="20.85546875" style="2" bestFit="1" customWidth="1"/>
    <col min="22" max="22" width="17.42578125" style="2" customWidth="1"/>
    <col min="23" max="23" width="21.28515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44" ht="21.75" thickBot="1" x14ac:dyDescent="0.4">
      <c r="A1" s="35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</row>
    <row r="2" spans="1:44" ht="16.5" thickBot="1" x14ac:dyDescent="0.3">
      <c r="A2" s="67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40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44" ht="27" customHeight="1" thickBot="1" x14ac:dyDescent="0.3">
      <c r="A3" s="42"/>
      <c r="B3" s="488" t="s">
        <v>72</v>
      </c>
      <c r="C3" s="489"/>
      <c r="D3" s="17"/>
      <c r="E3" s="500" t="s">
        <v>75</v>
      </c>
      <c r="F3" s="501"/>
      <c r="G3" s="501"/>
      <c r="H3" s="501"/>
      <c r="I3" s="501"/>
      <c r="J3" s="502"/>
      <c r="K3" s="37"/>
      <c r="L3" s="17"/>
      <c r="M3" s="17"/>
      <c r="N3" s="490" t="s">
        <v>81</v>
      </c>
      <c r="O3" s="491"/>
      <c r="P3" s="492"/>
      <c r="Q3" s="17"/>
      <c r="R3" s="17"/>
      <c r="S3" s="493" t="s">
        <v>89</v>
      </c>
      <c r="T3" s="494"/>
      <c r="U3" s="494"/>
      <c r="V3" s="495"/>
      <c r="W3" s="17"/>
      <c r="X3" s="17"/>
      <c r="Y3" s="17"/>
      <c r="Z3" s="41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44" ht="84.75" thickBot="1" x14ac:dyDescent="0.3">
      <c r="A4" s="42"/>
      <c r="B4" s="65" t="s">
        <v>73</v>
      </c>
      <c r="C4" s="453" t="s">
        <v>1</v>
      </c>
      <c r="D4" s="17"/>
      <c r="E4" s="62" t="s">
        <v>76</v>
      </c>
      <c r="F4" s="63" t="s">
        <v>77</v>
      </c>
      <c r="G4" s="64" t="s">
        <v>78</v>
      </c>
      <c r="H4" s="64" t="s">
        <v>79</v>
      </c>
      <c r="I4" s="64" t="s">
        <v>80</v>
      </c>
      <c r="J4" s="64"/>
      <c r="K4" s="17"/>
      <c r="L4" s="36"/>
      <c r="M4" s="36"/>
      <c r="N4" s="52" t="s">
        <v>82</v>
      </c>
      <c r="O4" s="53" t="s">
        <v>84</v>
      </c>
      <c r="P4" s="52" t="s">
        <v>83</v>
      </c>
      <c r="Q4" s="17"/>
      <c r="R4" s="17"/>
      <c r="S4" s="459" t="s">
        <v>96</v>
      </c>
      <c r="T4" s="459" t="s">
        <v>95</v>
      </c>
      <c r="U4" s="460" t="s">
        <v>97</v>
      </c>
      <c r="V4" s="460" t="s">
        <v>255</v>
      </c>
      <c r="W4" s="17"/>
      <c r="X4" s="17"/>
      <c r="Z4" s="41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44" ht="18.75" x14ac:dyDescent="0.3">
      <c r="A5" s="68"/>
      <c r="B5" s="30" t="s">
        <v>69</v>
      </c>
      <c r="C5" s="32" t="s">
        <v>140</v>
      </c>
      <c r="D5" s="17"/>
      <c r="E5" s="54" t="s">
        <v>29</v>
      </c>
      <c r="F5" s="47">
        <v>2.8088000000000002</v>
      </c>
      <c r="G5" s="48">
        <v>1.054</v>
      </c>
      <c r="H5" s="47">
        <v>28</v>
      </c>
      <c r="I5" s="47">
        <v>1.57</v>
      </c>
      <c r="J5" s="32"/>
      <c r="K5" s="17"/>
      <c r="L5" s="17"/>
      <c r="M5" s="17"/>
      <c r="N5" s="54">
        <v>1</v>
      </c>
      <c r="O5" s="55" t="s">
        <v>85</v>
      </c>
      <c r="P5" s="32" t="s">
        <v>30</v>
      </c>
      <c r="Q5" s="17"/>
      <c r="R5" s="17"/>
      <c r="S5" s="468" t="s">
        <v>41</v>
      </c>
      <c r="T5" s="47">
        <v>72</v>
      </c>
      <c r="U5" s="47">
        <v>8.5299999999999994E-3</v>
      </c>
      <c r="V5" s="32">
        <v>9.9699999999999997E-2</v>
      </c>
      <c r="W5" s="17"/>
      <c r="X5" s="17"/>
      <c r="Y5" s="17"/>
      <c r="Z5" s="41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</row>
    <row r="6" spans="1:44" ht="19.5" thickBot="1" x14ac:dyDescent="0.35">
      <c r="A6" s="42"/>
      <c r="B6" s="28" t="s">
        <v>70</v>
      </c>
      <c r="C6" s="34" t="s">
        <v>254</v>
      </c>
      <c r="D6" s="17"/>
      <c r="E6" s="56" t="s">
        <v>31</v>
      </c>
      <c r="F6" s="49"/>
      <c r="G6" s="50">
        <v>0.97799999999999998</v>
      </c>
      <c r="H6" s="49">
        <v>44</v>
      </c>
      <c r="I6" s="49">
        <v>1</v>
      </c>
      <c r="J6" s="34"/>
      <c r="K6" s="17"/>
      <c r="L6" s="17"/>
      <c r="M6" s="17"/>
      <c r="N6" s="56">
        <v>2</v>
      </c>
      <c r="O6" s="57" t="s">
        <v>86</v>
      </c>
      <c r="P6" s="34" t="s">
        <v>50</v>
      </c>
      <c r="Q6" s="17"/>
      <c r="R6" s="17"/>
      <c r="S6" s="56" t="s">
        <v>42</v>
      </c>
      <c r="T6" s="49"/>
      <c r="U6" s="49">
        <v>0.248</v>
      </c>
      <c r="V6" s="34">
        <v>0.48499999999999999</v>
      </c>
      <c r="W6" s="17"/>
      <c r="X6" s="17"/>
      <c r="Y6" s="17"/>
      <c r="Z6" s="41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</row>
    <row r="7" spans="1:44" ht="17.100000000000001" customHeight="1" thickBot="1" x14ac:dyDescent="0.35">
      <c r="A7" s="42"/>
      <c r="B7" s="456"/>
      <c r="C7" s="457" t="s">
        <v>251</v>
      </c>
      <c r="D7" s="17"/>
      <c r="E7" s="56" t="s">
        <v>32</v>
      </c>
      <c r="F7" s="49">
        <v>33.33</v>
      </c>
      <c r="G7" s="50">
        <v>14.5</v>
      </c>
      <c r="H7" s="49">
        <v>2</v>
      </c>
      <c r="I7" s="49"/>
      <c r="J7" s="34"/>
      <c r="K7" s="17"/>
      <c r="L7" s="17"/>
      <c r="M7" s="17"/>
      <c r="N7" s="56">
        <v>3</v>
      </c>
      <c r="O7" s="57" t="s">
        <v>87</v>
      </c>
      <c r="P7" s="34" t="s">
        <v>32</v>
      </c>
      <c r="Q7" s="17"/>
      <c r="R7" s="17"/>
      <c r="S7" s="56" t="s">
        <v>201</v>
      </c>
      <c r="T7" s="49">
        <v>19.059999999999999</v>
      </c>
      <c r="U7" s="49">
        <v>0.4</v>
      </c>
      <c r="V7" s="34">
        <v>3.17</v>
      </c>
      <c r="W7" s="17"/>
      <c r="X7" s="17"/>
      <c r="Y7" s="17"/>
      <c r="Z7" s="41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</row>
    <row r="8" spans="1:44" ht="18.75" x14ac:dyDescent="0.3">
      <c r="A8" s="42"/>
      <c r="B8" s="26" t="s">
        <v>25</v>
      </c>
      <c r="C8" s="34" t="s">
        <v>50</v>
      </c>
      <c r="D8" s="17"/>
      <c r="E8" s="56" t="s">
        <v>30</v>
      </c>
      <c r="F8" s="49"/>
      <c r="G8" s="50">
        <v>4.2</v>
      </c>
      <c r="H8" s="49">
        <v>18</v>
      </c>
      <c r="I8" s="49"/>
      <c r="J8" s="34"/>
      <c r="K8" s="17"/>
      <c r="L8" s="17"/>
      <c r="M8" s="17"/>
      <c r="N8" s="56">
        <v>4</v>
      </c>
      <c r="O8" s="57" t="s">
        <v>88</v>
      </c>
      <c r="P8" s="34" t="s">
        <v>29</v>
      </c>
      <c r="Q8" s="17"/>
      <c r="R8" s="17"/>
      <c r="S8" s="67"/>
      <c r="T8" s="39"/>
      <c r="U8" s="39"/>
      <c r="V8" s="461"/>
      <c r="W8" s="17"/>
      <c r="X8" s="17"/>
      <c r="Y8" s="17"/>
      <c r="Z8" s="41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</row>
    <row r="9" spans="1:44" ht="19.5" thickBot="1" x14ac:dyDescent="0.35">
      <c r="A9" s="42"/>
      <c r="B9" s="31" t="s">
        <v>39</v>
      </c>
      <c r="C9" s="458">
        <v>200000</v>
      </c>
      <c r="D9" s="17"/>
      <c r="E9" s="56" t="s">
        <v>34</v>
      </c>
      <c r="F9" s="49"/>
      <c r="G9" s="50"/>
      <c r="H9" s="49"/>
      <c r="I9" s="49"/>
      <c r="J9" s="34"/>
      <c r="K9" s="17"/>
      <c r="L9" s="17"/>
      <c r="M9" s="17"/>
      <c r="N9" s="56">
        <v>6</v>
      </c>
      <c r="O9" s="25" t="s">
        <v>202</v>
      </c>
      <c r="P9" s="157" t="s">
        <v>200</v>
      </c>
      <c r="Q9" s="17"/>
      <c r="R9" s="17"/>
      <c r="S9" s="28"/>
      <c r="T9" s="25"/>
      <c r="U9" s="25"/>
      <c r="V9" s="59"/>
      <c r="W9" s="17"/>
      <c r="X9" s="17"/>
      <c r="Y9" s="17"/>
      <c r="Z9" s="41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</row>
    <row r="10" spans="1:44" ht="18.75" x14ac:dyDescent="0.3">
      <c r="A10" s="42"/>
      <c r="B10" s="26" t="s">
        <v>28</v>
      </c>
      <c r="C10" s="34">
        <v>4777</v>
      </c>
      <c r="D10" s="17"/>
      <c r="E10" s="56" t="s">
        <v>50</v>
      </c>
      <c r="F10" s="49">
        <v>5.54</v>
      </c>
      <c r="G10" s="50">
        <v>1.6339999999999999</v>
      </c>
      <c r="H10" s="49">
        <v>32</v>
      </c>
      <c r="I10" s="49"/>
      <c r="J10" s="34"/>
      <c r="K10" s="17"/>
      <c r="L10" s="17"/>
      <c r="M10" s="17"/>
      <c r="N10" s="68"/>
      <c r="P10" s="474"/>
      <c r="Q10" s="17"/>
      <c r="R10" s="17"/>
      <c r="S10" s="28"/>
      <c r="T10" s="25"/>
      <c r="U10" s="25"/>
      <c r="V10" s="59"/>
      <c r="W10" s="17"/>
      <c r="X10" s="17"/>
      <c r="Y10" s="17"/>
      <c r="Z10" s="41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</row>
    <row r="11" spans="1:44" ht="18.75" x14ac:dyDescent="0.3">
      <c r="A11" s="42"/>
      <c r="B11" s="26" t="s">
        <v>74</v>
      </c>
      <c r="C11" s="34">
        <v>2020</v>
      </c>
      <c r="D11" s="17"/>
      <c r="E11" s="56" t="s">
        <v>38</v>
      </c>
      <c r="F11" s="49"/>
      <c r="G11" s="50">
        <v>1.0489999999999999</v>
      </c>
      <c r="H11" s="49">
        <v>28</v>
      </c>
      <c r="I11" s="49"/>
      <c r="J11" s="34"/>
      <c r="K11" s="17"/>
      <c r="L11" s="17"/>
      <c r="M11" s="17"/>
      <c r="N11" s="56"/>
      <c r="O11" s="25"/>
      <c r="P11" s="34"/>
      <c r="Q11" s="17"/>
      <c r="R11" s="17"/>
      <c r="S11" s="42"/>
      <c r="T11" s="17"/>
      <c r="U11" s="17"/>
      <c r="V11" s="41"/>
      <c r="W11" s="17"/>
      <c r="X11" s="17"/>
      <c r="Y11" s="17"/>
      <c r="Z11" s="41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</row>
    <row r="12" spans="1:44" ht="19.5" thickBot="1" x14ac:dyDescent="0.35">
      <c r="A12" s="42"/>
      <c r="B12" s="26" t="s">
        <v>33</v>
      </c>
      <c r="C12" s="34">
        <v>0.05</v>
      </c>
      <c r="D12" s="17"/>
      <c r="E12" s="56" t="s">
        <v>9</v>
      </c>
      <c r="F12" s="49"/>
      <c r="G12" s="50">
        <v>0.95599999999999996</v>
      </c>
      <c r="H12" s="49">
        <v>32</v>
      </c>
      <c r="I12" s="49"/>
      <c r="J12" s="34"/>
      <c r="K12" s="17"/>
      <c r="L12" s="17"/>
      <c r="M12" s="17"/>
      <c r="N12" s="56"/>
      <c r="O12" s="25"/>
      <c r="P12" s="34"/>
      <c r="Q12" s="17"/>
      <c r="R12" s="17"/>
      <c r="S12" s="43"/>
      <c r="T12" s="44"/>
      <c r="U12" s="44"/>
      <c r="V12" s="45"/>
      <c r="W12" s="17"/>
      <c r="X12" s="17"/>
      <c r="Y12" s="17"/>
      <c r="Z12" s="41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</row>
    <row r="13" spans="1:44" ht="42.75" thickBot="1" x14ac:dyDescent="0.35">
      <c r="A13" s="42"/>
      <c r="B13" s="454" t="s">
        <v>36</v>
      </c>
      <c r="C13" s="455" t="s">
        <v>211</v>
      </c>
      <c r="D13" s="17"/>
      <c r="E13" s="56" t="s">
        <v>200</v>
      </c>
      <c r="F13" s="49">
        <v>13.89</v>
      </c>
      <c r="G13" s="50">
        <v>2.7029999999999998</v>
      </c>
      <c r="H13" s="49">
        <v>16</v>
      </c>
      <c r="I13" s="49">
        <v>25</v>
      </c>
      <c r="J13" s="34"/>
      <c r="K13" s="17"/>
      <c r="L13" s="17"/>
      <c r="M13" s="17"/>
      <c r="N13" s="58"/>
      <c r="O13" s="25"/>
      <c r="P13" s="59"/>
      <c r="Q13" s="17"/>
      <c r="R13" s="17"/>
      <c r="S13" s="462" t="s">
        <v>90</v>
      </c>
      <c r="T13" s="463" t="s">
        <v>94</v>
      </c>
      <c r="U13" s="464" t="s">
        <v>95</v>
      </c>
      <c r="V13" s="465"/>
      <c r="W13" s="17"/>
      <c r="X13" s="17"/>
      <c r="Y13" s="17"/>
      <c r="Z13" s="41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</row>
    <row r="14" spans="1:44" ht="19.5" thickBot="1" x14ac:dyDescent="0.35">
      <c r="A14" s="42"/>
      <c r="B14" s="31" t="s">
        <v>71</v>
      </c>
      <c r="C14" s="33">
        <v>0.04</v>
      </c>
      <c r="D14" s="17"/>
      <c r="E14" s="56"/>
      <c r="F14" s="49"/>
      <c r="G14" s="50"/>
      <c r="H14" s="49"/>
      <c r="I14" s="49"/>
      <c r="J14" s="34"/>
      <c r="K14" s="17"/>
      <c r="L14" s="17"/>
      <c r="M14" s="17"/>
      <c r="N14" s="58"/>
      <c r="O14" s="25"/>
      <c r="P14" s="59"/>
      <c r="Q14" s="17"/>
      <c r="R14" s="17"/>
      <c r="S14" s="30" t="s">
        <v>91</v>
      </c>
      <c r="T14" s="47">
        <v>600</v>
      </c>
      <c r="U14" s="32">
        <v>37.1</v>
      </c>
      <c r="V14" s="466"/>
      <c r="W14" s="17"/>
      <c r="X14" s="17"/>
      <c r="Y14" s="17"/>
      <c r="Z14" s="41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</row>
    <row r="15" spans="1:44" ht="18.75" x14ac:dyDescent="0.3">
      <c r="A15" s="42"/>
      <c r="B15" s="314" t="s">
        <v>180</v>
      </c>
      <c r="C15" s="313" t="s">
        <v>181</v>
      </c>
      <c r="D15" s="17"/>
      <c r="E15" s="56"/>
      <c r="F15" s="49"/>
      <c r="G15" s="50"/>
      <c r="H15" s="49"/>
      <c r="I15" s="49"/>
      <c r="J15" s="34"/>
      <c r="K15" s="17"/>
      <c r="L15" s="17"/>
      <c r="M15" s="17"/>
      <c r="N15" s="58"/>
      <c r="O15" s="25"/>
      <c r="P15" s="59"/>
      <c r="Q15" s="17"/>
      <c r="R15" s="17"/>
      <c r="S15" s="28" t="s">
        <v>92</v>
      </c>
      <c r="T15" s="49">
        <v>330</v>
      </c>
      <c r="U15" s="34">
        <v>37</v>
      </c>
      <c r="V15" s="466"/>
      <c r="W15" s="17"/>
      <c r="X15" s="17"/>
      <c r="Y15" s="17"/>
      <c r="Z15" s="41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</row>
    <row r="16" spans="1:44" ht="18.75" x14ac:dyDescent="0.3">
      <c r="A16" s="42"/>
      <c r="B16" s="471" t="s">
        <v>182</v>
      </c>
      <c r="C16" s="472">
        <v>2.5</v>
      </c>
      <c r="D16" s="17"/>
      <c r="E16" s="56"/>
      <c r="F16" s="49"/>
      <c r="G16" s="50"/>
      <c r="H16" s="49"/>
      <c r="I16" s="49"/>
      <c r="J16" s="34"/>
      <c r="K16" s="17"/>
      <c r="L16" s="17"/>
      <c r="M16" s="17"/>
      <c r="N16" s="58"/>
      <c r="O16" s="25"/>
      <c r="P16" s="59"/>
      <c r="Q16" s="17"/>
      <c r="R16" s="17"/>
      <c r="S16" s="28" t="s">
        <v>210</v>
      </c>
      <c r="T16" s="49">
        <v>220</v>
      </c>
      <c r="U16" s="34">
        <v>36.799999999999997</v>
      </c>
      <c r="V16" s="466"/>
      <c r="W16" s="17"/>
      <c r="X16" s="17"/>
      <c r="Y16" s="17"/>
      <c r="Z16" s="41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</row>
    <row r="17" spans="1:44" ht="18.75" x14ac:dyDescent="0.3">
      <c r="A17" s="69"/>
      <c r="B17" s="314" t="s">
        <v>177</v>
      </c>
      <c r="C17" s="46">
        <v>450</v>
      </c>
      <c r="D17" s="17"/>
      <c r="E17" s="56"/>
      <c r="F17" s="49"/>
      <c r="G17" s="50"/>
      <c r="H17" s="49"/>
      <c r="I17" s="49"/>
      <c r="J17" s="34"/>
      <c r="K17" s="17"/>
      <c r="L17" s="17"/>
      <c r="M17" s="17"/>
      <c r="N17" s="58"/>
      <c r="O17" s="25"/>
      <c r="P17" s="59"/>
      <c r="Q17" s="17"/>
      <c r="R17" s="17"/>
      <c r="S17" s="28" t="s">
        <v>209</v>
      </c>
      <c r="T17" s="49">
        <v>130</v>
      </c>
      <c r="U17" s="34">
        <v>32.200000000000003</v>
      </c>
      <c r="V17" s="466"/>
      <c r="W17" s="10"/>
      <c r="X17" s="10"/>
      <c r="Y17" s="10"/>
      <c r="Z17" s="2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</row>
    <row r="18" spans="1:44" ht="19.5" thickBot="1" x14ac:dyDescent="0.35">
      <c r="A18" s="42"/>
      <c r="B18" s="314" t="s">
        <v>103</v>
      </c>
      <c r="C18" s="46">
        <v>15</v>
      </c>
      <c r="D18" s="17"/>
      <c r="E18" s="56"/>
      <c r="F18" s="49"/>
      <c r="G18" s="49"/>
      <c r="H18" s="49"/>
      <c r="I18" s="49"/>
      <c r="J18" s="34"/>
      <c r="K18" s="17"/>
      <c r="L18" s="17"/>
      <c r="M18" s="17"/>
      <c r="N18" s="29"/>
      <c r="O18" s="60"/>
      <c r="P18" s="61"/>
      <c r="Q18" s="10"/>
      <c r="R18" s="452"/>
      <c r="S18" s="29" t="s">
        <v>93</v>
      </c>
      <c r="T18" s="51">
        <v>15</v>
      </c>
      <c r="U18" s="33">
        <v>0.85499999999999998</v>
      </c>
      <c r="V18" s="467"/>
      <c r="W18" s="503"/>
      <c r="X18" s="503"/>
      <c r="Y18" s="503"/>
      <c r="Z18" s="504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</row>
    <row r="19" spans="1:44" ht="18.75" x14ac:dyDescent="0.3">
      <c r="A19" s="42"/>
      <c r="B19" s="314" t="s">
        <v>178</v>
      </c>
      <c r="C19" s="46">
        <v>75</v>
      </c>
      <c r="D19" s="17"/>
      <c r="E19" s="56"/>
      <c r="F19" s="49"/>
      <c r="G19" s="49"/>
      <c r="H19" s="49"/>
      <c r="I19" s="49"/>
      <c r="J19" s="34"/>
      <c r="K19" s="17"/>
      <c r="L19" s="17"/>
      <c r="M19" s="17"/>
      <c r="N19" s="17"/>
      <c r="O19" s="17"/>
      <c r="P19" s="17"/>
      <c r="Q19" s="10"/>
      <c r="R19" s="66"/>
      <c r="S19" s="17"/>
      <c r="T19" s="17"/>
      <c r="U19" s="17"/>
      <c r="V19" s="17"/>
      <c r="W19" s="66"/>
      <c r="X19" s="12"/>
      <c r="Y19" s="505"/>
      <c r="Z19" s="506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</row>
    <row r="20" spans="1:44" ht="18.75" x14ac:dyDescent="0.3">
      <c r="A20" s="42"/>
      <c r="B20" s="314" t="s">
        <v>179</v>
      </c>
      <c r="C20" s="46">
        <v>130</v>
      </c>
      <c r="D20" s="17"/>
      <c r="E20" s="56"/>
      <c r="F20" s="49"/>
      <c r="G20" s="49"/>
      <c r="H20" s="49"/>
      <c r="I20" s="49"/>
      <c r="J20" s="34"/>
      <c r="K20" s="17"/>
      <c r="L20" s="17"/>
      <c r="M20" s="17"/>
      <c r="N20" s="17"/>
      <c r="O20" s="17"/>
      <c r="P20" s="17"/>
      <c r="Q20" s="10"/>
      <c r="R20" s="11"/>
      <c r="S20" s="17"/>
      <c r="T20" s="17"/>
      <c r="U20" s="17"/>
      <c r="V20" s="17"/>
      <c r="W20" s="11"/>
      <c r="X20" s="12"/>
      <c r="Y20" s="505"/>
      <c r="Z20" s="506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</row>
    <row r="21" spans="1:44" ht="18.75" x14ac:dyDescent="0.3">
      <c r="A21" s="42"/>
      <c r="B21" s="17"/>
      <c r="C21" s="17"/>
      <c r="D21" s="17"/>
      <c r="E21" s="56"/>
      <c r="F21" s="49"/>
      <c r="G21" s="49"/>
      <c r="H21" s="49"/>
      <c r="I21" s="49"/>
      <c r="J21" s="34"/>
      <c r="K21" s="17"/>
      <c r="L21" s="17"/>
      <c r="M21" s="17"/>
      <c r="N21" s="17"/>
      <c r="O21" s="17"/>
      <c r="P21" s="17"/>
      <c r="Q21" s="10"/>
      <c r="R21" s="11"/>
      <c r="S21" s="17"/>
      <c r="T21" s="17"/>
      <c r="U21" s="17"/>
      <c r="V21" s="17"/>
      <c r="W21" s="11"/>
      <c r="X21" s="12"/>
      <c r="Y21" s="505"/>
      <c r="Z21" s="506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</row>
    <row r="22" spans="1:44" ht="18.75" x14ac:dyDescent="0.3">
      <c r="A22" s="42"/>
      <c r="B22" s="17"/>
      <c r="C22" s="17"/>
      <c r="D22" s="17"/>
      <c r="E22" s="56"/>
      <c r="F22" s="49"/>
      <c r="G22" s="49"/>
      <c r="H22" s="49"/>
      <c r="I22" s="49"/>
      <c r="J22" s="34"/>
      <c r="K22" s="17"/>
      <c r="L22" s="17"/>
      <c r="M22" s="17"/>
      <c r="N22" s="17"/>
      <c r="O22" s="17"/>
      <c r="P22" s="17"/>
      <c r="Q22" s="10"/>
      <c r="R22" s="11"/>
      <c r="S22" s="17"/>
      <c r="T22" s="17"/>
      <c r="U22" s="17"/>
      <c r="V22" s="17"/>
      <c r="W22" s="11"/>
      <c r="X22" s="12"/>
      <c r="Y22" s="505"/>
      <c r="Z22" s="506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</row>
    <row r="23" spans="1:44" ht="18.75" x14ac:dyDescent="0.3">
      <c r="A23" s="42"/>
      <c r="B23" s="17"/>
      <c r="C23" s="17"/>
      <c r="D23" s="17"/>
      <c r="E23" s="56"/>
      <c r="F23" s="49"/>
      <c r="G23" s="49"/>
      <c r="H23" s="49"/>
      <c r="I23" s="49"/>
      <c r="J23" s="34"/>
      <c r="K23" s="17"/>
      <c r="L23" s="17"/>
      <c r="M23" s="17"/>
      <c r="N23" s="17"/>
      <c r="O23" s="17"/>
      <c r="P23" s="17"/>
      <c r="Q23" s="10"/>
      <c r="R23" s="11"/>
      <c r="S23" s="11"/>
      <c r="T23" s="496"/>
      <c r="U23" s="496"/>
      <c r="V23" s="10"/>
      <c r="W23" s="10"/>
      <c r="X23" s="10"/>
      <c r="Y23" s="10"/>
      <c r="Z23" s="2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</row>
    <row r="24" spans="1:44" ht="18.75" x14ac:dyDescent="0.3">
      <c r="A24" s="42"/>
      <c r="B24" s="17"/>
      <c r="C24" s="17"/>
      <c r="D24" s="17"/>
      <c r="E24" s="56"/>
      <c r="F24" s="49"/>
      <c r="G24" s="49"/>
      <c r="H24" s="49"/>
      <c r="I24" s="49"/>
      <c r="J24" s="34"/>
      <c r="K24" s="17"/>
      <c r="L24" s="17"/>
      <c r="M24" s="17"/>
      <c r="N24" s="17"/>
      <c r="O24" s="17"/>
      <c r="P24" s="17"/>
      <c r="Q24" s="10"/>
      <c r="R24" s="11"/>
      <c r="S24" s="11"/>
      <c r="T24" s="496"/>
      <c r="U24" s="496"/>
      <c r="V24" s="10"/>
      <c r="W24" s="10"/>
      <c r="X24" s="10"/>
      <c r="Y24" s="10"/>
      <c r="Z24" s="2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</row>
    <row r="25" spans="1:44" ht="18.75" x14ac:dyDescent="0.3">
      <c r="A25" s="42"/>
      <c r="B25" s="17"/>
      <c r="C25" s="17"/>
      <c r="D25" s="17"/>
      <c r="E25" s="56"/>
      <c r="F25" s="49"/>
      <c r="G25" s="49"/>
      <c r="H25" s="49"/>
      <c r="I25" s="49"/>
      <c r="J25" s="34"/>
      <c r="K25" s="17"/>
      <c r="L25" s="17"/>
      <c r="M25" s="17"/>
      <c r="N25" s="17"/>
      <c r="O25" s="46"/>
      <c r="P25" s="46"/>
      <c r="Q25" s="10"/>
      <c r="R25" s="11"/>
      <c r="S25" s="17"/>
      <c r="T25" s="17"/>
      <c r="U25" s="17"/>
      <c r="V25" s="10"/>
      <c r="W25" s="10"/>
      <c r="X25" s="10"/>
      <c r="Y25" s="10"/>
      <c r="Z25" s="2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</row>
    <row r="26" spans="1:44" ht="18.75" x14ac:dyDescent="0.3">
      <c r="A26" s="42"/>
      <c r="B26" s="17"/>
      <c r="C26" s="17"/>
      <c r="D26" s="17"/>
      <c r="E26" s="56"/>
      <c r="F26" s="49"/>
      <c r="G26" s="49"/>
      <c r="H26" s="49"/>
      <c r="I26" s="49"/>
      <c r="J26" s="34"/>
      <c r="K26" s="17"/>
      <c r="L26" s="17"/>
      <c r="M26" s="17"/>
      <c r="N26" s="17"/>
      <c r="O26" s="17"/>
      <c r="P26" s="17"/>
      <c r="Q26" s="10"/>
      <c r="R26" s="10"/>
      <c r="S26" s="17"/>
      <c r="T26" s="17"/>
      <c r="U26" s="17"/>
      <c r="V26" s="10"/>
      <c r="W26" s="10"/>
      <c r="X26" s="10"/>
      <c r="Y26" s="10"/>
      <c r="Z26" s="2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</row>
    <row r="27" spans="1:44" ht="18.75" x14ac:dyDescent="0.3">
      <c r="A27" s="42"/>
      <c r="B27" s="17"/>
      <c r="C27" s="17"/>
      <c r="D27" s="17"/>
      <c r="E27" s="56"/>
      <c r="F27" s="49"/>
      <c r="G27" s="49"/>
      <c r="H27" s="49"/>
      <c r="I27" s="49"/>
      <c r="J27" s="34"/>
      <c r="K27" s="17"/>
      <c r="L27" s="17"/>
      <c r="M27" s="17"/>
      <c r="N27" s="17"/>
      <c r="O27" s="17"/>
      <c r="P27" s="17"/>
      <c r="Q27" s="10"/>
      <c r="R27" s="10"/>
      <c r="S27" s="17"/>
      <c r="T27" s="17"/>
      <c r="U27" s="17"/>
      <c r="V27" s="10"/>
      <c r="W27" s="10"/>
      <c r="X27" s="10"/>
      <c r="Y27" s="10"/>
      <c r="Z27" s="2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</row>
    <row r="28" spans="1:44" ht="18.75" x14ac:dyDescent="0.3">
      <c r="A28" s="42"/>
      <c r="B28" s="17"/>
      <c r="C28" s="17"/>
      <c r="D28" s="17"/>
      <c r="E28" s="42"/>
      <c r="F28" s="17"/>
      <c r="G28" s="17"/>
      <c r="H28" s="49"/>
      <c r="I28" s="49"/>
      <c r="J28" s="34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41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</row>
    <row r="29" spans="1:44" ht="19.5" thickBot="1" x14ac:dyDescent="0.35">
      <c r="A29" s="42"/>
      <c r="B29" s="17"/>
      <c r="C29" s="17"/>
      <c r="D29" s="17"/>
      <c r="E29" s="42"/>
      <c r="F29" s="17"/>
      <c r="G29" s="17"/>
      <c r="H29" s="49"/>
      <c r="I29" s="49"/>
      <c r="J29" s="34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41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</row>
    <row r="30" spans="1:44" ht="21.75" thickBot="1" x14ac:dyDescent="0.4">
      <c r="A30" s="42"/>
      <c r="B30" s="17"/>
      <c r="C30" s="17"/>
      <c r="D30" s="17"/>
      <c r="E30" s="56"/>
      <c r="F30" s="49"/>
      <c r="G30" s="49"/>
      <c r="H30" s="49"/>
      <c r="I30" s="49"/>
      <c r="J30" s="34"/>
      <c r="K30" s="17"/>
      <c r="L30" s="17"/>
      <c r="M30" s="17"/>
      <c r="N30" s="497" t="s">
        <v>269</v>
      </c>
      <c r="O30" s="498"/>
      <c r="P30" s="499"/>
      <c r="Q30" s="17"/>
      <c r="R30" s="17"/>
      <c r="S30" s="17"/>
      <c r="T30" s="17"/>
      <c r="U30" s="17"/>
      <c r="V30" s="17"/>
      <c r="W30" s="17"/>
      <c r="X30" s="17"/>
      <c r="Y30" s="17"/>
      <c r="Z30" s="41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</row>
    <row r="31" spans="1:44" ht="21.75" thickBot="1" x14ac:dyDescent="0.4">
      <c r="A31" s="42"/>
      <c r="B31" s="17"/>
      <c r="C31" s="17"/>
      <c r="D31" s="17"/>
      <c r="E31" s="56"/>
      <c r="F31" s="49"/>
      <c r="G31" s="49"/>
      <c r="H31" s="49"/>
      <c r="I31" s="49"/>
      <c r="J31" s="34"/>
      <c r="K31" s="17"/>
      <c r="L31" s="17"/>
      <c r="M31" s="17"/>
      <c r="N31" s="475" t="s">
        <v>270</v>
      </c>
      <c r="O31" s="475" t="s">
        <v>271</v>
      </c>
      <c r="P31" s="475" t="s">
        <v>272</v>
      </c>
      <c r="Q31" s="17"/>
      <c r="R31" s="17"/>
      <c r="S31" s="497" t="s">
        <v>256</v>
      </c>
      <c r="T31" s="498"/>
      <c r="U31" s="498"/>
      <c r="V31" s="498"/>
      <c r="W31" s="499"/>
      <c r="X31" s="477"/>
      <c r="Y31" s="17"/>
      <c r="Z31" s="41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</row>
    <row r="32" spans="1:44" ht="21.75" thickBot="1" x14ac:dyDescent="0.4">
      <c r="A32" s="42"/>
      <c r="B32" s="17"/>
      <c r="C32" s="17"/>
      <c r="D32" s="17"/>
      <c r="E32" s="56"/>
      <c r="F32" s="49"/>
      <c r="G32" s="49"/>
      <c r="H32" s="49"/>
      <c r="I32" s="49"/>
      <c r="J32" s="34"/>
      <c r="K32" s="17"/>
      <c r="L32" s="17"/>
      <c r="M32" s="17"/>
      <c r="N32" s="30" t="s">
        <v>254</v>
      </c>
      <c r="O32" s="469">
        <v>0.33300000000000002</v>
      </c>
      <c r="P32" s="461">
        <v>325</v>
      </c>
      <c r="Q32" s="17"/>
      <c r="R32" s="17"/>
      <c r="S32" s="476" t="s">
        <v>257</v>
      </c>
      <c r="T32" s="476" t="s">
        <v>258</v>
      </c>
      <c r="U32" s="476" t="s">
        <v>259</v>
      </c>
      <c r="V32" s="476" t="s">
        <v>260</v>
      </c>
      <c r="W32" s="480" t="s">
        <v>261</v>
      </c>
      <c r="X32" s="478"/>
      <c r="Y32" s="17"/>
      <c r="Z32" s="41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</row>
    <row r="33" spans="1:44" ht="18.75" x14ac:dyDescent="0.3">
      <c r="A33" s="42"/>
      <c r="B33" s="17"/>
      <c r="C33" s="17"/>
      <c r="D33" s="17"/>
      <c r="E33" s="56"/>
      <c r="F33" s="49"/>
      <c r="G33" s="49"/>
      <c r="H33" s="49"/>
      <c r="I33" s="49"/>
      <c r="J33" s="34"/>
      <c r="K33" s="17"/>
      <c r="L33" s="17"/>
      <c r="M33" s="17"/>
      <c r="N33" s="28" t="s">
        <v>274</v>
      </c>
      <c r="O33" s="25">
        <v>0.33300000000000002</v>
      </c>
      <c r="P33" s="59">
        <v>0.58599999999999997</v>
      </c>
      <c r="Q33" s="17"/>
      <c r="R33" s="17"/>
      <c r="S33" s="30" t="s">
        <v>263</v>
      </c>
      <c r="T33" s="469"/>
      <c r="U33" s="469">
        <v>10</v>
      </c>
      <c r="V33" s="469">
        <v>100</v>
      </c>
      <c r="W33" s="461">
        <v>2</v>
      </c>
      <c r="X33" s="479"/>
      <c r="Y33" s="17"/>
      <c r="Z33" s="41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</row>
    <row r="34" spans="1:44" ht="19.5" thickBot="1" x14ac:dyDescent="0.35">
      <c r="A34" s="42"/>
      <c r="B34" s="17"/>
      <c r="C34" s="17"/>
      <c r="D34" s="17"/>
      <c r="E34" s="56"/>
      <c r="F34" s="49"/>
      <c r="G34" s="49"/>
      <c r="H34" s="49"/>
      <c r="I34" s="49"/>
      <c r="J34" s="34"/>
      <c r="K34" s="17"/>
      <c r="L34" s="17"/>
      <c r="M34" s="17"/>
      <c r="N34" s="29" t="s">
        <v>249</v>
      </c>
      <c r="O34" s="60">
        <v>0.33300000000000002</v>
      </c>
      <c r="P34" s="17">
        <v>4.2724000000000002</v>
      </c>
      <c r="Q34" s="17"/>
      <c r="R34" s="17"/>
      <c r="S34" s="28"/>
      <c r="T34" s="25"/>
      <c r="U34" s="25"/>
      <c r="V34" s="25"/>
      <c r="W34" s="59"/>
      <c r="X34" s="479"/>
      <c r="Y34" s="17"/>
      <c r="Z34" s="41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</row>
    <row r="35" spans="1:44" ht="18.75" x14ac:dyDescent="0.3">
      <c r="A35" s="42"/>
      <c r="B35" s="17"/>
      <c r="C35" s="17"/>
      <c r="D35" s="17"/>
      <c r="E35" s="56"/>
      <c r="F35" s="49"/>
      <c r="G35" s="49"/>
      <c r="H35" s="49"/>
      <c r="I35" s="49"/>
      <c r="J35" s="34"/>
      <c r="K35" s="17"/>
      <c r="L35" s="17"/>
      <c r="M35" s="17"/>
      <c r="N35" s="17"/>
      <c r="O35" s="17"/>
      <c r="Q35" s="17"/>
      <c r="R35" s="17"/>
      <c r="S35" s="28"/>
      <c r="T35" s="25"/>
      <c r="U35" s="25"/>
      <c r="V35" s="25"/>
      <c r="W35" s="59"/>
      <c r="X35" s="479"/>
      <c r="Y35" s="17"/>
      <c r="Z35" s="41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</row>
    <row r="36" spans="1:44" ht="18.75" x14ac:dyDescent="0.3">
      <c r="A36" s="42"/>
      <c r="B36" s="17"/>
      <c r="C36" s="17"/>
      <c r="D36" s="17"/>
      <c r="E36" s="56"/>
      <c r="F36" s="49"/>
      <c r="G36" s="49"/>
      <c r="H36" s="49"/>
      <c r="I36" s="49"/>
      <c r="J36" s="34"/>
      <c r="K36" s="17"/>
      <c r="L36" s="17"/>
      <c r="M36" s="17"/>
      <c r="N36" s="17"/>
      <c r="O36" s="17"/>
      <c r="P36" s="17"/>
      <c r="Q36" s="17"/>
      <c r="R36" s="17"/>
      <c r="S36" s="28"/>
      <c r="T36" s="25"/>
      <c r="U36" s="25"/>
      <c r="V36" s="25"/>
      <c r="W36" s="59"/>
      <c r="X36" s="479"/>
      <c r="Y36" s="17"/>
      <c r="Z36" s="41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</row>
    <row r="37" spans="1:44" ht="18.75" x14ac:dyDescent="0.3">
      <c r="A37" s="42"/>
      <c r="B37" s="17"/>
      <c r="C37" s="17"/>
      <c r="D37" s="17"/>
      <c r="E37" s="56"/>
      <c r="F37" s="49"/>
      <c r="G37" s="49"/>
      <c r="H37" s="49"/>
      <c r="I37" s="49"/>
      <c r="J37" s="34"/>
      <c r="K37" s="17"/>
      <c r="L37" s="17"/>
      <c r="M37" s="17"/>
      <c r="N37" s="17"/>
      <c r="O37" s="17"/>
      <c r="P37" s="17"/>
      <c r="Q37" s="17"/>
      <c r="R37" s="17"/>
      <c r="S37" s="28"/>
      <c r="T37" s="25"/>
      <c r="U37" s="25"/>
      <c r="V37" s="25"/>
      <c r="W37" s="59"/>
      <c r="X37" s="479"/>
      <c r="Y37" s="17"/>
      <c r="Z37" s="41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</row>
    <row r="38" spans="1:44" ht="19.5" thickBot="1" x14ac:dyDescent="0.35">
      <c r="A38" s="42"/>
      <c r="B38" s="17"/>
      <c r="C38" s="17"/>
      <c r="D38" s="17"/>
      <c r="E38" s="305"/>
      <c r="F38" s="51"/>
      <c r="G38" s="51"/>
      <c r="H38" s="51"/>
      <c r="I38" s="51"/>
      <c r="J38" s="33"/>
      <c r="K38" s="17"/>
      <c r="L38" s="17"/>
      <c r="M38" s="17"/>
      <c r="N38" s="17"/>
      <c r="O38" s="17"/>
      <c r="P38" s="17"/>
      <c r="Q38" s="17"/>
      <c r="R38" s="17"/>
      <c r="S38" s="28"/>
      <c r="T38" s="25"/>
      <c r="U38" s="25"/>
      <c r="V38" s="25"/>
      <c r="W38" s="59"/>
      <c r="X38" s="479"/>
      <c r="Y38" s="17"/>
      <c r="Z38" s="41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</row>
    <row r="39" spans="1:44" ht="18.75" x14ac:dyDescent="0.3">
      <c r="A39" s="42"/>
      <c r="B39" s="17"/>
      <c r="C39" s="17"/>
      <c r="D39" s="17"/>
      <c r="E39" s="17"/>
      <c r="F39" s="25"/>
      <c r="G39" s="17"/>
      <c r="H39" s="17"/>
      <c r="I39" s="38"/>
      <c r="J39" s="17"/>
      <c r="K39" s="17"/>
      <c r="L39" s="17"/>
      <c r="M39" s="17"/>
      <c r="N39" s="17"/>
      <c r="O39" s="17"/>
      <c r="P39" s="17"/>
      <c r="Q39" s="17"/>
      <c r="R39" s="17"/>
      <c r="S39" s="28"/>
      <c r="T39" s="25"/>
      <c r="U39" s="25"/>
      <c r="V39" s="25"/>
      <c r="W39" s="59"/>
      <c r="X39" s="479"/>
      <c r="Y39" s="17"/>
      <c r="Z39" s="41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</row>
    <row r="40" spans="1:44" ht="18.75" x14ac:dyDescent="0.3">
      <c r="A40" s="42"/>
      <c r="B40" s="17"/>
      <c r="C40" s="17"/>
      <c r="D40" s="17"/>
      <c r="E40" s="17"/>
      <c r="F40" s="25"/>
      <c r="G40" s="17"/>
      <c r="H40" s="17"/>
      <c r="I40" s="38"/>
      <c r="J40" s="17"/>
      <c r="K40" s="17"/>
      <c r="L40" s="17"/>
      <c r="M40" s="17"/>
      <c r="N40" s="17"/>
      <c r="O40" s="17"/>
      <c r="P40" s="17"/>
      <c r="Q40" s="17"/>
      <c r="R40" s="17"/>
      <c r="S40" s="28"/>
      <c r="T40" s="25"/>
      <c r="U40" s="25"/>
      <c r="V40" s="25"/>
      <c r="W40" s="59"/>
      <c r="X40" s="479"/>
      <c r="Y40" s="17"/>
      <c r="Z40" s="41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</row>
    <row r="41" spans="1:44" ht="19.5" thickBot="1" x14ac:dyDescent="0.35">
      <c r="A41" s="42"/>
      <c r="B41" s="17"/>
      <c r="C41" s="17"/>
      <c r="D41" s="17"/>
      <c r="E41" s="17"/>
      <c r="F41" s="25"/>
      <c r="G41" s="17"/>
      <c r="H41" s="17"/>
      <c r="I41" s="17"/>
      <c r="J41" s="10"/>
      <c r="K41" s="10"/>
      <c r="L41" s="10"/>
      <c r="M41" s="10"/>
      <c r="N41" s="10"/>
      <c r="O41" s="10"/>
      <c r="P41" s="17"/>
      <c r="Q41" s="17"/>
      <c r="R41" s="17"/>
      <c r="S41" s="29"/>
      <c r="T41" s="60"/>
      <c r="U41" s="60"/>
      <c r="V41" s="60"/>
      <c r="W41" s="61"/>
      <c r="X41" s="479"/>
      <c r="Y41" s="17"/>
      <c r="Z41" s="41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</row>
    <row r="42" spans="1:44" ht="18.75" x14ac:dyDescent="0.3">
      <c r="A42" s="42"/>
      <c r="B42" s="17"/>
      <c r="C42" s="17"/>
      <c r="D42" s="17"/>
      <c r="E42" s="17"/>
      <c r="F42" s="25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41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</row>
    <row r="43" spans="1:44" ht="18.75" x14ac:dyDescent="0.3">
      <c r="A43" s="42"/>
      <c r="B43" s="17"/>
      <c r="C43" s="17"/>
      <c r="D43" s="17"/>
      <c r="E43" s="17"/>
      <c r="F43" s="25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41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</row>
    <row r="44" spans="1:44" ht="21" x14ac:dyDescent="0.35">
      <c r="A44" s="42"/>
      <c r="B44" s="17"/>
      <c r="C44" s="17"/>
      <c r="D44" s="17"/>
      <c r="E44" s="17"/>
      <c r="F44" s="25"/>
      <c r="G44" s="24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470"/>
      <c r="W44" s="17"/>
      <c r="X44" s="17"/>
      <c r="Y44" s="17"/>
      <c r="Z44" s="41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</row>
    <row r="45" spans="1:44" ht="18.75" x14ac:dyDescent="0.3">
      <c r="A45" s="42"/>
      <c r="B45" s="17"/>
      <c r="C45" s="17"/>
      <c r="D45" s="17"/>
      <c r="E45" s="17"/>
      <c r="F45" s="25"/>
      <c r="G45" s="24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41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</row>
    <row r="46" spans="1:44" ht="18.75" x14ac:dyDescent="0.3">
      <c r="A46" s="42"/>
      <c r="B46" s="17"/>
      <c r="C46" s="17"/>
      <c r="D46" s="17"/>
      <c r="E46" s="17"/>
      <c r="F46" s="25"/>
      <c r="G46" s="24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41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</row>
    <row r="47" spans="1:44" ht="18.75" x14ac:dyDescent="0.3">
      <c r="A47" s="42"/>
      <c r="B47" s="17"/>
      <c r="C47" s="17"/>
      <c r="D47" s="17"/>
      <c r="E47" s="17"/>
      <c r="F47" s="25"/>
      <c r="G47" s="17"/>
      <c r="H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41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</row>
    <row r="48" spans="1:44" x14ac:dyDescent="0.25">
      <c r="A48" s="42"/>
      <c r="B48" s="17"/>
      <c r="C48" s="17"/>
      <c r="D48" s="17"/>
      <c r="E48" s="17"/>
      <c r="F48" s="289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41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</row>
    <row r="49" spans="1:44" ht="18.75" x14ac:dyDescent="0.3">
      <c r="A49" s="42"/>
      <c r="B49" s="17"/>
      <c r="C49" s="17"/>
      <c r="D49" s="17"/>
      <c r="E49" s="17"/>
      <c r="F49" s="289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25"/>
      <c r="T49" s="25"/>
      <c r="U49" s="25"/>
      <c r="V49" s="17"/>
      <c r="W49" s="17"/>
      <c r="X49" s="17"/>
      <c r="Y49" s="17"/>
      <c r="Z49" s="41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</row>
    <row r="50" spans="1:44" x14ac:dyDescent="0.25">
      <c r="A50" s="42"/>
      <c r="B50" s="17"/>
      <c r="C50" s="17"/>
      <c r="D50" s="17"/>
      <c r="E50" s="17"/>
      <c r="F50" s="289"/>
      <c r="G50" s="17"/>
      <c r="H50" s="17"/>
      <c r="I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41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</row>
    <row r="51" spans="1:44" x14ac:dyDescent="0.25">
      <c r="A51" s="42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41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</row>
    <row r="52" spans="1:44" x14ac:dyDescent="0.25">
      <c r="A52" s="42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41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</row>
    <row r="53" spans="1:44" x14ac:dyDescent="0.25">
      <c r="A53" s="42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41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</row>
    <row r="54" spans="1:44" x14ac:dyDescent="0.25">
      <c r="A54" s="42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41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</row>
    <row r="55" spans="1:44" x14ac:dyDescent="0.25">
      <c r="A55" s="42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41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</row>
    <row r="56" spans="1:44" x14ac:dyDescent="0.25">
      <c r="A56" s="42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41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</row>
    <row r="57" spans="1:44" x14ac:dyDescent="0.25">
      <c r="A57" s="42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41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</row>
    <row r="58" spans="1:44" x14ac:dyDescent="0.25">
      <c r="A58" s="42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41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</row>
    <row r="59" spans="1:44" x14ac:dyDescent="0.25">
      <c r="A59" s="42"/>
      <c r="B59" s="17"/>
      <c r="C59" s="17"/>
      <c r="D59" s="17"/>
      <c r="E59" s="17"/>
      <c r="F59" s="17"/>
      <c r="G59" s="17"/>
      <c r="H59" s="17" t="s">
        <v>58</v>
      </c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41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</row>
    <row r="60" spans="1:44" x14ac:dyDescent="0.25">
      <c r="A60" s="42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41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</row>
    <row r="61" spans="1:44" x14ac:dyDescent="0.25">
      <c r="A61" s="42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41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</row>
    <row r="62" spans="1:44" x14ac:dyDescent="0.25">
      <c r="A62" s="42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41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</row>
    <row r="63" spans="1:44" x14ac:dyDescent="0.25">
      <c r="A63" s="42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41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</row>
    <row r="64" spans="1:44" x14ac:dyDescent="0.25">
      <c r="A64" s="42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41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17"/>
    </row>
    <row r="65" spans="1:44" x14ac:dyDescent="0.25">
      <c r="A65" s="42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41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17"/>
    </row>
    <row r="66" spans="1:44" x14ac:dyDescent="0.25">
      <c r="A66" s="42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41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17"/>
    </row>
    <row r="67" spans="1:44" x14ac:dyDescent="0.25">
      <c r="A67" s="42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41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17"/>
    </row>
    <row r="68" spans="1:44" x14ac:dyDescent="0.25">
      <c r="A68" s="42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41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</row>
    <row r="69" spans="1:44" x14ac:dyDescent="0.25">
      <c r="A69" s="42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41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</row>
    <row r="70" spans="1:44" x14ac:dyDescent="0.25">
      <c r="A70" s="42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41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</row>
    <row r="71" spans="1:44" x14ac:dyDescent="0.25">
      <c r="A71" s="42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473"/>
      <c r="R71" s="17"/>
      <c r="S71" s="17"/>
      <c r="T71" s="17"/>
      <c r="U71" s="17"/>
      <c r="V71" s="17"/>
      <c r="W71" s="17"/>
      <c r="X71" s="17"/>
      <c r="Y71" s="17"/>
      <c r="Z71" s="41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</row>
    <row r="72" spans="1:44" x14ac:dyDescent="0.25">
      <c r="A72" s="42" t="s">
        <v>49</v>
      </c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41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</row>
    <row r="73" spans="1:44" ht="16.5" thickBot="1" x14ac:dyDescent="0.3">
      <c r="A73" s="43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5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</row>
    <row r="74" spans="1:44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</row>
    <row r="75" spans="1:44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</row>
    <row r="76" spans="1:44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</row>
    <row r="77" spans="1:44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</row>
    <row r="78" spans="1:44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</row>
    <row r="79" spans="1:44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 t="s">
        <v>49</v>
      </c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</row>
    <row r="80" spans="1:44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</row>
    <row r="81" spans="1:44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</row>
    <row r="82" spans="1:44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</row>
    <row r="83" spans="1:44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</row>
    <row r="84" spans="1:44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  <c r="AR84" s="17"/>
    </row>
    <row r="85" spans="1:44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</row>
    <row r="86" spans="1:44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</row>
    <row r="87" spans="1:44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</row>
    <row r="88" spans="1:44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  <c r="AR88" s="17"/>
    </row>
    <row r="89" spans="1:44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</row>
    <row r="90" spans="1:44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</row>
    <row r="91" spans="1:44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</row>
    <row r="92" spans="1:44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  <c r="AR92" s="17"/>
    </row>
    <row r="93" spans="1:44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  <c r="AR93" s="17"/>
    </row>
    <row r="94" spans="1:44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</row>
    <row r="95" spans="1:44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</row>
    <row r="96" spans="1:44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  <c r="AR96" s="17"/>
    </row>
    <row r="97" spans="1:44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</row>
    <row r="98" spans="1:44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</row>
    <row r="99" spans="1:44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</row>
    <row r="100" spans="1:44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  <c r="AR100" s="17"/>
    </row>
    <row r="101" spans="1:44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</row>
    <row r="102" spans="1:44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</row>
    <row r="103" spans="1:44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</row>
    <row r="104" spans="1:44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</row>
    <row r="105" spans="1:44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</row>
    <row r="106" spans="1:44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</row>
  </sheetData>
  <mergeCells count="13">
    <mergeCell ref="N30:P30"/>
    <mergeCell ref="S31:W31"/>
    <mergeCell ref="E3:J3"/>
    <mergeCell ref="W18:Z18"/>
    <mergeCell ref="Y19:Z19"/>
    <mergeCell ref="Y20:Z20"/>
    <mergeCell ref="Y21:Z21"/>
    <mergeCell ref="Y22:Z22"/>
    <mergeCell ref="B3:C3"/>
    <mergeCell ref="N3:P3"/>
    <mergeCell ref="S3:V3"/>
    <mergeCell ref="T23:U23"/>
    <mergeCell ref="T24:U24"/>
  </mergeCells>
  <dataValidations count="1">
    <dataValidation type="list" allowBlank="1" showInputMessage="1" showErrorMessage="1" sqref="R20:R25" xr:uid="{86CC2793-592D-4474-AA48-3DA67A610F94}">
      <formula1>$E$5:$E$22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3B6F57-0C7A-4F81-8DD5-79C0732BDDA3}">
          <x14:formula1>
            <xm:f>DataBank!$A$8:$A$11</xm:f>
          </x14:formula1>
          <xm:sqref>C13</xm:sqref>
        </x14:dataValidation>
        <x14:dataValidation type="list" allowBlank="1" showInputMessage="1" showErrorMessage="1" xr:uid="{1FCC8403-80FB-1F48-9B48-7C50DE7E9B9B}">
          <x14:formula1>
            <xm:f>DataBank!$F$2:$F$5</xm:f>
          </x14:formula1>
          <xm:sqref>C7</xm:sqref>
        </x14:dataValidation>
        <x14:dataValidation type="list" allowBlank="1" showInputMessage="1" showErrorMessage="1" xr:uid="{C9B508DD-EA39-6143-85F7-55C7CB35492E}">
          <x14:formula1>
            <xm:f>DataBank!$I$2:$I$9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16" sqref="I1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40.140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33" style="3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40" width="27.425781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13"/>
      <c r="AL2" s="113"/>
      <c r="AM2" s="113"/>
      <c r="AN2" s="113"/>
      <c r="AO2" s="124"/>
    </row>
    <row r="3" spans="3:41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7"/>
      <c r="AL3" s="7"/>
      <c r="AM3" s="7"/>
      <c r="AN3" s="7"/>
      <c r="AO3" s="103"/>
    </row>
    <row r="4" spans="3:41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7"/>
      <c r="AL4" s="7"/>
      <c r="AM4" s="7"/>
      <c r="AN4" s="7"/>
      <c r="AO4" s="103"/>
    </row>
    <row r="5" spans="3:41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7"/>
      <c r="AL5" s="7"/>
      <c r="AM5" s="7"/>
      <c r="AN5" s="7"/>
      <c r="AO5" s="103"/>
    </row>
    <row r="6" spans="3:41" x14ac:dyDescent="0.25"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3"/>
      <c r="AL6" s="13"/>
      <c r="AM6" s="13"/>
      <c r="AN6" s="13"/>
      <c r="AO6" s="103"/>
    </row>
    <row r="7" spans="3:41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7"/>
      <c r="AJ7" s="7"/>
      <c r="AK7" s="7"/>
      <c r="AL7" s="7"/>
      <c r="AM7" s="7"/>
      <c r="AN7" s="7"/>
      <c r="AO7" s="103"/>
    </row>
    <row r="8" spans="3:41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3"/>
      <c r="AH8" s="510" t="s">
        <v>11</v>
      </c>
      <c r="AI8" s="511"/>
      <c r="AJ8" s="512"/>
      <c r="AK8" s="126"/>
      <c r="AL8" s="510" t="s">
        <v>12</v>
      </c>
      <c r="AM8" s="511"/>
      <c r="AN8" s="512"/>
      <c r="AO8" s="103"/>
    </row>
    <row r="9" spans="3:41" ht="21.75" thickBot="1" x14ac:dyDescent="0.4">
      <c r="C9" s="102"/>
      <c r="D9" s="81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212" t="s">
        <v>76</v>
      </c>
      <c r="AI9" s="212" t="s">
        <v>141</v>
      </c>
      <c r="AJ9" s="212" t="s">
        <v>1</v>
      </c>
      <c r="AK9" s="125"/>
      <c r="AL9" s="212" t="s">
        <v>141</v>
      </c>
      <c r="AM9" s="212" t="s">
        <v>142</v>
      </c>
      <c r="AN9" s="212" t="s">
        <v>143</v>
      </c>
      <c r="AO9" s="103"/>
    </row>
    <row r="10" spans="3:41" ht="18.75" x14ac:dyDescent="0.3">
      <c r="C10" s="102"/>
      <c r="D10" s="73" t="s">
        <v>2</v>
      </c>
      <c r="E10" s="74"/>
      <c r="F10" s="88"/>
      <c r="G10" s="88"/>
      <c r="H10" s="75" t="s">
        <v>3</v>
      </c>
      <c r="I10" s="76"/>
      <c r="J10" s="88"/>
      <c r="K10" s="88"/>
      <c r="L10" s="88"/>
      <c r="M10" s="73" t="s">
        <v>121</v>
      </c>
      <c r="N10" s="284"/>
      <c r="O10" s="284"/>
      <c r="P10" s="285"/>
      <c r="Q10" s="88"/>
      <c r="R10" s="163"/>
      <c r="S10" s="207"/>
      <c r="T10" s="93"/>
      <c r="U10" s="150"/>
      <c r="V10" s="155"/>
      <c r="W10" s="152"/>
      <c r="X10" s="83"/>
      <c r="Y10" s="153"/>
      <c r="Z10" s="154"/>
      <c r="AA10" s="83"/>
      <c r="AB10" s="201"/>
      <c r="AC10" s="93"/>
      <c r="AD10" s="286"/>
      <c r="AE10" s="93"/>
      <c r="AF10" s="202"/>
      <c r="AG10" s="181"/>
      <c r="AH10" s="287"/>
      <c r="AI10" s="284"/>
      <c r="AJ10" s="203"/>
      <c r="AK10" s="166"/>
      <c r="AL10" s="189"/>
      <c r="AM10" s="190"/>
      <c r="AN10" s="191"/>
      <c r="AO10" s="103"/>
    </row>
    <row r="11" spans="3:41" ht="18.75" x14ac:dyDescent="0.3">
      <c r="C11" s="102"/>
      <c r="D11" s="75" t="s">
        <v>4</v>
      </c>
      <c r="E11" s="154"/>
      <c r="F11" s="88"/>
      <c r="G11" s="88"/>
      <c r="H11" s="75" t="s">
        <v>113</v>
      </c>
      <c r="I11" s="154"/>
      <c r="J11" s="88"/>
      <c r="K11" s="88"/>
      <c r="L11" s="88"/>
      <c r="M11" s="84" t="s">
        <v>122</v>
      </c>
      <c r="N11" s="83"/>
      <c r="O11" s="83"/>
      <c r="P11" s="76"/>
      <c r="Q11" s="88"/>
      <c r="R11" s="163"/>
      <c r="S11" s="152"/>
      <c r="T11" s="83"/>
      <c r="U11" s="154"/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181"/>
      <c r="AH11" s="158"/>
      <c r="AI11" s="186"/>
      <c r="AJ11" s="188"/>
      <c r="AK11" s="166"/>
      <c r="AL11" s="167"/>
      <c r="AM11" s="8"/>
      <c r="AN11" s="192"/>
      <c r="AO11" s="103"/>
    </row>
    <row r="12" spans="3:41" ht="18.75" x14ac:dyDescent="0.3">
      <c r="C12" s="102"/>
      <c r="D12" s="75" t="s">
        <v>90</v>
      </c>
      <c r="E12" s="154" t="s">
        <v>47</v>
      </c>
      <c r="F12" s="88"/>
      <c r="G12" s="88"/>
      <c r="H12" s="75" t="s">
        <v>114</v>
      </c>
      <c r="I12" s="154"/>
      <c r="J12" s="88"/>
      <c r="K12" s="88"/>
      <c r="L12" s="88"/>
      <c r="M12" s="84" t="s">
        <v>123</v>
      </c>
      <c r="N12" s="83"/>
      <c r="O12" s="83"/>
      <c r="P12" s="76"/>
      <c r="Q12" s="88"/>
      <c r="R12" s="163"/>
      <c r="S12" s="187"/>
      <c r="T12" s="83"/>
      <c r="U12" s="188"/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81"/>
      <c r="AH12" s="158"/>
      <c r="AI12" s="186"/>
      <c r="AJ12" s="188"/>
      <c r="AK12" s="166"/>
      <c r="AL12" s="167"/>
      <c r="AM12" s="8"/>
      <c r="AN12" s="192"/>
      <c r="AO12" s="103"/>
    </row>
    <row r="13" spans="3:41" ht="18.75" x14ac:dyDescent="0.3">
      <c r="C13" s="102"/>
      <c r="D13" s="75" t="s">
        <v>102</v>
      </c>
      <c r="E13" s="154"/>
      <c r="F13" s="88"/>
      <c r="G13" s="88"/>
      <c r="H13" s="75" t="s">
        <v>115</v>
      </c>
      <c r="I13" s="154"/>
      <c r="J13" s="88"/>
      <c r="K13" s="88"/>
      <c r="L13" s="88"/>
      <c r="M13" s="84"/>
      <c r="N13" s="83"/>
      <c r="O13" s="83"/>
      <c r="P13" s="76"/>
      <c r="Q13" s="88"/>
      <c r="R13" s="163"/>
      <c r="S13" s="180"/>
      <c r="T13" s="83"/>
      <c r="U13" s="182"/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81"/>
      <c r="AH13" s="158"/>
      <c r="AI13" s="155"/>
      <c r="AJ13" s="157"/>
      <c r="AK13" s="166"/>
      <c r="AL13" s="173"/>
      <c r="AM13" s="8"/>
      <c r="AN13" s="174"/>
      <c r="AO13" s="103"/>
    </row>
    <row r="14" spans="3:41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154"/>
      <c r="J14" s="88"/>
      <c r="K14" s="88"/>
      <c r="L14" s="88"/>
      <c r="M14" s="85"/>
      <c r="N14" s="83"/>
      <c r="O14" s="83"/>
      <c r="P14" s="76"/>
      <c r="Q14" s="88"/>
      <c r="R14" s="163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81"/>
      <c r="AH14" s="158"/>
      <c r="AI14" s="155"/>
      <c r="AJ14" s="157"/>
      <c r="AK14" s="166"/>
      <c r="AL14" s="173"/>
      <c r="AM14" s="8"/>
      <c r="AN14" s="174"/>
      <c r="AO14" s="103"/>
    </row>
    <row r="15" spans="3:41" ht="18.75" x14ac:dyDescent="0.3">
      <c r="C15" s="102"/>
      <c r="D15" s="75" t="s">
        <v>104</v>
      </c>
      <c r="E15" s="76">
        <v>2.6</v>
      </c>
      <c r="F15" s="88"/>
      <c r="G15" s="88"/>
      <c r="H15" s="84" t="s">
        <v>117</v>
      </c>
      <c r="I15" s="76"/>
      <c r="J15" s="88"/>
      <c r="K15" s="88"/>
      <c r="L15" s="88"/>
      <c r="M15" s="85"/>
      <c r="N15" s="83"/>
      <c r="O15" s="83"/>
      <c r="P15" s="76"/>
      <c r="Q15" s="88"/>
      <c r="R15" s="163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81"/>
      <c r="AH15" s="158"/>
      <c r="AI15" s="155"/>
      <c r="AJ15" s="157"/>
      <c r="AK15" s="166"/>
      <c r="AL15" s="173"/>
      <c r="AM15" s="8"/>
      <c r="AN15" s="174"/>
      <c r="AO15" s="103"/>
    </row>
    <row r="16" spans="3:41" ht="18.75" x14ac:dyDescent="0.3">
      <c r="C16" s="102"/>
      <c r="D16" s="75" t="s">
        <v>105</v>
      </c>
      <c r="E16" s="76">
        <v>1.44</v>
      </c>
      <c r="F16" s="88"/>
      <c r="G16" s="88"/>
      <c r="H16" s="84" t="s">
        <v>101</v>
      </c>
      <c r="I16" s="76"/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8"/>
      <c r="AI16" s="83"/>
      <c r="AJ16" s="76"/>
      <c r="AK16" s="88"/>
      <c r="AL16" s="159"/>
      <c r="AM16" s="8"/>
      <c r="AN16" s="86"/>
      <c r="AO16" s="103"/>
    </row>
    <row r="17" spans="3:41" ht="18.75" x14ac:dyDescent="0.3">
      <c r="C17" s="102"/>
      <c r="D17" s="75" t="s">
        <v>106</v>
      </c>
      <c r="E17" s="76"/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83"/>
      <c r="AJ17" s="76"/>
      <c r="AK17" s="88"/>
      <c r="AL17" s="159"/>
      <c r="AM17" s="8"/>
      <c r="AN17" s="86"/>
      <c r="AO17" s="103"/>
    </row>
    <row r="18" spans="3:41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83"/>
      <c r="AJ18" s="76"/>
      <c r="AK18" s="88"/>
      <c r="AL18" s="159"/>
      <c r="AM18" s="8"/>
      <c r="AN18" s="86"/>
      <c r="AO18" s="103"/>
    </row>
    <row r="19" spans="3:41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83"/>
      <c r="AJ19" s="76"/>
      <c r="AK19" s="88"/>
      <c r="AL19" s="159"/>
      <c r="AM19" s="8"/>
      <c r="AN19" s="86"/>
      <c r="AO19" s="103"/>
    </row>
    <row r="20" spans="3:41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83"/>
      <c r="AJ20" s="76"/>
      <c r="AK20" s="88"/>
      <c r="AL20" s="159"/>
      <c r="AM20" s="8"/>
      <c r="AN20" s="86"/>
      <c r="AO20" s="103"/>
    </row>
    <row r="21" spans="3:41" ht="18.75" x14ac:dyDescent="0.3">
      <c r="C21" s="102"/>
      <c r="D21" s="77" t="s">
        <v>110</v>
      </c>
      <c r="E21" s="213" t="s">
        <v>144</v>
      </c>
      <c r="F21" s="88"/>
      <c r="G21" s="88"/>
      <c r="H21" s="159"/>
      <c r="I21" s="7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83"/>
      <c r="AJ21" s="76"/>
      <c r="AK21" s="88"/>
      <c r="AL21" s="159"/>
      <c r="AM21" s="8"/>
      <c r="AN21" s="86"/>
      <c r="AO21" s="103"/>
    </row>
    <row r="22" spans="3:41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83"/>
      <c r="AJ22" s="76"/>
      <c r="AK22" s="88"/>
      <c r="AL22" s="159"/>
      <c r="AM22" s="8"/>
      <c r="AN22" s="86"/>
      <c r="AO22" s="103"/>
    </row>
    <row r="23" spans="3:41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83"/>
      <c r="AJ23" s="76"/>
      <c r="AK23" s="88"/>
      <c r="AL23" s="159"/>
      <c r="AM23" s="8"/>
      <c r="AN23" s="86"/>
      <c r="AO23" s="103"/>
    </row>
    <row r="24" spans="3:41" ht="18.75" x14ac:dyDescent="0.3">
      <c r="C24" s="102"/>
      <c r="D24" s="193" t="s">
        <v>135</v>
      </c>
      <c r="E24" s="76"/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83"/>
      <c r="AJ24" s="76"/>
      <c r="AK24" s="88"/>
      <c r="AL24" s="159"/>
      <c r="AM24" s="8"/>
      <c r="AN24" s="86"/>
      <c r="AO24" s="103"/>
    </row>
    <row r="25" spans="3:41" ht="18.75" x14ac:dyDescent="0.3">
      <c r="C25" s="102"/>
      <c r="D25" s="193" t="s">
        <v>136</v>
      </c>
      <c r="E25" s="76"/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83"/>
      <c r="U25" s="182"/>
      <c r="V25" s="181"/>
      <c r="W25" s="180"/>
      <c r="X25" s="181"/>
      <c r="Y25" s="181"/>
      <c r="Z25" s="182"/>
      <c r="AA25" s="181"/>
      <c r="AB25" s="180"/>
      <c r="AC25" s="83"/>
      <c r="AD25" s="181"/>
      <c r="AE25" s="83"/>
      <c r="AF25" s="182"/>
      <c r="AG25" s="181"/>
      <c r="AH25" s="158"/>
      <c r="AI25" s="83"/>
      <c r="AJ25" s="76"/>
      <c r="AK25" s="88"/>
      <c r="AL25" s="159"/>
      <c r="AM25" s="8"/>
      <c r="AN25" s="86"/>
      <c r="AO25" s="103"/>
    </row>
    <row r="26" spans="3:41" ht="18.75" x14ac:dyDescent="0.3">
      <c r="C26" s="102"/>
      <c r="D26" s="194" t="s">
        <v>139</v>
      </c>
      <c r="E26" s="76"/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83"/>
      <c r="U26" s="182"/>
      <c r="V26" s="181"/>
      <c r="W26" s="180"/>
      <c r="X26" s="181"/>
      <c r="Y26" s="181"/>
      <c r="Z26" s="182"/>
      <c r="AA26" s="181"/>
      <c r="AB26" s="180"/>
      <c r="AC26" s="83"/>
      <c r="AD26" s="181"/>
      <c r="AE26" s="83"/>
      <c r="AF26" s="182"/>
      <c r="AG26" s="181"/>
      <c r="AH26" s="158"/>
      <c r="AI26" s="83"/>
      <c r="AJ26" s="76"/>
      <c r="AK26" s="88"/>
      <c r="AL26" s="159"/>
      <c r="AM26" s="8"/>
      <c r="AN26" s="86"/>
      <c r="AO26" s="103"/>
    </row>
    <row r="27" spans="3:41" ht="19.5" thickBot="1" x14ac:dyDescent="0.35">
      <c r="C27" s="102"/>
      <c r="D27" s="195" t="s">
        <v>145</v>
      </c>
      <c r="E27" s="79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62"/>
      <c r="U27" s="185"/>
      <c r="V27" s="181"/>
      <c r="W27" s="183"/>
      <c r="X27" s="184"/>
      <c r="Y27" s="184"/>
      <c r="Z27" s="185"/>
      <c r="AA27" s="181"/>
      <c r="AB27" s="183"/>
      <c r="AC27" s="162"/>
      <c r="AD27" s="184"/>
      <c r="AE27" s="162"/>
      <c r="AF27" s="185"/>
      <c r="AG27" s="181"/>
      <c r="AH27" s="161"/>
      <c r="AI27" s="162"/>
      <c r="AJ27" s="79"/>
      <c r="AK27" s="88"/>
      <c r="AL27" s="160"/>
      <c r="AM27" s="197"/>
      <c r="AN27" s="90"/>
      <c r="AO27" s="103"/>
    </row>
    <row r="28" spans="3:41" ht="15.75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1"/>
      <c r="AI28" s="7"/>
      <c r="AJ28" s="7"/>
      <c r="AK28" s="7"/>
      <c r="AL28" s="7"/>
      <c r="AM28" s="12"/>
      <c r="AN28" s="7"/>
      <c r="AO28" s="103"/>
    </row>
    <row r="29" spans="3:41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1"/>
      <c r="AI29" s="7"/>
      <c r="AJ29" s="7"/>
      <c r="AK29" s="7"/>
      <c r="AL29" s="7"/>
      <c r="AM29" s="12"/>
      <c r="AN29" s="7"/>
      <c r="AO29" s="103"/>
    </row>
    <row r="30" spans="3:41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1"/>
      <c r="AI30" s="7"/>
      <c r="AJ30" s="7"/>
      <c r="AK30" s="7"/>
      <c r="AL30" s="7"/>
      <c r="AM30" s="12"/>
      <c r="AN30" s="7"/>
      <c r="AO30" s="103"/>
    </row>
    <row r="31" spans="3:41" x14ac:dyDescent="0.25">
      <c r="C31" s="102"/>
      <c r="D31" s="7"/>
      <c r="E31" s="7"/>
      <c r="F31" s="7"/>
      <c r="G31" s="7"/>
      <c r="H31" s="133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7"/>
      <c r="AL31" s="7"/>
      <c r="AM31" s="7"/>
      <c r="AN31" s="7"/>
      <c r="AO31" s="103"/>
    </row>
    <row r="32" spans="3:41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7"/>
      <c r="AL32" s="7"/>
      <c r="AM32" s="7"/>
      <c r="AN32" s="7"/>
      <c r="AO32" s="103"/>
    </row>
    <row r="33" spans="3:41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7"/>
      <c r="AL33" s="7"/>
      <c r="AM33" s="7"/>
      <c r="AN33" s="7"/>
      <c r="AO33" s="103"/>
    </row>
    <row r="34" spans="3:41" x14ac:dyDescent="0.25">
      <c r="C34" s="102"/>
      <c r="D34" s="7"/>
      <c r="E34" s="7"/>
      <c r="F34" s="7"/>
      <c r="G34" s="7"/>
      <c r="H34" s="7"/>
      <c r="I34" s="133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7"/>
      <c r="AL34" s="7"/>
      <c r="AM34" s="7"/>
      <c r="AN34" s="7"/>
      <c r="AO34" s="103"/>
    </row>
    <row r="35" spans="3:41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7"/>
      <c r="AL35" s="7"/>
      <c r="AM35" s="7"/>
      <c r="AN35" s="7"/>
      <c r="AO35" s="103"/>
    </row>
    <row r="36" spans="3:41" x14ac:dyDescent="0.25">
      <c r="C36" s="102"/>
      <c r="D36" s="7"/>
      <c r="E36" s="7"/>
      <c r="F36" s="7"/>
      <c r="G36" s="7"/>
      <c r="H36" s="133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7"/>
      <c r="AL36" s="7"/>
      <c r="AM36" s="7"/>
      <c r="AN36" s="7"/>
      <c r="AO36" s="103"/>
    </row>
    <row r="37" spans="3:41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7"/>
      <c r="AL37" s="7"/>
      <c r="AM37" s="7"/>
      <c r="AN37" s="7"/>
      <c r="AO37" s="103"/>
    </row>
    <row r="38" spans="3:41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7"/>
      <c r="AL38" s="7"/>
      <c r="AM38" s="7"/>
      <c r="AN38" s="7"/>
      <c r="AO38" s="103"/>
    </row>
    <row r="39" spans="3:41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7"/>
      <c r="AL39" s="7"/>
      <c r="AM39" s="7"/>
      <c r="AN39" s="7"/>
      <c r="AO39" s="103"/>
    </row>
    <row r="40" spans="3:41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7"/>
      <c r="AL40" s="7"/>
      <c r="AM40" s="7"/>
      <c r="AN40" s="7"/>
      <c r="AO40" s="103"/>
    </row>
    <row r="41" spans="3:41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7"/>
      <c r="AL41" s="7"/>
      <c r="AM41" s="7"/>
      <c r="AN41" s="7"/>
      <c r="AO41" s="103"/>
    </row>
    <row r="42" spans="3:41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7"/>
      <c r="AL42" s="7"/>
      <c r="AM42" s="7"/>
      <c r="AN42" s="7"/>
      <c r="AO42" s="103"/>
    </row>
    <row r="43" spans="3:41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7"/>
      <c r="AL43" s="7"/>
      <c r="AM43" s="7"/>
      <c r="AN43" s="7"/>
      <c r="AO43" s="103"/>
    </row>
    <row r="44" spans="3:41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7"/>
      <c r="AL44" s="7"/>
      <c r="AM44" s="7"/>
      <c r="AN44" s="7"/>
      <c r="AO44" s="103"/>
    </row>
    <row r="45" spans="3:41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7"/>
      <c r="AL45" s="7"/>
      <c r="AM45" s="7"/>
      <c r="AN45" s="7"/>
      <c r="AO45" s="103"/>
    </row>
    <row r="46" spans="3:41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7"/>
      <c r="AL46" s="7"/>
      <c r="AM46" s="7"/>
      <c r="AN46" s="7"/>
      <c r="AO46" s="103"/>
    </row>
    <row r="47" spans="3:41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7"/>
      <c r="AL47" s="7"/>
      <c r="AM47" s="7"/>
      <c r="AN47" s="7"/>
      <c r="AO47" s="103"/>
    </row>
    <row r="48" spans="3:41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7"/>
      <c r="AL48" s="7"/>
      <c r="AM48" s="7"/>
      <c r="AN48" s="7"/>
      <c r="AO48" s="103"/>
    </row>
    <row r="49" spans="3:41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7"/>
      <c r="AL49" s="7"/>
      <c r="AM49" s="7"/>
      <c r="AN49" s="7"/>
      <c r="AO49" s="103"/>
    </row>
    <row r="50" spans="3:41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7"/>
      <c r="AL50" s="7"/>
      <c r="AM50" s="7"/>
      <c r="AN50" s="7"/>
      <c r="AO50" s="103"/>
    </row>
    <row r="51" spans="3:41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7"/>
      <c r="AL51" s="7"/>
      <c r="AM51" s="7"/>
      <c r="AN51" s="7"/>
      <c r="AO51" s="103"/>
    </row>
    <row r="52" spans="3:41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7"/>
      <c r="AL52" s="7"/>
      <c r="AM52" s="7"/>
      <c r="AN52" s="7"/>
      <c r="AO52" s="103"/>
    </row>
    <row r="53" spans="3:41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7"/>
      <c r="AL53" s="7"/>
      <c r="AM53" s="7"/>
      <c r="AN53" s="7"/>
      <c r="AO53" s="103"/>
    </row>
    <row r="54" spans="3:41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7"/>
      <c r="AL54" s="7"/>
      <c r="AM54" s="7"/>
      <c r="AN54" s="7"/>
      <c r="AO54" s="103"/>
    </row>
    <row r="55" spans="3:41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7"/>
      <c r="AL55" s="7"/>
      <c r="AM55" s="7"/>
      <c r="AN55" s="7"/>
      <c r="AO55" s="103"/>
    </row>
    <row r="56" spans="3:41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7"/>
      <c r="AL56" s="7"/>
      <c r="AM56" s="7"/>
      <c r="AN56" s="7"/>
      <c r="AO56" s="103"/>
    </row>
    <row r="57" spans="3:41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7"/>
      <c r="AL57" s="7"/>
      <c r="AM57" s="7"/>
      <c r="AN57" s="7"/>
      <c r="AO57" s="103"/>
    </row>
    <row r="58" spans="3:41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7"/>
      <c r="AL58" s="7"/>
      <c r="AM58" s="7"/>
      <c r="AN58" s="7"/>
      <c r="AO58" s="103"/>
    </row>
    <row r="59" spans="3:41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7"/>
      <c r="AL59" s="7"/>
      <c r="AM59" s="7"/>
      <c r="AN59" s="7"/>
      <c r="AO59" s="103"/>
    </row>
    <row r="60" spans="3:41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7"/>
      <c r="AL60" s="7"/>
      <c r="AM60" s="7"/>
      <c r="AN60" s="7"/>
      <c r="AO60" s="103"/>
    </row>
    <row r="61" spans="3:41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7"/>
      <c r="AL61" s="7"/>
      <c r="AM61" s="7"/>
      <c r="AN61" s="7"/>
      <c r="AO61" s="103"/>
    </row>
    <row r="62" spans="3:41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7"/>
      <c r="AL62" s="7"/>
      <c r="AM62" s="7"/>
      <c r="AN62" s="7"/>
      <c r="AO62" s="103"/>
    </row>
    <row r="63" spans="3:41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7"/>
      <c r="AL63" s="7"/>
      <c r="AM63" s="7"/>
      <c r="AN63" s="7"/>
      <c r="AO63" s="103"/>
    </row>
    <row r="64" spans="3:41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7"/>
      <c r="AL64" s="7"/>
      <c r="AM64" s="7"/>
      <c r="AN64" s="7"/>
      <c r="AO64" s="103"/>
    </row>
    <row r="65" spans="3:41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7"/>
      <c r="AL65" s="7"/>
      <c r="AM65" s="7"/>
      <c r="AN65" s="7"/>
      <c r="AO65" s="103"/>
    </row>
    <row r="66" spans="3:41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7"/>
      <c r="AL66" s="7"/>
      <c r="AM66" s="7"/>
      <c r="AN66" s="7"/>
      <c r="AO66" s="103"/>
    </row>
    <row r="67" spans="3:41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7"/>
      <c r="AL67" s="7"/>
      <c r="AM67" s="7"/>
      <c r="AN67" s="7"/>
      <c r="AO67" s="103"/>
    </row>
    <row r="68" spans="3:41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7"/>
      <c r="AL68" s="7"/>
      <c r="AM68" s="7"/>
      <c r="AN68" s="7"/>
      <c r="AO68" s="103"/>
    </row>
    <row r="69" spans="3:41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7"/>
      <c r="AL69" s="7"/>
      <c r="AM69" s="7"/>
      <c r="AN69" s="7"/>
      <c r="AO69" s="103"/>
    </row>
    <row r="70" spans="3:41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04"/>
      <c r="AL70" s="104"/>
      <c r="AM70" s="104"/>
      <c r="AN70" s="104"/>
      <c r="AO70" s="70"/>
    </row>
    <row r="130" spans="18:18" x14ac:dyDescent="0.25">
      <c r="R130" s="3" t="s">
        <v>49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 N11:P11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I17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C3B07B75-B096-4DB6-8885-A64DBEFCE27A}">
          <x14:formula1>
            <xm:f>Systemblatt!$E$5:$E$23</xm:f>
          </x14:formula1>
          <xm:sqref>I16 N12:P27 AH10:AH27 AC10:AC27 T10:T27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M10" sqref="M10:P2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81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30" t="s">
        <v>131</v>
      </c>
      <c r="AC9" s="130" t="s">
        <v>130</v>
      </c>
      <c r="AD9" s="130" t="s">
        <v>8</v>
      </c>
      <c r="AE9" s="130" t="s">
        <v>132</v>
      </c>
      <c r="AF9" s="130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73" t="s">
        <v>2</v>
      </c>
      <c r="E10" s="74"/>
      <c r="F10" s="7"/>
      <c r="G10" s="7"/>
      <c r="H10" s="73" t="s">
        <v>3</v>
      </c>
      <c r="I10" s="74"/>
      <c r="J10" s="7"/>
      <c r="K10" s="7"/>
      <c r="L10" s="7"/>
      <c r="M10" s="73" t="s">
        <v>121</v>
      </c>
      <c r="N10" s="93"/>
      <c r="O10" s="93"/>
      <c r="P10" s="74"/>
      <c r="Q10" s="7"/>
      <c r="R10" s="7"/>
      <c r="S10" s="201"/>
      <c r="T10" s="93"/>
      <c r="U10" s="202"/>
      <c r="V10" s="94"/>
      <c r="W10" s="152"/>
      <c r="X10" s="83"/>
      <c r="Y10" s="153"/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75" t="s">
        <v>4</v>
      </c>
      <c r="E11" s="76"/>
      <c r="F11" s="7"/>
      <c r="G11" s="7"/>
      <c r="H11" s="75" t="s">
        <v>113</v>
      </c>
      <c r="I11" s="76"/>
      <c r="J11" s="7"/>
      <c r="K11" s="7"/>
      <c r="L11" s="7"/>
      <c r="M11" s="84" t="s">
        <v>122</v>
      </c>
      <c r="N11" s="83"/>
      <c r="O11" s="83"/>
      <c r="P11" s="76"/>
      <c r="Q11" s="7"/>
      <c r="R11" s="7"/>
      <c r="S11" s="156"/>
      <c r="T11" s="83"/>
      <c r="U11" s="157"/>
      <c r="V11" s="94"/>
      <c r="W11" s="158"/>
      <c r="X11" s="83"/>
      <c r="Y11" s="155"/>
      <c r="Z11" s="157"/>
      <c r="AA11" s="20"/>
      <c r="AB11" s="156"/>
      <c r="AC11" s="83"/>
      <c r="AD11" s="155"/>
      <c r="AE11" s="83"/>
      <c r="AF11" s="157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75" t="s">
        <v>90</v>
      </c>
      <c r="E12" s="76"/>
      <c r="F12" s="7"/>
      <c r="G12" s="7"/>
      <c r="H12" s="75" t="s">
        <v>114</v>
      </c>
      <c r="I12" s="76"/>
      <c r="J12" s="7"/>
      <c r="K12" s="7"/>
      <c r="L12" s="7"/>
      <c r="M12" s="84" t="s">
        <v>123</v>
      </c>
      <c r="N12" s="83"/>
      <c r="O12" s="83"/>
      <c r="P12" s="76"/>
      <c r="Q12" s="7"/>
      <c r="R12" s="7"/>
      <c r="S12" s="156"/>
      <c r="T12" s="83"/>
      <c r="U12" s="157"/>
      <c r="V12" s="94"/>
      <c r="W12" s="158"/>
      <c r="X12" s="83"/>
      <c r="Y12" s="49"/>
      <c r="Z12" s="34"/>
      <c r="AA12" s="46"/>
      <c r="AB12" s="56"/>
      <c r="AC12" s="83"/>
      <c r="AD12" s="49"/>
      <c r="AE12" s="83"/>
      <c r="AF12" s="157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75" t="s">
        <v>102</v>
      </c>
      <c r="E13" s="76"/>
      <c r="F13" s="7"/>
      <c r="G13" s="7"/>
      <c r="H13" s="75" t="s">
        <v>115</v>
      </c>
      <c r="I13" s="76"/>
      <c r="J13" s="7"/>
      <c r="K13" s="7"/>
      <c r="L13" s="7"/>
      <c r="M13" s="84"/>
      <c r="N13" s="83"/>
      <c r="O13" s="83"/>
      <c r="P13" s="76"/>
      <c r="Q13" s="7"/>
      <c r="R13" s="7"/>
      <c r="S13" s="56"/>
      <c r="T13" s="83"/>
      <c r="U13" s="34"/>
      <c r="V13" s="46"/>
      <c r="W13" s="158"/>
      <c r="X13" s="83"/>
      <c r="Y13" s="49"/>
      <c r="Z13" s="34"/>
      <c r="AA13" s="46"/>
      <c r="AB13" s="56"/>
      <c r="AC13" s="83"/>
      <c r="AD13" s="49"/>
      <c r="AE13" s="83"/>
      <c r="AF13" s="157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75" t="s">
        <v>103</v>
      </c>
      <c r="E14" s="76">
        <v>20</v>
      </c>
      <c r="F14" s="7"/>
      <c r="G14" s="7"/>
      <c r="H14" s="75" t="s">
        <v>116</v>
      </c>
      <c r="I14" s="76"/>
      <c r="J14" s="7"/>
      <c r="K14" s="7"/>
      <c r="L14" s="7"/>
      <c r="M14" s="85"/>
      <c r="N14" s="83"/>
      <c r="O14" s="83"/>
      <c r="P14" s="76"/>
      <c r="Q14" s="7"/>
      <c r="R14" s="7"/>
      <c r="S14" s="56"/>
      <c r="T14" s="83"/>
      <c r="U14" s="34"/>
      <c r="V14" s="46"/>
      <c r="W14" s="158"/>
      <c r="X14" s="83"/>
      <c r="Y14" s="49"/>
      <c r="Z14" s="34"/>
      <c r="AA14" s="46"/>
      <c r="AB14" s="56"/>
      <c r="AC14" s="83"/>
      <c r="AD14" s="49"/>
      <c r="AE14" s="83"/>
      <c r="AF14" s="157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75" t="s">
        <v>104</v>
      </c>
      <c r="E15" s="76">
        <v>2.6</v>
      </c>
      <c r="F15" s="7"/>
      <c r="G15" s="7"/>
      <c r="H15" s="84" t="s">
        <v>117</v>
      </c>
      <c r="I15" s="76"/>
      <c r="J15" s="7"/>
      <c r="K15" s="7"/>
      <c r="L15" s="7"/>
      <c r="M15" s="85"/>
      <c r="N15" s="83"/>
      <c r="O15" s="83"/>
      <c r="P15" s="76"/>
      <c r="Q15" s="7"/>
      <c r="R15" s="7"/>
      <c r="S15" s="56"/>
      <c r="T15" s="83"/>
      <c r="U15" s="34"/>
      <c r="V15" s="46"/>
      <c r="W15" s="158"/>
      <c r="X15" s="83"/>
      <c r="Y15" s="83"/>
      <c r="Z15" s="76"/>
      <c r="AA15" s="20"/>
      <c r="AB15" s="158"/>
      <c r="AC15" s="83"/>
      <c r="AD15" s="83"/>
      <c r="AE15" s="83"/>
      <c r="AF15" s="157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75" t="s">
        <v>105</v>
      </c>
      <c r="E16" s="76">
        <v>1.44</v>
      </c>
      <c r="F16" s="7"/>
      <c r="G16" s="7"/>
      <c r="H16" s="84" t="s">
        <v>101</v>
      </c>
      <c r="I16" s="76"/>
      <c r="J16" s="7"/>
      <c r="K16" s="7"/>
      <c r="L16" s="7"/>
      <c r="M16" s="85"/>
      <c r="N16" s="83"/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75" t="s">
        <v>106</v>
      </c>
      <c r="E17" s="76"/>
      <c r="F17" s="7"/>
      <c r="G17" s="7"/>
      <c r="H17" s="84"/>
      <c r="I17" s="76"/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86"/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75" t="s">
        <v>108</v>
      </c>
      <c r="E19" s="76"/>
      <c r="F19" s="7"/>
      <c r="G19" s="7"/>
      <c r="H19" s="85"/>
      <c r="I19" s="86"/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86"/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528"/>
      <c r="E47" s="528"/>
      <c r="F47" s="528"/>
      <c r="G47" s="528"/>
      <c r="H47" s="528"/>
      <c r="I47" s="528"/>
      <c r="J47" s="528"/>
      <c r="K47" s="528"/>
      <c r="L47" s="528"/>
      <c r="M47" s="7"/>
      <c r="N47" s="7"/>
      <c r="O47" s="7"/>
      <c r="P47" s="11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125"/>
      <c r="E48" s="125"/>
      <c r="F48" s="125"/>
      <c r="G48" s="125"/>
      <c r="H48" s="125"/>
      <c r="I48" s="125"/>
      <c r="J48" s="125"/>
      <c r="K48" s="125"/>
      <c r="L48" s="12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11"/>
      <c r="E49" s="11"/>
      <c r="F49" s="11"/>
      <c r="G49" s="9"/>
      <c r="H49" s="11"/>
      <c r="I49" s="12"/>
      <c r="J49" s="12"/>
      <c r="K49" s="12"/>
      <c r="L49" s="12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11"/>
      <c r="E50" s="11"/>
      <c r="F50" s="11"/>
      <c r="G50" s="9"/>
      <c r="H50" s="11"/>
      <c r="I50" s="12"/>
      <c r="J50" s="12"/>
      <c r="K50" s="12"/>
      <c r="L50" s="12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11"/>
      <c r="E51" s="11"/>
      <c r="F51" s="11"/>
      <c r="G51" s="9"/>
      <c r="H51" s="11"/>
      <c r="I51" s="12"/>
      <c r="J51" s="12"/>
      <c r="K51" s="12"/>
      <c r="L51" s="12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11"/>
      <c r="E52" s="11"/>
      <c r="F52" s="11"/>
      <c r="G52" s="9"/>
      <c r="H52" s="10"/>
      <c r="I52" s="10"/>
      <c r="J52" s="10"/>
      <c r="K52" s="10"/>
      <c r="L52" s="10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11"/>
      <c r="E53" s="11"/>
      <c r="F53" s="11"/>
      <c r="G53" s="9"/>
      <c r="H53" s="10"/>
      <c r="I53" s="10"/>
      <c r="J53" s="10"/>
      <c r="K53" s="10"/>
      <c r="L53" s="10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11"/>
      <c r="E54" s="11"/>
      <c r="F54" s="11"/>
      <c r="G54" s="9"/>
      <c r="H54" s="10"/>
      <c r="I54" s="10"/>
      <c r="J54" s="10"/>
      <c r="K54" s="10"/>
      <c r="L54" s="10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J16:K17 I17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FE21FEE6-2227-4CC7-9348-C3CD0366ECD4}">
          <x14:formula1>
            <xm:f>Systemblatt!$E$5:$E$23</xm:f>
          </x14:formula1>
          <xm:sqref>I16 N12:P22 AC10:AC24 T10:T24 AE10:AE24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C1:AU137"/>
  <sheetViews>
    <sheetView topLeftCell="H1" zoomScale="58" zoomScaleNormal="58" workbookViewId="0">
      <selection activeCell="O19" sqref="O1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28515625" style="3" customWidth="1"/>
    <col min="5" max="5" width="21.85546875" style="3" customWidth="1"/>
    <col min="6" max="6" width="15.28515625" style="3" customWidth="1"/>
    <col min="7" max="7" width="6.28515625" style="3" customWidth="1"/>
    <col min="8" max="8" width="24.85546875" style="3" customWidth="1"/>
    <col min="9" max="11" width="15.28515625" style="3" customWidth="1"/>
    <col min="12" max="12" width="4.28515625" style="3" customWidth="1"/>
    <col min="13" max="13" width="27.42578125" style="3" customWidth="1"/>
    <col min="14" max="14" width="15.28515625" style="3" customWidth="1"/>
    <col min="15" max="15" width="31" style="3" customWidth="1"/>
    <col min="16" max="16" width="27.140625" style="3" customWidth="1"/>
    <col min="17" max="18" width="15.28515625" style="3" customWidth="1"/>
    <col min="19" max="21" width="20.140625" style="3" customWidth="1"/>
    <col min="22" max="22" width="10.85546875" style="3"/>
    <col min="23" max="23" width="16.140625" style="3" customWidth="1"/>
    <col min="24" max="24" width="23" style="3" customWidth="1"/>
    <col min="25" max="25" width="20.7109375" style="3" customWidth="1"/>
    <col min="26" max="26" width="22.7109375" style="3" customWidth="1"/>
    <col min="27" max="28" width="10.85546875" style="3"/>
    <col min="29" max="29" width="19.710937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28515625" style="3" customWidth="1"/>
    <col min="35" max="35" width="15.140625" style="3" customWidth="1"/>
    <col min="36" max="37" width="10.85546875" style="3"/>
    <col min="38" max="38" width="14" style="3" bestFit="1" customWidth="1"/>
    <col min="39" max="39" width="19.140625" style="3" bestFit="1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3:47" x14ac:dyDescent="0.25"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24"/>
    </row>
    <row r="4" spans="3:47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03"/>
    </row>
    <row r="5" spans="3:47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03"/>
    </row>
    <row r="6" spans="3:47" x14ac:dyDescent="0.25"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3"/>
      <c r="AL6" s="13"/>
      <c r="AM6" s="13"/>
      <c r="AN6" s="13"/>
      <c r="AO6" s="7"/>
      <c r="AP6" s="103"/>
    </row>
    <row r="7" spans="3:47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7"/>
      <c r="AJ7" s="7"/>
      <c r="AK7" s="7"/>
      <c r="AL7" s="7"/>
      <c r="AM7" s="7"/>
      <c r="AN7" s="7"/>
      <c r="AO7" s="7"/>
      <c r="AP7" s="103"/>
    </row>
    <row r="8" spans="3:47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7"/>
      <c r="AH8" s="525" t="s">
        <v>11</v>
      </c>
      <c r="AI8" s="526"/>
      <c r="AJ8" s="527"/>
      <c r="AK8" s="16"/>
      <c r="AL8" s="525" t="s">
        <v>12</v>
      </c>
      <c r="AM8" s="526"/>
      <c r="AN8" s="527"/>
      <c r="AO8" s="7"/>
      <c r="AP8" s="103"/>
    </row>
    <row r="9" spans="3:47" ht="21.75" thickBot="1" x14ac:dyDescent="0.4">
      <c r="C9" s="102"/>
      <c r="D9" s="81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7"/>
      <c r="AH9" s="214" t="s">
        <v>76</v>
      </c>
      <c r="AI9" s="100" t="s">
        <v>141</v>
      </c>
      <c r="AJ9" s="214" t="s">
        <v>1</v>
      </c>
      <c r="AK9" s="15"/>
      <c r="AL9" s="100" t="s">
        <v>141</v>
      </c>
      <c r="AM9" s="100" t="s">
        <v>142</v>
      </c>
      <c r="AN9" s="100" t="s">
        <v>143</v>
      </c>
      <c r="AO9" s="7"/>
      <c r="AP9" s="103"/>
    </row>
    <row r="10" spans="3:47" ht="18.75" x14ac:dyDescent="0.3">
      <c r="C10" s="102"/>
      <c r="D10" s="73" t="s">
        <v>2</v>
      </c>
      <c r="E10" s="74"/>
      <c r="F10" s="88"/>
      <c r="G10" s="88"/>
      <c r="H10" s="75" t="s">
        <v>3</v>
      </c>
      <c r="I10" s="76"/>
      <c r="J10" s="88"/>
      <c r="K10" s="88"/>
      <c r="L10" s="88"/>
      <c r="M10" s="73" t="s">
        <v>121</v>
      </c>
      <c r="N10" s="93"/>
      <c r="O10" s="93"/>
      <c r="P10" s="74"/>
      <c r="Q10" s="88"/>
      <c r="R10" s="88"/>
      <c r="S10" s="201"/>
      <c r="T10" s="93"/>
      <c r="U10" s="202"/>
      <c r="V10" s="155"/>
      <c r="W10" s="152"/>
      <c r="X10" s="83"/>
      <c r="Y10" s="153"/>
      <c r="Z10" s="154"/>
      <c r="AA10" s="83"/>
      <c r="AB10" s="288"/>
      <c r="AC10" s="93"/>
      <c r="AD10" s="284"/>
      <c r="AE10" s="93"/>
      <c r="AF10" s="203"/>
      <c r="AG10" s="83"/>
      <c r="AH10" s="287"/>
      <c r="AI10" s="284"/>
      <c r="AJ10" s="203"/>
      <c r="AK10" s="155"/>
      <c r="AL10" s="288"/>
      <c r="AM10" s="93"/>
      <c r="AN10" s="203"/>
      <c r="AO10" s="7"/>
      <c r="AP10" s="103"/>
      <c r="AQ10" s="7"/>
      <c r="AR10" s="7"/>
      <c r="AS10" s="7"/>
      <c r="AT10" s="7"/>
      <c r="AU10" s="7"/>
    </row>
    <row r="11" spans="3:47" ht="18.75" x14ac:dyDescent="0.3">
      <c r="C11" s="102"/>
      <c r="D11" s="75" t="s">
        <v>4</v>
      </c>
      <c r="E11" s="76"/>
      <c r="F11" s="88"/>
      <c r="G11" s="88"/>
      <c r="H11" s="75" t="s">
        <v>113</v>
      </c>
      <c r="I11" s="76"/>
      <c r="J11" s="88"/>
      <c r="K11" s="88"/>
      <c r="L11" s="88"/>
      <c r="M11" s="84" t="s">
        <v>122</v>
      </c>
      <c r="N11" s="83"/>
      <c r="O11" s="83"/>
      <c r="P11" s="76"/>
      <c r="Q11" s="88"/>
      <c r="R11" s="88"/>
      <c r="S11" s="156"/>
      <c r="T11" s="83"/>
      <c r="U11" s="157"/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83"/>
      <c r="AH11" s="158"/>
      <c r="AI11" s="186"/>
      <c r="AJ11" s="188"/>
      <c r="AK11" s="155"/>
      <c r="AL11" s="187"/>
      <c r="AM11" s="83"/>
      <c r="AN11" s="188"/>
      <c r="AO11" s="7"/>
      <c r="AP11" s="103"/>
      <c r="AQ11" s="7"/>
      <c r="AR11" s="7"/>
      <c r="AS11" s="7"/>
      <c r="AT11" s="7"/>
      <c r="AU11" s="7"/>
    </row>
    <row r="12" spans="3:47" ht="18.75" x14ac:dyDescent="0.3">
      <c r="C12" s="102"/>
      <c r="D12" s="75" t="s">
        <v>90</v>
      </c>
      <c r="E12" s="76" t="s">
        <v>52</v>
      </c>
      <c r="F12" s="88"/>
      <c r="G12" s="88"/>
      <c r="H12" s="75" t="s">
        <v>114</v>
      </c>
      <c r="I12" s="76"/>
      <c r="J12" s="88"/>
      <c r="K12" s="88"/>
      <c r="L12" s="88"/>
      <c r="M12" s="84" t="s">
        <v>123</v>
      </c>
      <c r="N12" s="83"/>
      <c r="O12" s="83"/>
      <c r="P12" s="76"/>
      <c r="Q12" s="88"/>
      <c r="R12" s="88"/>
      <c r="S12" s="156"/>
      <c r="T12" s="83"/>
      <c r="U12" s="157"/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83"/>
      <c r="AH12" s="158"/>
      <c r="AI12" s="186"/>
      <c r="AJ12" s="188"/>
      <c r="AK12" s="155"/>
      <c r="AL12" s="187"/>
      <c r="AM12" s="83"/>
      <c r="AN12" s="188"/>
      <c r="AO12" s="7"/>
      <c r="AP12" s="103"/>
      <c r="AQ12" s="7"/>
      <c r="AR12" s="7"/>
      <c r="AS12" s="7"/>
      <c r="AT12" s="7"/>
      <c r="AU12" s="7"/>
    </row>
    <row r="13" spans="3:47" ht="18.75" x14ac:dyDescent="0.3">
      <c r="C13" s="102"/>
      <c r="D13" s="75" t="s">
        <v>102</v>
      </c>
      <c r="E13" s="76"/>
      <c r="F13" s="88"/>
      <c r="G13" s="88"/>
      <c r="H13" s="75" t="s">
        <v>115</v>
      </c>
      <c r="I13" s="76"/>
      <c r="J13" s="88"/>
      <c r="K13" s="88"/>
      <c r="L13" s="88"/>
      <c r="M13" s="84"/>
      <c r="N13" s="83"/>
      <c r="O13" s="83"/>
      <c r="P13" s="76"/>
      <c r="Q13" s="88"/>
      <c r="R13" s="88"/>
      <c r="S13" s="56"/>
      <c r="T13" s="83"/>
      <c r="U13" s="34"/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83"/>
      <c r="AH13" s="158"/>
      <c r="AI13" s="186"/>
      <c r="AJ13" s="188"/>
      <c r="AK13" s="155"/>
      <c r="AL13" s="180"/>
      <c r="AM13" s="83"/>
      <c r="AN13" s="182"/>
      <c r="AO13" s="7"/>
      <c r="AP13" s="103"/>
      <c r="AQ13" s="7"/>
      <c r="AR13" s="7"/>
      <c r="AS13" s="7"/>
      <c r="AT13" s="7"/>
      <c r="AU13" s="7"/>
    </row>
    <row r="14" spans="3:47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76"/>
      <c r="J14" s="88"/>
      <c r="K14" s="88"/>
      <c r="L14" s="88"/>
      <c r="M14" s="85"/>
      <c r="N14" s="83"/>
      <c r="O14" s="83"/>
      <c r="P14" s="76"/>
      <c r="Q14" s="88"/>
      <c r="R14" s="88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83"/>
      <c r="AH14" s="158"/>
      <c r="AI14" s="186"/>
      <c r="AJ14" s="188"/>
      <c r="AK14" s="155"/>
      <c r="AL14" s="56"/>
      <c r="AM14" s="83"/>
      <c r="AN14" s="34"/>
      <c r="AO14" s="7"/>
      <c r="AP14" s="103"/>
      <c r="AQ14" s="7"/>
      <c r="AR14" s="7"/>
      <c r="AS14" s="7"/>
      <c r="AT14" s="7"/>
      <c r="AU14" s="7"/>
    </row>
    <row r="15" spans="3:47" ht="18.75" x14ac:dyDescent="0.3">
      <c r="C15" s="102"/>
      <c r="D15" s="75" t="s">
        <v>104</v>
      </c>
      <c r="E15" s="204">
        <v>2.6</v>
      </c>
      <c r="F15" s="88"/>
      <c r="G15" s="88"/>
      <c r="H15" s="84" t="s">
        <v>117</v>
      </c>
      <c r="I15" s="76" t="s">
        <v>59</v>
      </c>
      <c r="J15" s="88"/>
      <c r="K15" s="88"/>
      <c r="L15" s="88"/>
      <c r="M15" s="85"/>
      <c r="N15" s="83"/>
      <c r="O15" s="83"/>
      <c r="P15" s="76"/>
      <c r="Q15" s="88"/>
      <c r="R15" s="88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83"/>
      <c r="AH15" s="158"/>
      <c r="AI15" s="186"/>
      <c r="AJ15" s="188"/>
      <c r="AK15" s="155"/>
      <c r="AL15" s="56"/>
      <c r="AM15" s="83"/>
      <c r="AN15" s="34"/>
      <c r="AO15" s="7"/>
      <c r="AP15" s="103"/>
      <c r="AQ15" s="7"/>
      <c r="AR15" s="7"/>
      <c r="AS15" s="7"/>
      <c r="AT15" s="7"/>
      <c r="AU15" s="7"/>
    </row>
    <row r="16" spans="3:47" ht="18.75" x14ac:dyDescent="0.3">
      <c r="C16" s="102"/>
      <c r="D16" s="75" t="s">
        <v>105</v>
      </c>
      <c r="E16" s="204">
        <v>1.44</v>
      </c>
      <c r="F16" s="88"/>
      <c r="G16" s="88"/>
      <c r="H16" s="84" t="s">
        <v>101</v>
      </c>
      <c r="I16" s="76"/>
      <c r="J16" s="88"/>
      <c r="K16" s="88"/>
      <c r="L16" s="88"/>
      <c r="M16" s="85"/>
      <c r="N16" s="83"/>
      <c r="O16" s="83"/>
      <c r="P16" s="76"/>
      <c r="Q16" s="88"/>
      <c r="R16" s="88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83"/>
      <c r="AH16" s="158"/>
      <c r="AI16" s="181"/>
      <c r="AJ16" s="182"/>
      <c r="AK16" s="83"/>
      <c r="AL16" s="158"/>
      <c r="AM16" s="83"/>
      <c r="AN16" s="76"/>
      <c r="AO16" s="7"/>
      <c r="AP16" s="103"/>
      <c r="AQ16" s="7"/>
      <c r="AR16" s="7"/>
      <c r="AS16" s="7"/>
      <c r="AT16" s="7"/>
      <c r="AU16" s="7"/>
    </row>
    <row r="17" spans="3:47" ht="18.75" x14ac:dyDescent="0.3">
      <c r="C17" s="102"/>
      <c r="D17" s="75" t="s">
        <v>106</v>
      </c>
      <c r="E17" s="76"/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88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83"/>
      <c r="AH17" s="158"/>
      <c r="AI17" s="181"/>
      <c r="AJ17" s="182"/>
      <c r="AK17" s="83"/>
      <c r="AL17" s="158"/>
      <c r="AM17" s="83"/>
      <c r="AN17" s="76"/>
      <c r="AO17" s="7"/>
      <c r="AP17" s="103"/>
      <c r="AQ17" s="7"/>
      <c r="AR17" s="7"/>
      <c r="AS17" s="7"/>
      <c r="AT17" s="7"/>
      <c r="AU17" s="7"/>
    </row>
    <row r="18" spans="3:47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88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83"/>
      <c r="AH18" s="158"/>
      <c r="AI18" s="181"/>
      <c r="AJ18" s="182"/>
      <c r="AK18" s="83"/>
      <c r="AL18" s="158"/>
      <c r="AM18" s="83"/>
      <c r="AN18" s="76"/>
      <c r="AO18" s="7"/>
      <c r="AP18" s="103"/>
      <c r="AQ18" s="7"/>
      <c r="AR18" s="7"/>
      <c r="AS18" s="7"/>
      <c r="AT18" s="7"/>
      <c r="AU18" s="7"/>
    </row>
    <row r="19" spans="3:47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88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83"/>
      <c r="AH19" s="158"/>
      <c r="AI19" s="181"/>
      <c r="AJ19" s="182"/>
      <c r="AK19" s="83"/>
      <c r="AL19" s="158"/>
      <c r="AM19" s="83"/>
      <c r="AN19" s="76"/>
      <c r="AO19" s="7"/>
      <c r="AP19" s="103"/>
      <c r="AQ19" s="7"/>
      <c r="AR19" s="7"/>
      <c r="AS19" s="7"/>
      <c r="AT19" s="7"/>
      <c r="AU19" s="7"/>
    </row>
    <row r="20" spans="3:47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3"/>
      <c r="O20" s="83"/>
      <c r="P20" s="76"/>
      <c r="Q20" s="88"/>
      <c r="R20" s="88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83"/>
      <c r="AH20" s="158"/>
      <c r="AI20" s="83"/>
      <c r="AJ20" s="76"/>
      <c r="AK20" s="83"/>
      <c r="AL20" s="158"/>
      <c r="AM20" s="83"/>
      <c r="AN20" s="76"/>
      <c r="AO20" s="7"/>
      <c r="AP20" s="103"/>
      <c r="AQ20" s="7"/>
      <c r="AR20" s="7"/>
      <c r="AS20" s="7"/>
      <c r="AT20" s="7"/>
      <c r="AU20" s="7"/>
    </row>
    <row r="21" spans="3:47" ht="18.75" x14ac:dyDescent="0.3">
      <c r="C21" s="102"/>
      <c r="D21" s="77" t="s">
        <v>110</v>
      </c>
      <c r="E21" s="76">
        <v>0.57999999999999996</v>
      </c>
      <c r="F21" s="88"/>
      <c r="G21" s="88"/>
      <c r="H21" s="159"/>
      <c r="I21" s="76"/>
      <c r="J21" s="88"/>
      <c r="K21" s="88"/>
      <c r="L21" s="88"/>
      <c r="M21" s="159"/>
      <c r="N21" s="83"/>
      <c r="O21" s="83"/>
      <c r="P21" s="76"/>
      <c r="Q21" s="88"/>
      <c r="R21" s="88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83"/>
      <c r="AH21" s="158"/>
      <c r="AI21" s="83"/>
      <c r="AJ21" s="76"/>
      <c r="AK21" s="83"/>
      <c r="AL21" s="158"/>
      <c r="AM21" s="83"/>
      <c r="AN21" s="76"/>
      <c r="AO21" s="7"/>
      <c r="AP21" s="103"/>
      <c r="AQ21" s="7"/>
      <c r="AR21" s="7"/>
      <c r="AS21" s="7"/>
      <c r="AT21" s="7"/>
      <c r="AU21" s="7"/>
    </row>
    <row r="22" spans="3:47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3"/>
      <c r="O22" s="83"/>
      <c r="P22" s="76"/>
      <c r="Q22" s="88"/>
      <c r="R22" s="88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83"/>
      <c r="AH22" s="158"/>
      <c r="AI22" s="83"/>
      <c r="AJ22" s="76"/>
      <c r="AK22" s="83"/>
      <c r="AL22" s="158"/>
      <c r="AM22" s="83"/>
      <c r="AN22" s="76"/>
      <c r="AO22" s="7"/>
      <c r="AP22" s="103"/>
      <c r="AQ22" s="7"/>
      <c r="AR22" s="7"/>
      <c r="AS22" s="7"/>
      <c r="AT22" s="7"/>
      <c r="AU22" s="7"/>
    </row>
    <row r="23" spans="3:47" ht="18.75" x14ac:dyDescent="0.3">
      <c r="C23" s="102"/>
      <c r="D23" s="77" t="s">
        <v>112</v>
      </c>
      <c r="E23" s="76"/>
      <c r="F23" s="88"/>
      <c r="G23" s="88"/>
      <c r="H23" s="159"/>
      <c r="I23" s="76"/>
      <c r="J23" s="88"/>
      <c r="K23" s="88"/>
      <c r="L23" s="88"/>
      <c r="M23" s="159"/>
      <c r="N23" s="83"/>
      <c r="O23" s="83"/>
      <c r="P23" s="76"/>
      <c r="Q23" s="88"/>
      <c r="R23" s="88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83"/>
      <c r="AH23" s="158"/>
      <c r="AI23" s="186"/>
      <c r="AJ23" s="188"/>
      <c r="AK23" s="83"/>
      <c r="AL23" s="158"/>
      <c r="AM23" s="83"/>
      <c r="AN23" s="76"/>
      <c r="AO23" s="7"/>
      <c r="AP23" s="103"/>
      <c r="AQ23" s="7"/>
      <c r="AR23" s="7"/>
      <c r="AS23" s="7"/>
      <c r="AT23" s="7"/>
      <c r="AU23" s="7"/>
    </row>
    <row r="24" spans="3:47" ht="18.75" x14ac:dyDescent="0.3">
      <c r="C24" s="102"/>
      <c r="D24" s="193" t="s">
        <v>135</v>
      </c>
      <c r="E24" s="76"/>
      <c r="F24" s="88"/>
      <c r="G24" s="88"/>
      <c r="H24" s="159"/>
      <c r="I24" s="76"/>
      <c r="J24" s="88"/>
      <c r="K24" s="88"/>
      <c r="L24" s="88"/>
      <c r="M24" s="159"/>
      <c r="N24" s="83"/>
      <c r="O24" s="83"/>
      <c r="P24" s="76"/>
      <c r="Q24" s="88"/>
      <c r="R24" s="88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83"/>
      <c r="AH24" s="158"/>
      <c r="AI24" s="83"/>
      <c r="AJ24" s="76"/>
      <c r="AK24" s="83"/>
      <c r="AL24" s="158"/>
      <c r="AM24" s="83"/>
      <c r="AN24" s="76"/>
      <c r="AO24" s="7"/>
      <c r="AP24" s="103"/>
      <c r="AQ24" s="7"/>
      <c r="AR24" s="7"/>
      <c r="AS24" s="7"/>
      <c r="AT24" s="7"/>
      <c r="AU24" s="7"/>
    </row>
    <row r="25" spans="3:47" ht="18.75" x14ac:dyDescent="0.3">
      <c r="C25" s="102"/>
      <c r="D25" s="193" t="s">
        <v>136</v>
      </c>
      <c r="E25" s="182"/>
      <c r="F25" s="163"/>
      <c r="G25" s="163"/>
      <c r="H25" s="175"/>
      <c r="I25" s="182"/>
      <c r="J25" s="163"/>
      <c r="K25" s="163"/>
      <c r="L25" s="163"/>
      <c r="M25" s="175"/>
      <c r="N25" s="83"/>
      <c r="O25" s="83"/>
      <c r="P25" s="76"/>
      <c r="Q25" s="163"/>
      <c r="R25" s="88"/>
      <c r="S25" s="158"/>
      <c r="T25" s="83"/>
      <c r="U25" s="76"/>
      <c r="V25" s="83"/>
      <c r="W25" s="180"/>
      <c r="X25" s="181"/>
      <c r="Y25" s="181"/>
      <c r="Z25" s="182"/>
      <c r="AA25" s="83"/>
      <c r="AB25" s="158"/>
      <c r="AC25" s="83"/>
      <c r="AD25" s="83"/>
      <c r="AE25" s="83"/>
      <c r="AF25" s="76"/>
      <c r="AG25" s="83"/>
      <c r="AH25" s="158"/>
      <c r="AI25" s="83"/>
      <c r="AJ25" s="76"/>
      <c r="AK25" s="83"/>
      <c r="AL25" s="158"/>
      <c r="AM25" s="83"/>
      <c r="AN25" s="76"/>
      <c r="AO25" s="7"/>
      <c r="AP25" s="103"/>
      <c r="AQ25" s="7"/>
      <c r="AR25" s="7"/>
      <c r="AS25" s="7"/>
      <c r="AT25" s="7"/>
      <c r="AU25" s="7"/>
    </row>
    <row r="26" spans="3:47" ht="18.75" x14ac:dyDescent="0.3">
      <c r="C26" s="102"/>
      <c r="D26" s="194" t="s">
        <v>137</v>
      </c>
      <c r="E26" s="76"/>
      <c r="F26" s="88"/>
      <c r="G26" s="88"/>
      <c r="H26" s="159"/>
      <c r="I26" s="76"/>
      <c r="J26" s="88"/>
      <c r="K26" s="88"/>
      <c r="L26" s="88"/>
      <c r="M26" s="159"/>
      <c r="N26" s="83"/>
      <c r="O26" s="83"/>
      <c r="P26" s="76"/>
      <c r="Q26" s="88"/>
      <c r="R26" s="88"/>
      <c r="S26" s="158"/>
      <c r="T26" s="83"/>
      <c r="U26" s="76"/>
      <c r="V26" s="83"/>
      <c r="W26" s="180"/>
      <c r="X26" s="181"/>
      <c r="Y26" s="181"/>
      <c r="Z26" s="182"/>
      <c r="AA26" s="83"/>
      <c r="AB26" s="158"/>
      <c r="AC26" s="83"/>
      <c r="AD26" s="83"/>
      <c r="AE26" s="83"/>
      <c r="AF26" s="76"/>
      <c r="AG26" s="83"/>
      <c r="AH26" s="158"/>
      <c r="AI26" s="83"/>
      <c r="AJ26" s="76"/>
      <c r="AK26" s="83"/>
      <c r="AL26" s="158"/>
      <c r="AM26" s="83"/>
      <c r="AN26" s="76"/>
      <c r="AO26" s="7"/>
      <c r="AP26" s="103"/>
      <c r="AQ26" s="7"/>
      <c r="AR26" s="7"/>
      <c r="AS26" s="7"/>
      <c r="AT26" s="7"/>
      <c r="AU26" s="7"/>
    </row>
    <row r="27" spans="3:47" ht="19.5" thickBot="1" x14ac:dyDescent="0.35">
      <c r="C27" s="102"/>
      <c r="D27" s="195" t="s">
        <v>145</v>
      </c>
      <c r="E27" s="79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88"/>
      <c r="S27" s="161"/>
      <c r="T27" s="162"/>
      <c r="U27" s="79"/>
      <c r="V27" s="83"/>
      <c r="W27" s="183"/>
      <c r="X27" s="184"/>
      <c r="Y27" s="184"/>
      <c r="Z27" s="185"/>
      <c r="AA27" s="83"/>
      <c r="AB27" s="161"/>
      <c r="AC27" s="162"/>
      <c r="AD27" s="162"/>
      <c r="AE27" s="162"/>
      <c r="AF27" s="79"/>
      <c r="AG27" s="83"/>
      <c r="AH27" s="161"/>
      <c r="AI27" s="162"/>
      <c r="AJ27" s="79"/>
      <c r="AK27" s="83"/>
      <c r="AL27" s="161"/>
      <c r="AM27" s="162"/>
      <c r="AN27" s="79"/>
      <c r="AO27" s="7"/>
      <c r="AP27" s="103"/>
      <c r="AQ27" s="7"/>
      <c r="AR27" s="7"/>
      <c r="AS27" s="7"/>
      <c r="AT27" s="7"/>
      <c r="AU27" s="7"/>
    </row>
    <row r="28" spans="3:47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03"/>
      <c r="AQ28" s="7"/>
      <c r="AR28" s="7"/>
      <c r="AS28" s="7"/>
      <c r="AT28" s="7"/>
      <c r="AU28" s="7"/>
    </row>
    <row r="29" spans="3:47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03"/>
      <c r="AQ29" s="7"/>
      <c r="AR29" s="7"/>
      <c r="AS29" s="7"/>
      <c r="AT29" s="7"/>
      <c r="AU29" s="7"/>
    </row>
    <row r="30" spans="3:47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03"/>
      <c r="AQ30" s="7"/>
      <c r="AR30" s="7"/>
      <c r="AS30" s="7"/>
      <c r="AT30" s="7"/>
      <c r="AU30" s="7"/>
    </row>
    <row r="31" spans="3:47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03"/>
      <c r="AQ31" s="7"/>
      <c r="AR31" s="7"/>
      <c r="AS31" s="7"/>
      <c r="AT31" s="7"/>
      <c r="AU31" s="7"/>
    </row>
    <row r="32" spans="3:47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03"/>
      <c r="AQ32" s="7"/>
      <c r="AR32" s="7"/>
      <c r="AS32" s="7"/>
      <c r="AT32" s="7"/>
      <c r="AU32" s="7"/>
    </row>
    <row r="33" spans="3:47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03"/>
      <c r="AQ33" s="7"/>
      <c r="AR33" s="7"/>
      <c r="AS33" s="7"/>
      <c r="AT33" s="7"/>
      <c r="AU33" s="7"/>
    </row>
    <row r="34" spans="3:47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03"/>
      <c r="AQ34" s="7"/>
      <c r="AR34" s="7"/>
      <c r="AS34" s="7"/>
      <c r="AT34" s="7"/>
      <c r="AU34" s="7"/>
    </row>
    <row r="35" spans="3:47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03"/>
      <c r="AQ35" s="7"/>
      <c r="AR35" s="7"/>
      <c r="AS35" s="7"/>
      <c r="AT35" s="7"/>
      <c r="AU35" s="7"/>
    </row>
    <row r="36" spans="3:47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03"/>
      <c r="AQ36" s="7"/>
      <c r="AR36" s="7"/>
      <c r="AS36" s="7"/>
      <c r="AT36" s="7"/>
      <c r="AU36" s="7"/>
    </row>
    <row r="37" spans="3:47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03"/>
      <c r="AQ37" s="7"/>
      <c r="AR37" s="7"/>
      <c r="AS37" s="7"/>
      <c r="AT37" s="7"/>
      <c r="AU37" s="7"/>
    </row>
    <row r="38" spans="3:47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03"/>
      <c r="AQ38" s="7"/>
      <c r="AR38" s="7"/>
      <c r="AS38" s="7"/>
      <c r="AT38" s="7"/>
      <c r="AU38" s="7"/>
    </row>
    <row r="39" spans="3:47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03"/>
      <c r="AQ39" s="7"/>
      <c r="AR39" s="7"/>
      <c r="AS39" s="7"/>
      <c r="AT39" s="7"/>
      <c r="AU39" s="7"/>
    </row>
    <row r="40" spans="3:47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03"/>
      <c r="AQ40" s="7"/>
      <c r="AR40" s="7"/>
      <c r="AS40" s="7"/>
      <c r="AT40" s="7"/>
      <c r="AU40" s="7"/>
    </row>
    <row r="41" spans="3:47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03"/>
      <c r="AQ41" s="7"/>
      <c r="AR41" s="7"/>
      <c r="AS41" s="7"/>
      <c r="AT41" s="7"/>
      <c r="AU41" s="7"/>
    </row>
    <row r="42" spans="3:47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03"/>
      <c r="AQ42" s="7"/>
      <c r="AR42" s="7"/>
      <c r="AS42" s="7"/>
      <c r="AT42" s="7"/>
      <c r="AU42" s="7"/>
    </row>
    <row r="43" spans="3:47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03"/>
      <c r="AQ43" s="7"/>
      <c r="AR43" s="7"/>
      <c r="AS43" s="7"/>
      <c r="AT43" s="7"/>
      <c r="AU43" s="7"/>
    </row>
    <row r="44" spans="3:47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03"/>
      <c r="AQ44" s="7"/>
      <c r="AR44" s="7"/>
      <c r="AS44" s="7"/>
      <c r="AT44" s="7"/>
      <c r="AU44" s="7"/>
    </row>
    <row r="45" spans="3:47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03"/>
      <c r="AQ45" s="7"/>
      <c r="AR45" s="7"/>
      <c r="AS45" s="7"/>
      <c r="AT45" s="7"/>
      <c r="AU45" s="7"/>
    </row>
    <row r="46" spans="3:47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03"/>
      <c r="AQ46" s="7"/>
      <c r="AR46" s="7"/>
      <c r="AS46" s="7"/>
      <c r="AT46" s="7"/>
      <c r="AU46" s="7"/>
    </row>
    <row r="47" spans="3:47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1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03"/>
      <c r="AQ47" s="7"/>
      <c r="AR47" s="7"/>
      <c r="AS47" s="7"/>
      <c r="AT47" s="7"/>
      <c r="AU47" s="7"/>
    </row>
    <row r="48" spans="3:47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03"/>
      <c r="AQ48" s="7"/>
      <c r="AR48" s="7"/>
      <c r="AS48" s="7"/>
      <c r="AT48" s="7"/>
      <c r="AU48" s="7"/>
    </row>
    <row r="49" spans="3:47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03"/>
      <c r="AQ49" s="7"/>
      <c r="AR49" s="7"/>
      <c r="AS49" s="7"/>
      <c r="AT49" s="7"/>
      <c r="AU49" s="7"/>
    </row>
    <row r="50" spans="3:47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03"/>
      <c r="AQ50" s="7"/>
      <c r="AR50" s="7"/>
      <c r="AS50" s="7"/>
      <c r="AT50" s="7"/>
      <c r="AU50" s="7"/>
    </row>
    <row r="51" spans="3:47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03"/>
      <c r="AQ51" s="7"/>
      <c r="AR51" s="7"/>
      <c r="AS51" s="7"/>
      <c r="AT51" s="7"/>
      <c r="AU51" s="7"/>
    </row>
    <row r="52" spans="3:47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03"/>
      <c r="AQ52" s="7"/>
      <c r="AR52" s="7"/>
      <c r="AS52" s="7"/>
      <c r="AT52" s="7"/>
      <c r="AU52" s="7"/>
    </row>
    <row r="53" spans="3:47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03"/>
      <c r="AQ53" s="7"/>
      <c r="AR53" s="7"/>
      <c r="AS53" s="7"/>
      <c r="AT53" s="7"/>
      <c r="AU53" s="7"/>
    </row>
    <row r="54" spans="3:47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03"/>
      <c r="AQ54" s="7"/>
      <c r="AR54" s="7"/>
      <c r="AS54" s="7"/>
      <c r="AT54" s="7"/>
      <c r="AU54" s="7"/>
    </row>
    <row r="55" spans="3:47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03"/>
      <c r="AQ55" s="7"/>
      <c r="AR55" s="7"/>
      <c r="AS55" s="7"/>
      <c r="AT55" s="7"/>
      <c r="AU55" s="7"/>
    </row>
    <row r="56" spans="3:47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03"/>
      <c r="AQ56" s="7"/>
      <c r="AR56" s="7"/>
      <c r="AS56" s="7"/>
      <c r="AT56" s="7"/>
      <c r="AU56" s="7"/>
    </row>
    <row r="57" spans="3:47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03"/>
      <c r="AQ57" s="7"/>
      <c r="AR57" s="7"/>
      <c r="AS57" s="7"/>
      <c r="AT57" s="7"/>
      <c r="AU57" s="7"/>
    </row>
    <row r="58" spans="3:47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03"/>
      <c r="AQ58" s="7"/>
      <c r="AR58" s="7"/>
      <c r="AS58" s="7"/>
      <c r="AT58" s="7"/>
      <c r="AU58" s="7"/>
    </row>
    <row r="59" spans="3:47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03"/>
      <c r="AQ59" s="7"/>
      <c r="AR59" s="7"/>
      <c r="AS59" s="7"/>
      <c r="AT59" s="7"/>
      <c r="AU59" s="7"/>
    </row>
    <row r="60" spans="3:47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03"/>
      <c r="AQ60" s="7"/>
      <c r="AR60" s="7"/>
      <c r="AS60" s="7"/>
      <c r="AT60" s="7"/>
      <c r="AU60" s="7"/>
    </row>
    <row r="61" spans="3:47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03"/>
      <c r="AQ61" s="7"/>
      <c r="AR61" s="7"/>
      <c r="AS61" s="7"/>
      <c r="AT61" s="7"/>
      <c r="AU61" s="7"/>
    </row>
    <row r="62" spans="3:47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03"/>
      <c r="AQ62" s="7"/>
      <c r="AR62" s="7"/>
      <c r="AS62" s="7"/>
      <c r="AT62" s="7"/>
      <c r="AU62" s="7"/>
    </row>
    <row r="63" spans="3:47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03"/>
      <c r="AQ63" s="7"/>
      <c r="AR63" s="7"/>
      <c r="AS63" s="7"/>
      <c r="AT63" s="7"/>
      <c r="AU63" s="7"/>
    </row>
    <row r="64" spans="3:47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03"/>
      <c r="AQ64" s="7"/>
      <c r="AR64" s="7"/>
      <c r="AS64" s="7"/>
      <c r="AT64" s="7"/>
      <c r="AU64" s="7"/>
    </row>
    <row r="65" spans="3:47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03"/>
      <c r="AQ65" s="7"/>
      <c r="AR65" s="7"/>
      <c r="AS65" s="7"/>
      <c r="AT65" s="7"/>
      <c r="AU65" s="7"/>
    </row>
    <row r="66" spans="3:47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03"/>
      <c r="AQ66" s="7"/>
      <c r="AR66" s="7"/>
      <c r="AS66" s="7"/>
      <c r="AT66" s="7"/>
      <c r="AU66" s="7"/>
    </row>
    <row r="67" spans="3:47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03"/>
      <c r="AQ67" s="7"/>
      <c r="AR67" s="7"/>
      <c r="AS67" s="7"/>
      <c r="AT67" s="7"/>
      <c r="AU67" s="7"/>
    </row>
    <row r="68" spans="3:47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03"/>
      <c r="AQ68" s="7"/>
      <c r="AR68" s="7"/>
      <c r="AS68" s="7"/>
      <c r="AT68" s="7"/>
      <c r="AU68" s="7"/>
    </row>
    <row r="69" spans="3:47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03"/>
      <c r="AQ69" s="7"/>
      <c r="AR69" s="7"/>
      <c r="AS69" s="7"/>
      <c r="AT69" s="7"/>
      <c r="AU69" s="7"/>
    </row>
    <row r="70" spans="3:47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70"/>
      <c r="AQ70" s="7"/>
      <c r="AR70" s="7"/>
      <c r="AS70" s="7"/>
      <c r="AT70" s="7"/>
      <c r="AU70" s="7"/>
    </row>
    <row r="71" spans="3:47" x14ac:dyDescent="0.25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5">
      <c r="H127" s="3" t="s">
        <v>49</v>
      </c>
    </row>
    <row r="137" spans="17:17" x14ac:dyDescent="0.25">
      <c r="Q137" s="3" t="s">
        <v>49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 N11:P11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AH28:AH30 AM28:AM30 I17</xm:sqref>
        </x14:dataValidation>
        <x14:dataValidation type="list" allowBlank="1" showInputMessage="1" showErrorMessage="1" xr:uid="{31558B40-A291-4969-87A2-E2236B79520B}">
          <x14:formula1>
            <xm:f>Systemblatt!$E$5:$E$23</xm:f>
          </x14:formula1>
          <xm:sqref>I16 N12:P27 AM10:AM27 AC10:AC27 T10:T27 AE10:AE27 AH10:AH27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H1" zoomScale="60" zoomScaleNormal="60" workbookViewId="0">
      <selection activeCell="M10" sqref="M10:P2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25" style="3" customWidth="1"/>
    <col min="24" max="24" width="23.140625" style="3" customWidth="1"/>
    <col min="25" max="25" width="16.7109375" style="3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5" width="20" style="3" customWidth="1"/>
    <col min="36" max="16384" width="10.85546875" style="3"/>
  </cols>
  <sheetData>
    <row r="1" spans="1:41" ht="10.5" customHeight="1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</row>
    <row r="2" spans="1:41" ht="6.95" customHeight="1" thickBot="1" x14ac:dyDescent="0.3">
      <c r="A2" s="7"/>
      <c r="B2" s="7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7"/>
      <c r="AL2" s="7"/>
      <c r="AM2" s="7"/>
      <c r="AN2" s="7"/>
      <c r="AO2" s="7"/>
    </row>
    <row r="3" spans="1:41" x14ac:dyDescent="0.25">
      <c r="A3" s="7"/>
      <c r="B3" s="7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4"/>
      <c r="AL3" s="7"/>
      <c r="AM3" s="7"/>
      <c r="AN3" s="7"/>
      <c r="AO3" s="7"/>
    </row>
    <row r="4" spans="1:41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03"/>
      <c r="AL4" s="7"/>
      <c r="AM4" s="7"/>
      <c r="AN4" s="7"/>
      <c r="AO4" s="7"/>
    </row>
    <row r="5" spans="1:41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03"/>
      <c r="AL5" s="7"/>
      <c r="AM5" s="7"/>
      <c r="AN5" s="7"/>
      <c r="AO5" s="7"/>
    </row>
    <row r="6" spans="1:41" x14ac:dyDescent="0.25">
      <c r="A6" s="7"/>
      <c r="B6" s="7"/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03"/>
      <c r="AL6" s="7"/>
      <c r="AM6" s="7"/>
      <c r="AN6" s="7"/>
      <c r="AO6" s="7"/>
    </row>
    <row r="7" spans="1:41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I7" s="7"/>
      <c r="AJ7" s="13"/>
      <c r="AK7" s="103"/>
      <c r="AL7" s="7"/>
      <c r="AM7" s="7"/>
      <c r="AN7" s="7"/>
      <c r="AO7" s="7"/>
    </row>
    <row r="8" spans="1:41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125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3"/>
      <c r="AH8" s="525" t="s">
        <v>20</v>
      </c>
      <c r="AI8" s="527"/>
      <c r="AJ8" s="13"/>
      <c r="AK8" s="103"/>
      <c r="AL8" s="7"/>
      <c r="AM8" s="7"/>
      <c r="AN8" s="7"/>
      <c r="AO8" s="7"/>
    </row>
    <row r="9" spans="1:41" ht="21.75" thickBot="1" x14ac:dyDescent="0.4">
      <c r="A9" s="7"/>
      <c r="B9" s="7"/>
      <c r="C9" s="102"/>
      <c r="D9" s="81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76</v>
      </c>
      <c r="X9" s="100" t="s">
        <v>57</v>
      </c>
      <c r="Y9" s="100" t="s">
        <v>128</v>
      </c>
      <c r="Z9" s="100" t="s">
        <v>129</v>
      </c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100" t="s">
        <v>76</v>
      </c>
      <c r="AI9" s="100" t="s">
        <v>1</v>
      </c>
      <c r="AJ9" s="13"/>
      <c r="AK9" s="103"/>
      <c r="AL9" s="7"/>
      <c r="AM9" s="7"/>
      <c r="AN9" s="7"/>
      <c r="AO9" s="7"/>
    </row>
    <row r="10" spans="1:41" ht="18.75" x14ac:dyDescent="0.3">
      <c r="A10" s="7"/>
      <c r="B10" s="7"/>
      <c r="C10" s="102"/>
      <c r="D10" s="73" t="s">
        <v>2</v>
      </c>
      <c r="E10" s="74"/>
      <c r="F10" s="88"/>
      <c r="G10" s="88"/>
      <c r="H10" s="75" t="s">
        <v>3</v>
      </c>
      <c r="I10" s="76"/>
      <c r="J10" s="88"/>
      <c r="K10" s="88"/>
      <c r="L10" s="88"/>
      <c r="M10" s="73" t="s">
        <v>121</v>
      </c>
      <c r="N10" s="208"/>
      <c r="O10" s="208"/>
      <c r="P10" s="74"/>
      <c r="Q10" s="88"/>
      <c r="R10" s="163"/>
      <c r="S10" s="207"/>
      <c r="T10" s="93"/>
      <c r="U10" s="150"/>
      <c r="V10" s="155"/>
      <c r="W10" s="287"/>
      <c r="X10" s="93"/>
      <c r="Y10" s="286"/>
      <c r="Z10" s="202"/>
      <c r="AA10" s="83"/>
      <c r="AB10" s="207"/>
      <c r="AC10" s="93"/>
      <c r="AD10" s="208"/>
      <c r="AE10" s="93"/>
      <c r="AF10" s="74"/>
      <c r="AG10" s="181"/>
      <c r="AH10" s="287"/>
      <c r="AI10" s="74"/>
      <c r="AJ10" s="13"/>
      <c r="AK10" s="103"/>
      <c r="AL10" s="7"/>
      <c r="AM10" s="7"/>
      <c r="AN10" s="7"/>
      <c r="AO10" s="7"/>
    </row>
    <row r="11" spans="1:41" ht="18.75" x14ac:dyDescent="0.3">
      <c r="A11" s="7"/>
      <c r="B11" s="7"/>
      <c r="C11" s="102"/>
      <c r="D11" s="75" t="s">
        <v>4</v>
      </c>
      <c r="E11" s="76"/>
      <c r="F11" s="88"/>
      <c r="G11" s="88"/>
      <c r="H11" s="75" t="s">
        <v>113</v>
      </c>
      <c r="I11" s="76"/>
      <c r="J11" s="88"/>
      <c r="K11" s="88"/>
      <c r="L11" s="88"/>
      <c r="M11" s="84" t="s">
        <v>122</v>
      </c>
      <c r="N11" s="83"/>
      <c r="O11" s="83"/>
      <c r="P11" s="76"/>
      <c r="Q11" s="88"/>
      <c r="R11" s="163"/>
      <c r="S11" s="152"/>
      <c r="T11" s="83"/>
      <c r="U11" s="154"/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181"/>
      <c r="AH11" s="158"/>
      <c r="AI11" s="76"/>
      <c r="AJ11" s="13"/>
      <c r="AK11" s="103"/>
      <c r="AL11" s="7"/>
      <c r="AM11" s="7"/>
      <c r="AN11" s="7"/>
      <c r="AO11" s="7"/>
    </row>
    <row r="12" spans="1:41" ht="18.75" x14ac:dyDescent="0.3">
      <c r="A12" s="7"/>
      <c r="B12" s="7"/>
      <c r="C12" s="102"/>
      <c r="D12" s="75" t="s">
        <v>90</v>
      </c>
      <c r="E12" s="76" t="s">
        <v>51</v>
      </c>
      <c r="F12" s="88"/>
      <c r="G12" s="88"/>
      <c r="H12" s="75" t="s">
        <v>114</v>
      </c>
      <c r="I12" s="76"/>
      <c r="J12" s="88"/>
      <c r="K12" s="88"/>
      <c r="L12" s="88"/>
      <c r="M12" s="84" t="s">
        <v>123</v>
      </c>
      <c r="N12" s="83"/>
      <c r="O12" s="83"/>
      <c r="P12" s="76"/>
      <c r="Q12" s="88"/>
      <c r="R12" s="163"/>
      <c r="S12" s="158"/>
      <c r="T12" s="83"/>
      <c r="U12" s="76"/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81"/>
      <c r="AH12" s="158"/>
      <c r="AI12" s="76"/>
      <c r="AJ12" s="13"/>
      <c r="AK12" s="103"/>
      <c r="AL12" s="7"/>
      <c r="AM12" s="7"/>
      <c r="AN12" s="7"/>
      <c r="AO12" s="7"/>
    </row>
    <row r="13" spans="1:41" ht="18.75" x14ac:dyDescent="0.3">
      <c r="A13" s="7"/>
      <c r="B13" s="7"/>
      <c r="C13" s="102"/>
      <c r="D13" s="75" t="s">
        <v>102</v>
      </c>
      <c r="E13" s="76" t="s">
        <v>50</v>
      </c>
      <c r="F13" s="88"/>
      <c r="G13" s="88"/>
      <c r="H13" s="75" t="s">
        <v>115</v>
      </c>
      <c r="I13" s="76"/>
      <c r="J13" s="88"/>
      <c r="K13" s="88"/>
      <c r="L13" s="88"/>
      <c r="M13" s="84"/>
      <c r="N13" s="83"/>
      <c r="O13" s="83"/>
      <c r="P13" s="76"/>
      <c r="Q13" s="88"/>
      <c r="R13" s="163"/>
      <c r="S13" s="158"/>
      <c r="T13" s="83"/>
      <c r="U13" s="76"/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81"/>
      <c r="AH13" s="158"/>
      <c r="AI13" s="76"/>
      <c r="AJ13" s="13"/>
      <c r="AK13" s="103"/>
      <c r="AL13" s="7"/>
      <c r="AM13" s="7"/>
      <c r="AN13" s="7"/>
      <c r="AO13" s="7"/>
    </row>
    <row r="14" spans="1:41" ht="18.75" x14ac:dyDescent="0.3">
      <c r="A14" s="7"/>
      <c r="B14" s="7"/>
      <c r="C14" s="102"/>
      <c r="D14" s="75" t="s">
        <v>103</v>
      </c>
      <c r="E14" s="76">
        <v>20</v>
      </c>
      <c r="F14" s="88"/>
      <c r="G14" s="88"/>
      <c r="H14" s="75" t="s">
        <v>116</v>
      </c>
      <c r="I14" s="76"/>
      <c r="J14" s="88"/>
      <c r="K14" s="88"/>
      <c r="L14" s="88"/>
      <c r="M14" s="85"/>
      <c r="N14" s="83"/>
      <c r="O14" s="83"/>
      <c r="P14" s="76"/>
      <c r="Q14" s="88"/>
      <c r="R14" s="163"/>
      <c r="S14" s="158"/>
      <c r="T14" s="83"/>
      <c r="U14" s="76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81"/>
      <c r="AH14" s="158"/>
      <c r="AI14" s="76"/>
      <c r="AJ14" s="13"/>
      <c r="AK14" s="103"/>
      <c r="AL14" s="7"/>
      <c r="AM14" s="7"/>
      <c r="AN14" s="7"/>
      <c r="AO14" s="7"/>
    </row>
    <row r="15" spans="1:41" ht="18.75" x14ac:dyDescent="0.3">
      <c r="A15" s="7"/>
      <c r="B15" s="7"/>
      <c r="C15" s="102"/>
      <c r="D15" s="75" t="s">
        <v>104</v>
      </c>
      <c r="E15" s="154">
        <v>2.6</v>
      </c>
      <c r="F15" s="88"/>
      <c r="G15" s="88"/>
      <c r="H15" s="84" t="s">
        <v>117</v>
      </c>
      <c r="I15" s="76"/>
      <c r="J15" s="88"/>
      <c r="K15" s="88"/>
      <c r="L15" s="88"/>
      <c r="M15" s="85"/>
      <c r="N15" s="83"/>
      <c r="O15" s="83"/>
      <c r="P15" s="76"/>
      <c r="Q15" s="88"/>
      <c r="R15" s="163"/>
      <c r="S15" s="158"/>
      <c r="T15" s="83"/>
      <c r="U15" s="76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81"/>
      <c r="AH15" s="158"/>
      <c r="AI15" s="76"/>
      <c r="AJ15" s="13"/>
      <c r="AK15" s="103"/>
      <c r="AL15" s="7"/>
      <c r="AM15" s="7"/>
      <c r="AN15" s="7"/>
      <c r="AO15" s="7"/>
    </row>
    <row r="16" spans="1:41" ht="18.75" x14ac:dyDescent="0.3">
      <c r="A16" s="7"/>
      <c r="B16" s="7"/>
      <c r="C16" s="102"/>
      <c r="D16" s="75" t="s">
        <v>105</v>
      </c>
      <c r="E16" s="154">
        <v>1.44</v>
      </c>
      <c r="F16" s="88"/>
      <c r="G16" s="88"/>
      <c r="H16" s="84" t="s">
        <v>101</v>
      </c>
      <c r="I16" s="76"/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8"/>
      <c r="AI16" s="76"/>
      <c r="AJ16" s="13"/>
      <c r="AK16" s="103"/>
      <c r="AL16" s="7"/>
      <c r="AM16" s="7"/>
      <c r="AN16" s="7"/>
      <c r="AO16" s="7"/>
    </row>
    <row r="17" spans="1:41" ht="18.75" x14ac:dyDescent="0.3">
      <c r="A17" s="7"/>
      <c r="B17" s="7"/>
      <c r="C17" s="102"/>
      <c r="D17" s="75" t="s">
        <v>106</v>
      </c>
      <c r="E17" s="76"/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76"/>
      <c r="AJ17" s="13"/>
      <c r="AK17" s="103"/>
      <c r="AL17" s="7"/>
      <c r="AM17" s="7"/>
      <c r="AN17" s="7"/>
      <c r="AO17" s="7"/>
    </row>
    <row r="18" spans="1:41" ht="18.75" x14ac:dyDescent="0.3">
      <c r="A18" s="7"/>
      <c r="B18" s="7"/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76"/>
      <c r="AJ18" s="13"/>
      <c r="AK18" s="103"/>
      <c r="AL18" s="7"/>
      <c r="AM18" s="7"/>
      <c r="AN18" s="7"/>
      <c r="AO18" s="7"/>
    </row>
    <row r="19" spans="1:41" ht="18.75" x14ac:dyDescent="0.3">
      <c r="A19" s="7"/>
      <c r="B19" s="7"/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76"/>
      <c r="AJ19" s="13"/>
      <c r="AK19" s="103"/>
      <c r="AL19" s="7"/>
      <c r="AM19" s="7"/>
      <c r="AN19" s="7"/>
      <c r="AO19" s="7"/>
    </row>
    <row r="20" spans="1:41" ht="18.75" x14ac:dyDescent="0.3">
      <c r="A20" s="7"/>
      <c r="B20" s="7"/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76"/>
      <c r="AJ20" s="13"/>
      <c r="AK20" s="103"/>
      <c r="AL20" s="7"/>
      <c r="AM20" s="7"/>
      <c r="AN20" s="7"/>
      <c r="AO20" s="7"/>
    </row>
    <row r="21" spans="1:41" ht="18.75" x14ac:dyDescent="0.3">
      <c r="A21" s="7"/>
      <c r="B21" s="7"/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76"/>
      <c r="AJ21" s="13"/>
      <c r="AK21" s="103"/>
      <c r="AL21" s="7"/>
      <c r="AM21" s="7"/>
      <c r="AN21" s="7"/>
      <c r="AO21" s="7"/>
    </row>
    <row r="22" spans="1:41" ht="18.75" x14ac:dyDescent="0.3">
      <c r="A22" s="7"/>
      <c r="B22" s="7"/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76"/>
      <c r="AJ22" s="13"/>
      <c r="AK22" s="103"/>
      <c r="AL22" s="7"/>
      <c r="AM22" s="7"/>
      <c r="AN22" s="7"/>
      <c r="AO22" s="7"/>
    </row>
    <row r="23" spans="1:41" ht="18.75" x14ac:dyDescent="0.3">
      <c r="A23" s="7"/>
      <c r="B23" s="7"/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76"/>
      <c r="AJ23" s="13"/>
      <c r="AK23" s="103"/>
      <c r="AL23" s="7"/>
      <c r="AM23" s="7"/>
      <c r="AN23" s="7"/>
      <c r="AO23" s="7"/>
    </row>
    <row r="24" spans="1:41" ht="18.75" x14ac:dyDescent="0.3">
      <c r="A24" s="7"/>
      <c r="B24" s="7"/>
      <c r="C24" s="102"/>
      <c r="D24" s="193" t="s">
        <v>135</v>
      </c>
      <c r="E24" s="86"/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76"/>
      <c r="AJ24" s="13"/>
      <c r="AK24" s="103"/>
      <c r="AL24" s="7"/>
      <c r="AM24" s="7"/>
      <c r="AN24" s="7"/>
      <c r="AO24" s="7"/>
    </row>
    <row r="25" spans="1:41" ht="18.75" x14ac:dyDescent="0.3">
      <c r="A25" s="7"/>
      <c r="B25" s="7"/>
      <c r="C25" s="102"/>
      <c r="D25" s="193" t="s">
        <v>136</v>
      </c>
      <c r="E25" s="86"/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83"/>
      <c r="U25" s="182"/>
      <c r="V25" s="181"/>
      <c r="W25" s="158"/>
      <c r="X25" s="181"/>
      <c r="Y25" s="181"/>
      <c r="Z25" s="182"/>
      <c r="AA25" s="181"/>
      <c r="AB25" s="180"/>
      <c r="AC25" s="83"/>
      <c r="AD25" s="181"/>
      <c r="AE25" s="83"/>
      <c r="AF25" s="182"/>
      <c r="AG25" s="181"/>
      <c r="AH25" s="158"/>
      <c r="AI25" s="76"/>
      <c r="AJ25" s="13"/>
      <c r="AK25" s="103"/>
      <c r="AL25" s="7"/>
      <c r="AM25" s="7"/>
      <c r="AN25" s="7"/>
      <c r="AO25" s="7"/>
    </row>
    <row r="26" spans="1:41" ht="18.75" x14ac:dyDescent="0.3">
      <c r="A26" s="7"/>
      <c r="B26" s="7"/>
      <c r="C26" s="102"/>
      <c r="D26" s="194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83"/>
      <c r="U26" s="182"/>
      <c r="V26" s="181"/>
      <c r="W26" s="158"/>
      <c r="X26" s="181"/>
      <c r="Y26" s="181"/>
      <c r="Z26" s="182"/>
      <c r="AA26" s="181"/>
      <c r="AB26" s="180"/>
      <c r="AC26" s="83"/>
      <c r="AD26" s="181"/>
      <c r="AE26" s="83"/>
      <c r="AF26" s="182"/>
      <c r="AG26" s="181"/>
      <c r="AH26" s="158"/>
      <c r="AI26" s="76"/>
      <c r="AJ26" s="13"/>
      <c r="AK26" s="103"/>
      <c r="AL26" s="7"/>
      <c r="AM26" s="7"/>
      <c r="AN26" s="7"/>
      <c r="AO26" s="7"/>
    </row>
    <row r="27" spans="1:41" ht="19.5" thickBot="1" x14ac:dyDescent="0.35">
      <c r="A27" s="7"/>
      <c r="B27" s="7"/>
      <c r="C27" s="102"/>
      <c r="D27" s="195" t="s">
        <v>145</v>
      </c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62"/>
      <c r="U27" s="185"/>
      <c r="V27" s="181"/>
      <c r="W27" s="161"/>
      <c r="X27" s="184"/>
      <c r="Y27" s="184"/>
      <c r="Z27" s="185"/>
      <c r="AA27" s="181"/>
      <c r="AB27" s="183"/>
      <c r="AC27" s="162"/>
      <c r="AD27" s="184"/>
      <c r="AE27" s="162"/>
      <c r="AF27" s="185"/>
      <c r="AG27" s="181"/>
      <c r="AH27" s="161"/>
      <c r="AI27" s="79"/>
      <c r="AJ27" s="13"/>
      <c r="AK27" s="103"/>
      <c r="AL27" s="7"/>
      <c r="AM27" s="7"/>
      <c r="AN27" s="7"/>
      <c r="AO27" s="7"/>
    </row>
    <row r="28" spans="1:41" x14ac:dyDescent="0.25">
      <c r="A28" s="7"/>
      <c r="B28" s="7"/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7"/>
      <c r="AI28" s="7"/>
      <c r="AJ28" s="13"/>
      <c r="AK28" s="103"/>
      <c r="AL28" s="7"/>
      <c r="AM28" s="7"/>
      <c r="AN28" s="7"/>
      <c r="AO28" s="7"/>
    </row>
    <row r="29" spans="1:41" x14ac:dyDescent="0.25">
      <c r="A29" s="7"/>
      <c r="B29" s="7"/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7"/>
      <c r="AI29" s="7"/>
      <c r="AJ29" s="13"/>
      <c r="AK29" s="103"/>
      <c r="AL29" s="7"/>
      <c r="AM29" s="7"/>
      <c r="AN29" s="7"/>
      <c r="AO29" s="7"/>
    </row>
    <row r="30" spans="1:41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7"/>
      <c r="AI30" s="7"/>
      <c r="AJ30" s="13"/>
      <c r="AK30" s="103"/>
      <c r="AL30" s="7"/>
      <c r="AM30" s="7"/>
      <c r="AN30" s="7"/>
      <c r="AO30" s="7"/>
    </row>
    <row r="31" spans="1:41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03"/>
      <c r="AL31" s="7"/>
      <c r="AM31" s="7"/>
      <c r="AN31" s="7"/>
      <c r="AO31" s="7"/>
    </row>
    <row r="32" spans="1:41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03"/>
      <c r="AL32" s="7"/>
      <c r="AM32" s="7"/>
      <c r="AN32" s="7"/>
      <c r="AO32" s="7"/>
    </row>
    <row r="33" spans="1:41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03"/>
      <c r="AL33" s="7"/>
      <c r="AM33" s="7"/>
      <c r="AN33" s="7"/>
      <c r="AO33" s="7"/>
    </row>
    <row r="34" spans="1:41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03"/>
      <c r="AL34" s="7"/>
      <c r="AM34" s="7"/>
      <c r="AN34" s="7"/>
      <c r="AO34" s="7"/>
    </row>
    <row r="35" spans="1:41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03"/>
      <c r="AL35" s="7"/>
      <c r="AM35" s="7"/>
      <c r="AN35" s="7"/>
      <c r="AO35" s="7"/>
    </row>
    <row r="36" spans="1:41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03"/>
      <c r="AL36" s="7"/>
      <c r="AM36" s="7"/>
      <c r="AN36" s="7"/>
      <c r="AO36" s="7"/>
    </row>
    <row r="37" spans="1:41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03"/>
      <c r="AL37" s="7"/>
      <c r="AM37" s="7"/>
      <c r="AN37" s="7"/>
      <c r="AO37" s="7"/>
    </row>
    <row r="38" spans="1:41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03"/>
      <c r="AL38" s="7"/>
      <c r="AM38" s="7"/>
      <c r="AN38" s="7"/>
      <c r="AO38" s="7"/>
    </row>
    <row r="39" spans="1:41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03"/>
      <c r="AL39" s="7"/>
      <c r="AM39" s="7"/>
      <c r="AN39" s="7"/>
      <c r="AO39" s="7"/>
    </row>
    <row r="40" spans="1:41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03"/>
      <c r="AL40" s="7"/>
      <c r="AM40" s="7"/>
      <c r="AN40" s="7"/>
      <c r="AO40" s="7"/>
    </row>
    <row r="41" spans="1:41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03"/>
      <c r="AL41" s="7"/>
      <c r="AM41" s="7"/>
      <c r="AN41" s="7"/>
      <c r="AO41" s="7"/>
    </row>
    <row r="42" spans="1:41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03"/>
      <c r="AL42" s="7"/>
      <c r="AM42" s="7"/>
      <c r="AN42" s="7"/>
      <c r="AO42" s="7"/>
    </row>
    <row r="43" spans="1:41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03"/>
      <c r="AL43" s="7"/>
      <c r="AM43" s="7"/>
      <c r="AN43" s="7"/>
      <c r="AO43" s="7"/>
    </row>
    <row r="44" spans="1:41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03"/>
      <c r="AL44" s="7"/>
      <c r="AM44" s="7"/>
      <c r="AN44" s="7"/>
      <c r="AO44" s="7"/>
    </row>
    <row r="45" spans="1:41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03"/>
      <c r="AL45" s="7"/>
      <c r="AM45" s="7"/>
      <c r="AN45" s="7"/>
      <c r="AO45" s="7"/>
    </row>
    <row r="46" spans="1:41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03"/>
      <c r="AL46" s="7"/>
      <c r="AM46" s="7"/>
      <c r="AN46" s="7"/>
      <c r="AO46" s="7"/>
    </row>
    <row r="47" spans="1:41" ht="18.75" x14ac:dyDescent="0.25">
      <c r="A47" s="7"/>
      <c r="B47" s="7"/>
      <c r="C47" s="102"/>
      <c r="D47" s="7"/>
      <c r="E47" s="7"/>
      <c r="F47" s="8"/>
      <c r="G47" s="126"/>
      <c r="H47" s="7"/>
      <c r="I47" s="7"/>
      <c r="J47" s="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03"/>
      <c r="AL47" s="7"/>
      <c r="AM47" s="7"/>
      <c r="AN47" s="7"/>
      <c r="AO47" s="7"/>
    </row>
    <row r="48" spans="1:41" ht="15.75" x14ac:dyDescent="0.25">
      <c r="A48" s="7"/>
      <c r="B48" s="7"/>
      <c r="C48" s="102"/>
      <c r="D48" s="7"/>
      <c r="E48" s="7"/>
      <c r="F48" s="125"/>
      <c r="G48" s="125"/>
      <c r="H48" s="7"/>
      <c r="I48" s="7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03"/>
      <c r="AL48" s="7"/>
      <c r="AM48" s="7"/>
      <c r="AN48" s="7"/>
      <c r="AO48" s="7"/>
    </row>
    <row r="49" spans="1:41" ht="15.75" x14ac:dyDescent="0.25">
      <c r="A49" s="7"/>
      <c r="B49" s="7"/>
      <c r="C49" s="102"/>
      <c r="D49" s="7"/>
      <c r="E49" s="7"/>
      <c r="F49" s="9"/>
      <c r="G49" s="9"/>
      <c r="H49" s="7"/>
      <c r="I49" s="7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03"/>
      <c r="AL49" s="7"/>
      <c r="AM49" s="7"/>
      <c r="AN49" s="7"/>
      <c r="AO49" s="7"/>
    </row>
    <row r="50" spans="1:41" ht="15.75" x14ac:dyDescent="0.25">
      <c r="A50" s="7"/>
      <c r="B50" s="7"/>
      <c r="C50" s="102"/>
      <c r="D50" s="7"/>
      <c r="E50" s="7"/>
      <c r="F50" s="9"/>
      <c r="G50" s="9"/>
      <c r="H50" s="7"/>
      <c r="I50" s="7"/>
      <c r="J50" s="12"/>
      <c r="K50" s="12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03"/>
      <c r="AL50" s="7"/>
      <c r="AM50" s="7"/>
      <c r="AN50" s="7"/>
      <c r="AO50" s="7"/>
    </row>
    <row r="51" spans="1:41" ht="15.75" x14ac:dyDescent="0.25">
      <c r="A51" s="7"/>
      <c r="B51" s="7"/>
      <c r="C51" s="102"/>
      <c r="D51" s="7"/>
      <c r="E51" s="7"/>
      <c r="F51" s="9"/>
      <c r="G51" s="9"/>
      <c r="H51" s="7"/>
      <c r="I51" s="7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03"/>
      <c r="AL51" s="7"/>
      <c r="AM51" s="7"/>
      <c r="AN51" s="7"/>
      <c r="AO51" s="7"/>
    </row>
    <row r="52" spans="1:41" ht="15.75" x14ac:dyDescent="0.25">
      <c r="A52" s="7"/>
      <c r="B52" s="7"/>
      <c r="C52" s="102"/>
      <c r="D52" s="7"/>
      <c r="E52" s="7"/>
      <c r="F52" s="9"/>
      <c r="G52" s="9"/>
      <c r="H52" s="7"/>
      <c r="I52" s="7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03"/>
      <c r="AL52" s="7"/>
      <c r="AM52" s="7"/>
      <c r="AN52" s="7"/>
      <c r="AO52" s="7"/>
    </row>
    <row r="53" spans="1:41" ht="15.75" x14ac:dyDescent="0.25">
      <c r="A53" s="7"/>
      <c r="B53" s="7"/>
      <c r="C53" s="102"/>
      <c r="D53" s="7"/>
      <c r="E53" s="7"/>
      <c r="F53" s="9"/>
      <c r="G53" s="9"/>
      <c r="H53" s="7"/>
      <c r="I53" s="7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03"/>
      <c r="AL53" s="7"/>
      <c r="AM53" s="7"/>
      <c r="AN53" s="7"/>
      <c r="AO53" s="7"/>
    </row>
    <row r="54" spans="1:41" ht="15.75" x14ac:dyDescent="0.25">
      <c r="A54" s="7"/>
      <c r="B54" s="7"/>
      <c r="C54" s="102"/>
      <c r="D54" s="7"/>
      <c r="E54" s="7"/>
      <c r="F54" s="9"/>
      <c r="G54" s="9"/>
      <c r="H54" s="7"/>
      <c r="I54" s="7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03"/>
      <c r="AL54" s="7"/>
      <c r="AM54" s="7"/>
      <c r="AN54" s="7"/>
      <c r="AO54" s="7"/>
    </row>
    <row r="55" spans="1:41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03"/>
      <c r="AL55" s="7"/>
      <c r="AM55" s="7"/>
      <c r="AN55" s="7"/>
      <c r="AO55" s="7"/>
    </row>
    <row r="56" spans="1:41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03"/>
      <c r="AL56" s="7"/>
      <c r="AM56" s="7"/>
      <c r="AN56" s="7"/>
      <c r="AO56" s="7"/>
    </row>
    <row r="57" spans="1:41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03"/>
      <c r="AL57" s="7"/>
      <c r="AM57" s="7"/>
      <c r="AN57" s="7"/>
      <c r="AO57" s="7"/>
    </row>
    <row r="58" spans="1:41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03"/>
      <c r="AL58" s="7"/>
      <c r="AM58" s="7"/>
      <c r="AN58" s="7"/>
      <c r="AO58" s="7"/>
    </row>
    <row r="59" spans="1:41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03"/>
      <c r="AL59" s="7"/>
      <c r="AM59" s="7"/>
      <c r="AN59" s="7"/>
      <c r="AO59" s="7"/>
    </row>
    <row r="60" spans="1:41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03"/>
      <c r="AL60" s="7"/>
      <c r="AM60" s="7"/>
      <c r="AN60" s="7"/>
      <c r="AO60" s="7"/>
    </row>
    <row r="61" spans="1:41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03"/>
      <c r="AL61" s="7"/>
      <c r="AM61" s="7"/>
      <c r="AN61" s="7"/>
      <c r="AO61" s="7"/>
    </row>
    <row r="62" spans="1:41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03"/>
      <c r="AL62" s="7"/>
      <c r="AM62" s="7"/>
      <c r="AN62" s="7"/>
      <c r="AO62" s="7"/>
    </row>
    <row r="63" spans="1:41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03"/>
      <c r="AL63" s="7"/>
      <c r="AM63" s="7"/>
      <c r="AN63" s="7"/>
      <c r="AO63" s="7"/>
    </row>
    <row r="64" spans="1:41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03"/>
      <c r="AL64" s="7"/>
      <c r="AM64" s="7"/>
      <c r="AN64" s="7"/>
      <c r="AO64" s="7"/>
    </row>
    <row r="65" spans="1:41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03"/>
      <c r="AL65" s="7"/>
      <c r="AM65" s="7"/>
      <c r="AN65" s="7"/>
      <c r="AO65" s="7"/>
    </row>
    <row r="66" spans="1:41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03"/>
      <c r="AL66" s="7"/>
      <c r="AM66" s="7"/>
      <c r="AN66" s="7"/>
      <c r="AO66" s="7"/>
    </row>
    <row r="67" spans="1:41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03"/>
      <c r="AL67" s="7"/>
      <c r="AM67" s="7"/>
      <c r="AN67" s="7"/>
      <c r="AO67" s="7"/>
    </row>
    <row r="68" spans="1:41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03"/>
      <c r="AL68" s="7"/>
      <c r="AM68" s="7"/>
      <c r="AN68" s="7"/>
      <c r="AO68" s="7"/>
    </row>
    <row r="69" spans="1:41" x14ac:dyDescent="0.25">
      <c r="A69" s="7"/>
      <c r="B69" s="7"/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03"/>
      <c r="AL69" s="7"/>
      <c r="AM69" s="7"/>
      <c r="AN69" s="7"/>
      <c r="AO69" s="7"/>
    </row>
    <row r="70" spans="1:41" ht="15.75" thickBot="1" x14ac:dyDescent="0.3">
      <c r="A70" s="7"/>
      <c r="B70" s="7"/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70"/>
      <c r="AL70" s="7"/>
      <c r="AM70" s="7"/>
      <c r="AN70" s="7"/>
      <c r="AO70" s="7"/>
    </row>
    <row r="71" spans="1:4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72" spans="1:4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</row>
    <row r="73" spans="1:4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</row>
    <row r="74" spans="1:4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</row>
    <row r="75" spans="1:4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</row>
    <row r="76" spans="1:4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</row>
    <row r="77" spans="1:4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</row>
    <row r="78" spans="1:4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</row>
    <row r="79" spans="1:4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</row>
    <row r="119" spans="17:17" x14ac:dyDescent="0.25">
      <c r="Q119" s="3" t="s">
        <v>49</v>
      </c>
    </row>
    <row r="137" spans="18:18" x14ac:dyDescent="0.25">
      <c r="R137" s="3" t="s">
        <v>49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AH28:AH30 I17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91D4FFA6-319E-4EE2-8406-899A86C821FF}">
          <x14:formula1>
            <xm:f>DataBank!$A$1:$A$6</xm:f>
          </x14:formula1>
          <xm:sqref>I15 N11:P11</xm:sqref>
        </x14:dataValidation>
        <x14:dataValidation type="list" allowBlank="1" showInputMessage="1" showErrorMessage="1" xr:uid="{6C5DE7C1-B0D8-4845-91CB-C976E6751679}">
          <x14:formula1>
            <xm:f>Systemblatt!$E$5:$E$23</xm:f>
          </x14:formula1>
          <xm:sqref>I16 N12:P27 AH10:AH27 AC10:AC27 W10:W27 T10:T27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C1:AU137"/>
  <sheetViews>
    <sheetView topLeftCell="E1" zoomScale="58" zoomScaleNormal="58" workbookViewId="0">
      <selection activeCell="P21" sqref="P2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28515625" style="3" customWidth="1"/>
    <col min="5" max="5" width="21.85546875" style="3" customWidth="1"/>
    <col min="6" max="6" width="15.28515625" style="3" customWidth="1"/>
    <col min="7" max="7" width="6.28515625" style="3" customWidth="1"/>
    <col min="8" max="8" width="24.85546875" style="3" customWidth="1"/>
    <col min="9" max="11" width="15.28515625" style="3" customWidth="1"/>
    <col min="12" max="12" width="4.28515625" style="3" customWidth="1"/>
    <col min="13" max="13" width="27.42578125" style="3" customWidth="1"/>
    <col min="14" max="14" width="15.28515625" style="3" customWidth="1"/>
    <col min="15" max="15" width="31" style="3" customWidth="1"/>
    <col min="16" max="16" width="27.140625" style="3" customWidth="1"/>
    <col min="17" max="18" width="15.28515625" style="3" customWidth="1"/>
    <col min="19" max="19" width="21.28515625" style="3" customWidth="1"/>
    <col min="20" max="20" width="19.85546875" style="3" customWidth="1"/>
    <col min="21" max="22" width="10.85546875" style="3"/>
    <col min="23" max="23" width="16.140625" style="3" customWidth="1"/>
    <col min="24" max="24" width="23" style="3" customWidth="1"/>
    <col min="25" max="25" width="20.7109375" style="3" customWidth="1"/>
    <col min="26" max="26" width="22.7109375" style="3" customWidth="1"/>
    <col min="27" max="28" width="10.85546875" style="3"/>
    <col min="29" max="29" width="19.710937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28515625" style="3" customWidth="1"/>
    <col min="35" max="35" width="15.140625" style="3" customWidth="1"/>
    <col min="36" max="37" width="10.85546875" style="3"/>
    <col min="38" max="38" width="18.42578125" style="3" customWidth="1"/>
    <col min="39" max="39" width="19.140625" style="3" bestFit="1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3:47" x14ac:dyDescent="0.25"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24"/>
    </row>
    <row r="4" spans="3:47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03"/>
    </row>
    <row r="5" spans="3:47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03"/>
    </row>
    <row r="6" spans="3:47" x14ac:dyDescent="0.25"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3"/>
      <c r="AL6" s="13"/>
      <c r="AM6" s="13"/>
      <c r="AN6" s="13"/>
      <c r="AO6" s="7"/>
      <c r="AP6" s="103"/>
    </row>
    <row r="7" spans="3:47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7"/>
      <c r="AJ7" s="7"/>
      <c r="AK7" s="7"/>
      <c r="AL7" s="7"/>
      <c r="AM7" s="7"/>
      <c r="AN7" s="7"/>
      <c r="AO7" s="7"/>
      <c r="AP7" s="103"/>
    </row>
    <row r="8" spans="3:47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7"/>
      <c r="AH8" s="525" t="s">
        <v>11</v>
      </c>
      <c r="AI8" s="526"/>
      <c r="AJ8" s="527"/>
      <c r="AK8" s="16"/>
      <c r="AL8" s="525" t="s">
        <v>12</v>
      </c>
      <c r="AM8" s="526"/>
      <c r="AN8" s="527"/>
      <c r="AO8" s="7"/>
      <c r="AP8" s="103"/>
    </row>
    <row r="9" spans="3:47" ht="21.75" thickBot="1" x14ac:dyDescent="0.4">
      <c r="C9" s="102"/>
      <c r="D9" s="81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7"/>
      <c r="AH9" s="214" t="s">
        <v>76</v>
      </c>
      <c r="AI9" s="100" t="s">
        <v>141</v>
      </c>
      <c r="AJ9" s="214" t="s">
        <v>1</v>
      </c>
      <c r="AK9" s="15"/>
      <c r="AL9" s="100" t="s">
        <v>141</v>
      </c>
      <c r="AM9" s="100" t="s">
        <v>142</v>
      </c>
      <c r="AN9" s="100" t="s">
        <v>143</v>
      </c>
      <c r="AO9" s="7"/>
      <c r="AP9" s="103"/>
    </row>
    <row r="10" spans="3:47" ht="18.75" x14ac:dyDescent="0.3">
      <c r="C10" s="102"/>
      <c r="D10" s="73" t="s">
        <v>2</v>
      </c>
      <c r="E10" s="74"/>
      <c r="F10" s="88"/>
      <c r="G10" s="88"/>
      <c r="H10" s="75" t="s">
        <v>3</v>
      </c>
      <c r="I10" s="76"/>
      <c r="J10" s="88"/>
      <c r="K10" s="88"/>
      <c r="L10" s="88"/>
      <c r="M10" s="73" t="s">
        <v>121</v>
      </c>
      <c r="N10" s="93"/>
      <c r="O10" s="93"/>
      <c r="P10" s="74"/>
      <c r="Q10" s="88"/>
      <c r="R10" s="88"/>
      <c r="S10" s="201"/>
      <c r="T10" s="93"/>
      <c r="U10" s="202"/>
      <c r="V10" s="155"/>
      <c r="W10" s="152"/>
      <c r="X10" s="83"/>
      <c r="Y10" s="153"/>
      <c r="Z10" s="154"/>
      <c r="AA10" s="83"/>
      <c r="AB10" s="288"/>
      <c r="AC10" s="93"/>
      <c r="AD10" s="284"/>
      <c r="AE10" s="93"/>
      <c r="AF10" s="203"/>
      <c r="AG10" s="83"/>
      <c r="AH10" s="287"/>
      <c r="AI10" s="284"/>
      <c r="AJ10" s="203"/>
      <c r="AK10" s="155"/>
      <c r="AL10" s="288"/>
      <c r="AM10" s="93"/>
      <c r="AN10" s="203"/>
      <c r="AO10" s="7"/>
      <c r="AP10" s="103"/>
      <c r="AQ10" s="7"/>
      <c r="AR10" s="7"/>
      <c r="AS10" s="7"/>
      <c r="AT10" s="7"/>
      <c r="AU10" s="7"/>
    </row>
    <row r="11" spans="3:47" ht="18.75" x14ac:dyDescent="0.3">
      <c r="C11" s="102"/>
      <c r="D11" s="75" t="s">
        <v>4</v>
      </c>
      <c r="E11" s="76"/>
      <c r="F11" s="88"/>
      <c r="G11" s="88"/>
      <c r="H11" s="75" t="s">
        <v>113</v>
      </c>
      <c r="I11" s="76"/>
      <c r="J11" s="88"/>
      <c r="K11" s="88"/>
      <c r="L11" s="88"/>
      <c r="M11" s="84" t="s">
        <v>122</v>
      </c>
      <c r="N11" s="83"/>
      <c r="O11" s="83"/>
      <c r="P11" s="76"/>
      <c r="Q11" s="88"/>
      <c r="R11" s="88"/>
      <c r="S11" s="156"/>
      <c r="T11" s="83"/>
      <c r="U11" s="157"/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83"/>
      <c r="AH11" s="158"/>
      <c r="AI11" s="186"/>
      <c r="AJ11" s="188"/>
      <c r="AK11" s="155"/>
      <c r="AL11" s="187"/>
      <c r="AM11" s="83"/>
      <c r="AN11" s="188"/>
      <c r="AO11" s="7"/>
      <c r="AP11" s="103"/>
      <c r="AQ11" s="7"/>
      <c r="AR11" s="7"/>
      <c r="AS11" s="7"/>
      <c r="AT11" s="7"/>
      <c r="AU11" s="7"/>
    </row>
    <row r="12" spans="3:47" ht="18.75" x14ac:dyDescent="0.3">
      <c r="C12" s="102"/>
      <c r="D12" s="75" t="s">
        <v>90</v>
      </c>
      <c r="E12" s="76" t="s">
        <v>52</v>
      </c>
      <c r="F12" s="88"/>
      <c r="G12" s="88"/>
      <c r="H12" s="75" t="s">
        <v>114</v>
      </c>
      <c r="I12" s="76"/>
      <c r="J12" s="88"/>
      <c r="K12" s="88"/>
      <c r="L12" s="88"/>
      <c r="M12" s="84" t="s">
        <v>123</v>
      </c>
      <c r="N12" s="83"/>
      <c r="O12" s="83"/>
      <c r="P12" s="76"/>
      <c r="Q12" s="88"/>
      <c r="R12" s="88"/>
      <c r="S12" s="156"/>
      <c r="T12" s="83"/>
      <c r="U12" s="157"/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83"/>
      <c r="AH12" s="158"/>
      <c r="AI12" s="186"/>
      <c r="AJ12" s="188"/>
      <c r="AK12" s="155"/>
      <c r="AL12" s="187"/>
      <c r="AM12" s="83"/>
      <c r="AN12" s="188"/>
      <c r="AO12" s="7"/>
      <c r="AP12" s="103"/>
      <c r="AQ12" s="7"/>
      <c r="AR12" s="7"/>
      <c r="AS12" s="7"/>
      <c r="AT12" s="7"/>
      <c r="AU12" s="7"/>
    </row>
    <row r="13" spans="3:47" ht="18.75" x14ac:dyDescent="0.3">
      <c r="C13" s="102"/>
      <c r="D13" s="75" t="s">
        <v>102</v>
      </c>
      <c r="E13" s="76"/>
      <c r="F13" s="88"/>
      <c r="G13" s="88"/>
      <c r="H13" s="75" t="s">
        <v>115</v>
      </c>
      <c r="I13" s="76"/>
      <c r="J13" s="88"/>
      <c r="K13" s="88"/>
      <c r="L13" s="88"/>
      <c r="M13" s="84"/>
      <c r="N13" s="83"/>
      <c r="O13" s="83"/>
      <c r="P13" s="76"/>
      <c r="Q13" s="88"/>
      <c r="R13" s="88"/>
      <c r="S13" s="56"/>
      <c r="T13" s="83"/>
      <c r="U13" s="34"/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83"/>
      <c r="AH13" s="158"/>
      <c r="AI13" s="186"/>
      <c r="AJ13" s="188"/>
      <c r="AK13" s="155"/>
      <c r="AL13" s="180"/>
      <c r="AM13" s="83"/>
      <c r="AN13" s="182"/>
      <c r="AO13" s="7"/>
      <c r="AP13" s="103"/>
      <c r="AQ13" s="7"/>
      <c r="AR13" s="7"/>
      <c r="AS13" s="7"/>
      <c r="AT13" s="7"/>
      <c r="AU13" s="7"/>
    </row>
    <row r="14" spans="3:47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76"/>
      <c r="J14" s="88"/>
      <c r="K14" s="88"/>
      <c r="L14" s="88"/>
      <c r="M14" s="85"/>
      <c r="N14" s="83"/>
      <c r="O14" s="83"/>
      <c r="P14" s="76"/>
      <c r="Q14" s="88"/>
      <c r="R14" s="88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83"/>
      <c r="AH14" s="158"/>
      <c r="AI14" s="186"/>
      <c r="AJ14" s="188"/>
      <c r="AK14" s="155"/>
      <c r="AL14" s="56"/>
      <c r="AM14" s="83"/>
      <c r="AN14" s="34"/>
      <c r="AO14" s="7"/>
      <c r="AP14" s="103"/>
      <c r="AQ14" s="7"/>
      <c r="AR14" s="7"/>
      <c r="AS14" s="7"/>
      <c r="AT14" s="7"/>
      <c r="AU14" s="7"/>
    </row>
    <row r="15" spans="3:47" ht="18.75" x14ac:dyDescent="0.3">
      <c r="C15" s="102"/>
      <c r="D15" s="75" t="s">
        <v>104</v>
      </c>
      <c r="E15" s="204">
        <v>2.6</v>
      </c>
      <c r="F15" s="88"/>
      <c r="G15" s="88"/>
      <c r="H15" s="84" t="s">
        <v>117</v>
      </c>
      <c r="I15" s="76"/>
      <c r="J15" s="88"/>
      <c r="K15" s="88"/>
      <c r="L15" s="88"/>
      <c r="M15" s="85"/>
      <c r="N15" s="83"/>
      <c r="O15" s="83"/>
      <c r="P15" s="76"/>
      <c r="Q15" s="88"/>
      <c r="R15" s="88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83"/>
      <c r="AH15" s="158"/>
      <c r="AI15" s="186"/>
      <c r="AJ15" s="188"/>
      <c r="AK15" s="155"/>
      <c r="AL15" s="56"/>
      <c r="AM15" s="83"/>
      <c r="AN15" s="34"/>
      <c r="AO15" s="7"/>
      <c r="AP15" s="103"/>
      <c r="AQ15" s="7"/>
      <c r="AR15" s="7"/>
      <c r="AS15" s="7"/>
      <c r="AT15" s="7"/>
      <c r="AU15" s="7"/>
    </row>
    <row r="16" spans="3:47" ht="18.75" x14ac:dyDescent="0.3">
      <c r="C16" s="102"/>
      <c r="D16" s="75" t="s">
        <v>105</v>
      </c>
      <c r="E16" s="204">
        <v>1.44</v>
      </c>
      <c r="F16" s="88"/>
      <c r="G16" s="88"/>
      <c r="H16" s="84" t="s">
        <v>101</v>
      </c>
      <c r="I16" s="76"/>
      <c r="J16" s="88"/>
      <c r="K16" s="88"/>
      <c r="L16" s="88"/>
      <c r="M16" s="85"/>
      <c r="N16" s="83"/>
      <c r="O16" s="83"/>
      <c r="P16" s="76"/>
      <c r="Q16" s="88"/>
      <c r="R16" s="88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83"/>
      <c r="AH16" s="158"/>
      <c r="AI16" s="181"/>
      <c r="AJ16" s="182"/>
      <c r="AK16" s="83"/>
      <c r="AL16" s="158"/>
      <c r="AM16" s="83"/>
      <c r="AN16" s="76"/>
      <c r="AO16" s="7"/>
      <c r="AP16" s="103"/>
      <c r="AQ16" s="7"/>
      <c r="AR16" s="7"/>
      <c r="AS16" s="7"/>
      <c r="AT16" s="7"/>
      <c r="AU16" s="7"/>
    </row>
    <row r="17" spans="3:47" ht="18.75" x14ac:dyDescent="0.3">
      <c r="C17" s="102"/>
      <c r="D17" s="75" t="s">
        <v>106</v>
      </c>
      <c r="E17" s="76"/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88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83"/>
      <c r="AH17" s="158"/>
      <c r="AI17" s="181"/>
      <c r="AJ17" s="182"/>
      <c r="AK17" s="83"/>
      <c r="AL17" s="158"/>
      <c r="AM17" s="83"/>
      <c r="AN17" s="76"/>
      <c r="AO17" s="7"/>
      <c r="AP17" s="103"/>
      <c r="AQ17" s="7"/>
      <c r="AR17" s="7"/>
      <c r="AS17" s="7"/>
      <c r="AT17" s="7"/>
      <c r="AU17" s="7"/>
    </row>
    <row r="18" spans="3:47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88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83"/>
      <c r="AH18" s="158"/>
      <c r="AI18" s="181"/>
      <c r="AJ18" s="182"/>
      <c r="AK18" s="83"/>
      <c r="AL18" s="158"/>
      <c r="AM18" s="83"/>
      <c r="AN18" s="76"/>
      <c r="AO18" s="7"/>
      <c r="AP18" s="103"/>
      <c r="AQ18" s="7"/>
      <c r="AR18" s="7"/>
      <c r="AS18" s="7"/>
      <c r="AT18" s="7"/>
      <c r="AU18" s="7"/>
    </row>
    <row r="19" spans="3:47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88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83"/>
      <c r="AH19" s="158"/>
      <c r="AI19" s="181"/>
      <c r="AJ19" s="182"/>
      <c r="AK19" s="83"/>
      <c r="AL19" s="158"/>
      <c r="AM19" s="83"/>
      <c r="AN19" s="76"/>
      <c r="AO19" s="7"/>
      <c r="AP19" s="103"/>
      <c r="AQ19" s="7"/>
      <c r="AR19" s="7"/>
      <c r="AS19" s="7"/>
      <c r="AT19" s="7"/>
      <c r="AU19" s="7"/>
    </row>
    <row r="20" spans="3:47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3"/>
      <c r="O20" s="83"/>
      <c r="P20" s="76"/>
      <c r="Q20" s="88"/>
      <c r="R20" s="88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83"/>
      <c r="AH20" s="158"/>
      <c r="AI20" s="83"/>
      <c r="AJ20" s="76"/>
      <c r="AK20" s="83"/>
      <c r="AL20" s="158"/>
      <c r="AM20" s="83"/>
      <c r="AN20" s="76"/>
      <c r="AO20" s="7"/>
      <c r="AP20" s="103"/>
      <c r="AQ20" s="7"/>
      <c r="AR20" s="7"/>
      <c r="AS20" s="7"/>
      <c r="AT20" s="7"/>
      <c r="AU20" s="7"/>
    </row>
    <row r="21" spans="3:47" ht="18.75" x14ac:dyDescent="0.3">
      <c r="C21" s="102"/>
      <c r="D21" s="77" t="s">
        <v>110</v>
      </c>
      <c r="E21" s="76">
        <v>0.83</v>
      </c>
      <c r="F21" s="88"/>
      <c r="G21" s="88"/>
      <c r="H21" s="159"/>
      <c r="I21" s="76"/>
      <c r="J21" s="88"/>
      <c r="K21" s="88"/>
      <c r="L21" s="88"/>
      <c r="M21" s="159"/>
      <c r="N21" s="83"/>
      <c r="O21" s="83"/>
      <c r="P21" s="76"/>
      <c r="Q21" s="88"/>
      <c r="R21" s="88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83"/>
      <c r="AH21" s="158"/>
      <c r="AI21" s="83"/>
      <c r="AJ21" s="76"/>
      <c r="AK21" s="83"/>
      <c r="AL21" s="158"/>
      <c r="AM21" s="83"/>
      <c r="AN21" s="76"/>
      <c r="AO21" s="7"/>
      <c r="AP21" s="103"/>
      <c r="AQ21" s="7"/>
      <c r="AR21" s="7"/>
      <c r="AS21" s="7"/>
      <c r="AT21" s="7"/>
      <c r="AU21" s="7"/>
    </row>
    <row r="22" spans="3:47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3"/>
      <c r="O22" s="83"/>
      <c r="P22" s="76"/>
      <c r="Q22" s="88"/>
      <c r="R22" s="88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83"/>
      <c r="AH22" s="158"/>
      <c r="AI22" s="83"/>
      <c r="AJ22" s="76"/>
      <c r="AK22" s="83"/>
      <c r="AL22" s="158"/>
      <c r="AM22" s="83"/>
      <c r="AN22" s="76"/>
      <c r="AO22" s="7"/>
      <c r="AP22" s="103"/>
      <c r="AQ22" s="7"/>
      <c r="AR22" s="7"/>
      <c r="AS22" s="7"/>
      <c r="AT22" s="7"/>
      <c r="AU22" s="7"/>
    </row>
    <row r="23" spans="3:47" ht="18.75" x14ac:dyDescent="0.3">
      <c r="C23" s="102"/>
      <c r="D23" s="77" t="s">
        <v>112</v>
      </c>
      <c r="E23" s="76"/>
      <c r="F23" s="88"/>
      <c r="G23" s="88"/>
      <c r="H23" s="159"/>
      <c r="I23" s="76"/>
      <c r="J23" s="88"/>
      <c r="K23" s="88"/>
      <c r="L23" s="88"/>
      <c r="M23" s="159"/>
      <c r="N23" s="83"/>
      <c r="O23" s="83"/>
      <c r="P23" s="76"/>
      <c r="Q23" s="88"/>
      <c r="R23" s="88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83"/>
      <c r="AH23" s="158"/>
      <c r="AI23" s="186"/>
      <c r="AJ23" s="188"/>
      <c r="AK23" s="83"/>
      <c r="AL23" s="158"/>
      <c r="AM23" s="83"/>
      <c r="AN23" s="76"/>
      <c r="AO23" s="7"/>
      <c r="AP23" s="103"/>
      <c r="AQ23" s="7"/>
      <c r="AR23" s="7"/>
      <c r="AS23" s="7"/>
      <c r="AT23" s="7"/>
      <c r="AU23" s="7"/>
    </row>
    <row r="24" spans="3:47" ht="18.75" x14ac:dyDescent="0.3">
      <c r="C24" s="102"/>
      <c r="D24" s="193" t="s">
        <v>135</v>
      </c>
      <c r="E24" s="76"/>
      <c r="F24" s="88"/>
      <c r="G24" s="88"/>
      <c r="H24" s="159"/>
      <c r="I24" s="76"/>
      <c r="J24" s="88"/>
      <c r="K24" s="88"/>
      <c r="L24" s="88"/>
      <c r="M24" s="159"/>
      <c r="N24" s="83"/>
      <c r="O24" s="83"/>
      <c r="P24" s="76"/>
      <c r="Q24" s="88"/>
      <c r="R24" s="88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83"/>
      <c r="AH24" s="158"/>
      <c r="AI24" s="83"/>
      <c r="AJ24" s="76"/>
      <c r="AK24" s="83"/>
      <c r="AL24" s="158"/>
      <c r="AM24" s="83"/>
      <c r="AN24" s="76"/>
      <c r="AO24" s="7"/>
      <c r="AP24" s="103"/>
      <c r="AQ24" s="7"/>
      <c r="AR24" s="7"/>
      <c r="AS24" s="7"/>
      <c r="AT24" s="7"/>
      <c r="AU24" s="7"/>
    </row>
    <row r="25" spans="3:47" ht="18.75" x14ac:dyDescent="0.3">
      <c r="C25" s="102"/>
      <c r="D25" s="193" t="s">
        <v>136</v>
      </c>
      <c r="E25" s="182"/>
      <c r="F25" s="163"/>
      <c r="G25" s="163"/>
      <c r="H25" s="175"/>
      <c r="I25" s="182"/>
      <c r="J25" s="163"/>
      <c r="K25" s="163"/>
      <c r="L25" s="163"/>
      <c r="M25" s="175"/>
      <c r="N25" s="83"/>
      <c r="O25" s="83"/>
      <c r="P25" s="76"/>
      <c r="Q25" s="163"/>
      <c r="R25" s="88"/>
      <c r="S25" s="158"/>
      <c r="T25" s="83"/>
      <c r="U25" s="76"/>
      <c r="V25" s="83"/>
      <c r="W25" s="180"/>
      <c r="X25" s="181"/>
      <c r="Y25" s="181"/>
      <c r="Z25" s="182"/>
      <c r="AA25" s="83"/>
      <c r="AB25" s="158"/>
      <c r="AC25" s="83"/>
      <c r="AD25" s="83"/>
      <c r="AE25" s="83"/>
      <c r="AF25" s="76"/>
      <c r="AG25" s="83"/>
      <c r="AH25" s="158"/>
      <c r="AI25" s="83"/>
      <c r="AJ25" s="76"/>
      <c r="AK25" s="83"/>
      <c r="AL25" s="158"/>
      <c r="AM25" s="83"/>
      <c r="AN25" s="76"/>
      <c r="AO25" s="7"/>
      <c r="AP25" s="103"/>
      <c r="AQ25" s="7"/>
      <c r="AR25" s="7"/>
      <c r="AS25" s="7"/>
      <c r="AT25" s="7"/>
      <c r="AU25" s="7"/>
    </row>
    <row r="26" spans="3:47" ht="18.75" x14ac:dyDescent="0.3">
      <c r="C26" s="102"/>
      <c r="D26" s="194" t="s">
        <v>137</v>
      </c>
      <c r="E26" s="76"/>
      <c r="F26" s="88"/>
      <c r="G26" s="88"/>
      <c r="H26" s="159"/>
      <c r="I26" s="76"/>
      <c r="J26" s="88"/>
      <c r="K26" s="88"/>
      <c r="L26" s="88"/>
      <c r="M26" s="159"/>
      <c r="N26" s="83"/>
      <c r="O26" s="83"/>
      <c r="P26" s="76"/>
      <c r="Q26" s="88"/>
      <c r="R26" s="88"/>
      <c r="S26" s="158"/>
      <c r="T26" s="83"/>
      <c r="U26" s="76"/>
      <c r="V26" s="83"/>
      <c r="W26" s="180"/>
      <c r="X26" s="181"/>
      <c r="Y26" s="181"/>
      <c r="Z26" s="182"/>
      <c r="AA26" s="83"/>
      <c r="AB26" s="158"/>
      <c r="AC26" s="83"/>
      <c r="AD26" s="83"/>
      <c r="AE26" s="83"/>
      <c r="AF26" s="76"/>
      <c r="AG26" s="83"/>
      <c r="AH26" s="158"/>
      <c r="AI26" s="83"/>
      <c r="AJ26" s="76"/>
      <c r="AK26" s="83"/>
      <c r="AL26" s="158"/>
      <c r="AM26" s="83"/>
      <c r="AN26" s="76"/>
      <c r="AO26" s="7"/>
      <c r="AP26" s="103"/>
      <c r="AQ26" s="7"/>
      <c r="AR26" s="7"/>
      <c r="AS26" s="7"/>
      <c r="AT26" s="7"/>
      <c r="AU26" s="7"/>
    </row>
    <row r="27" spans="3:47" ht="19.5" thickBot="1" x14ac:dyDescent="0.35">
      <c r="C27" s="102"/>
      <c r="D27" s="195" t="s">
        <v>145</v>
      </c>
      <c r="E27" s="79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88"/>
      <c r="S27" s="161"/>
      <c r="T27" s="162"/>
      <c r="U27" s="79"/>
      <c r="V27" s="83"/>
      <c r="W27" s="183"/>
      <c r="X27" s="184"/>
      <c r="Y27" s="184"/>
      <c r="Z27" s="185"/>
      <c r="AA27" s="83"/>
      <c r="AB27" s="161"/>
      <c r="AC27" s="162"/>
      <c r="AD27" s="162"/>
      <c r="AE27" s="162"/>
      <c r="AF27" s="79"/>
      <c r="AG27" s="83"/>
      <c r="AH27" s="161"/>
      <c r="AI27" s="162"/>
      <c r="AJ27" s="79"/>
      <c r="AK27" s="83"/>
      <c r="AL27" s="161"/>
      <c r="AM27" s="162"/>
      <c r="AN27" s="79"/>
      <c r="AO27" s="7"/>
      <c r="AP27" s="103"/>
      <c r="AQ27" s="7"/>
      <c r="AR27" s="7"/>
      <c r="AS27" s="7"/>
      <c r="AT27" s="7"/>
      <c r="AU27" s="7"/>
    </row>
    <row r="28" spans="3:47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03"/>
      <c r="AQ28" s="7"/>
      <c r="AR28" s="7"/>
      <c r="AS28" s="7"/>
      <c r="AT28" s="7"/>
      <c r="AU28" s="7"/>
    </row>
    <row r="29" spans="3:47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03"/>
      <c r="AQ29" s="7"/>
      <c r="AR29" s="7"/>
      <c r="AS29" s="7"/>
      <c r="AT29" s="7"/>
      <c r="AU29" s="7"/>
    </row>
    <row r="30" spans="3:47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03"/>
      <c r="AQ30" s="7"/>
      <c r="AR30" s="7"/>
      <c r="AS30" s="7"/>
      <c r="AT30" s="7"/>
      <c r="AU30" s="7"/>
    </row>
    <row r="31" spans="3:47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03"/>
      <c r="AQ31" s="7"/>
      <c r="AR31" s="7"/>
      <c r="AS31" s="7"/>
      <c r="AT31" s="7"/>
      <c r="AU31" s="7"/>
    </row>
    <row r="32" spans="3:47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03"/>
      <c r="AQ32" s="7"/>
      <c r="AR32" s="7"/>
      <c r="AS32" s="7"/>
      <c r="AT32" s="7"/>
      <c r="AU32" s="7"/>
    </row>
    <row r="33" spans="3:47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03"/>
      <c r="AQ33" s="7"/>
      <c r="AR33" s="7"/>
      <c r="AS33" s="7"/>
      <c r="AT33" s="7"/>
      <c r="AU33" s="7"/>
    </row>
    <row r="34" spans="3:47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03"/>
      <c r="AQ34" s="7"/>
      <c r="AR34" s="7"/>
      <c r="AS34" s="7"/>
      <c r="AT34" s="7"/>
      <c r="AU34" s="7"/>
    </row>
    <row r="35" spans="3:47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03"/>
      <c r="AQ35" s="7"/>
      <c r="AR35" s="7"/>
      <c r="AS35" s="7"/>
      <c r="AT35" s="7"/>
      <c r="AU35" s="7"/>
    </row>
    <row r="36" spans="3:47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03"/>
      <c r="AQ36" s="7"/>
      <c r="AR36" s="7"/>
      <c r="AS36" s="7"/>
      <c r="AT36" s="7"/>
      <c r="AU36" s="7"/>
    </row>
    <row r="37" spans="3:47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03"/>
      <c r="AQ37" s="7"/>
      <c r="AR37" s="7"/>
      <c r="AS37" s="7"/>
      <c r="AT37" s="7"/>
      <c r="AU37" s="7"/>
    </row>
    <row r="38" spans="3:47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03"/>
      <c r="AQ38" s="7"/>
      <c r="AR38" s="7"/>
      <c r="AS38" s="7"/>
      <c r="AT38" s="7"/>
      <c r="AU38" s="7"/>
    </row>
    <row r="39" spans="3:47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03"/>
      <c r="AQ39" s="7"/>
      <c r="AR39" s="7"/>
      <c r="AS39" s="7"/>
      <c r="AT39" s="7"/>
      <c r="AU39" s="7"/>
    </row>
    <row r="40" spans="3:47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03"/>
      <c r="AQ40" s="7"/>
      <c r="AR40" s="7"/>
      <c r="AS40" s="7"/>
      <c r="AT40" s="7"/>
      <c r="AU40" s="7"/>
    </row>
    <row r="41" spans="3:47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03"/>
      <c r="AQ41" s="7"/>
      <c r="AR41" s="7"/>
      <c r="AS41" s="7"/>
      <c r="AT41" s="7"/>
      <c r="AU41" s="7"/>
    </row>
    <row r="42" spans="3:47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03"/>
      <c r="AQ42" s="7"/>
      <c r="AR42" s="7"/>
      <c r="AS42" s="7"/>
      <c r="AT42" s="7"/>
      <c r="AU42" s="7"/>
    </row>
    <row r="43" spans="3:47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03"/>
      <c r="AQ43" s="7"/>
      <c r="AR43" s="7"/>
      <c r="AS43" s="7"/>
      <c r="AT43" s="7"/>
      <c r="AU43" s="7"/>
    </row>
    <row r="44" spans="3:47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03"/>
      <c r="AQ44" s="7"/>
      <c r="AR44" s="7"/>
      <c r="AS44" s="7"/>
      <c r="AT44" s="7"/>
      <c r="AU44" s="7"/>
    </row>
    <row r="45" spans="3:47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03"/>
      <c r="AQ45" s="7"/>
      <c r="AR45" s="7"/>
      <c r="AS45" s="7"/>
      <c r="AT45" s="7"/>
      <c r="AU45" s="7"/>
    </row>
    <row r="46" spans="3:47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03"/>
      <c r="AQ46" s="7"/>
      <c r="AR46" s="7"/>
      <c r="AS46" s="7"/>
      <c r="AT46" s="7"/>
      <c r="AU46" s="7"/>
    </row>
    <row r="47" spans="3:47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1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03"/>
      <c r="AQ47" s="7"/>
      <c r="AR47" s="7"/>
      <c r="AS47" s="7"/>
      <c r="AT47" s="7"/>
      <c r="AU47" s="7"/>
    </row>
    <row r="48" spans="3:47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03"/>
      <c r="AQ48" s="7"/>
      <c r="AR48" s="7"/>
      <c r="AS48" s="7"/>
      <c r="AT48" s="7"/>
      <c r="AU48" s="7"/>
    </row>
    <row r="49" spans="3:47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03"/>
      <c r="AQ49" s="7"/>
      <c r="AR49" s="7"/>
      <c r="AS49" s="7"/>
      <c r="AT49" s="7"/>
      <c r="AU49" s="7"/>
    </row>
    <row r="50" spans="3:47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03"/>
      <c r="AQ50" s="7"/>
      <c r="AR50" s="7"/>
      <c r="AS50" s="7"/>
      <c r="AT50" s="7"/>
      <c r="AU50" s="7"/>
    </row>
    <row r="51" spans="3:47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03"/>
      <c r="AQ51" s="7"/>
      <c r="AR51" s="7"/>
      <c r="AS51" s="7"/>
      <c r="AT51" s="7"/>
      <c r="AU51" s="7"/>
    </row>
    <row r="52" spans="3:47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03"/>
      <c r="AQ52" s="7"/>
      <c r="AR52" s="7"/>
      <c r="AS52" s="7"/>
      <c r="AT52" s="7"/>
      <c r="AU52" s="7"/>
    </row>
    <row r="53" spans="3:47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03"/>
      <c r="AQ53" s="7"/>
      <c r="AR53" s="7"/>
      <c r="AS53" s="7"/>
      <c r="AT53" s="7"/>
      <c r="AU53" s="7"/>
    </row>
    <row r="54" spans="3:47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03"/>
      <c r="AQ54" s="7"/>
      <c r="AR54" s="7"/>
      <c r="AS54" s="7"/>
      <c r="AT54" s="7"/>
      <c r="AU54" s="7"/>
    </row>
    <row r="55" spans="3:47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03"/>
      <c r="AQ55" s="7"/>
      <c r="AR55" s="7"/>
      <c r="AS55" s="7"/>
      <c r="AT55" s="7"/>
      <c r="AU55" s="7"/>
    </row>
    <row r="56" spans="3:47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03"/>
      <c r="AQ56" s="7"/>
      <c r="AR56" s="7"/>
      <c r="AS56" s="7"/>
      <c r="AT56" s="7"/>
      <c r="AU56" s="7"/>
    </row>
    <row r="57" spans="3:47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03"/>
      <c r="AQ57" s="7"/>
      <c r="AR57" s="7"/>
      <c r="AS57" s="7"/>
      <c r="AT57" s="7"/>
      <c r="AU57" s="7"/>
    </row>
    <row r="58" spans="3:47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03"/>
      <c r="AQ58" s="7"/>
      <c r="AR58" s="7"/>
      <c r="AS58" s="7"/>
      <c r="AT58" s="7"/>
      <c r="AU58" s="7"/>
    </row>
    <row r="59" spans="3:47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03"/>
      <c r="AQ59" s="7"/>
      <c r="AR59" s="7"/>
      <c r="AS59" s="7"/>
      <c r="AT59" s="7"/>
      <c r="AU59" s="7"/>
    </row>
    <row r="60" spans="3:47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03"/>
      <c r="AQ60" s="7"/>
      <c r="AR60" s="7"/>
      <c r="AS60" s="7"/>
      <c r="AT60" s="7"/>
      <c r="AU60" s="7"/>
    </row>
    <row r="61" spans="3:47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03"/>
      <c r="AQ61" s="7"/>
      <c r="AR61" s="7"/>
      <c r="AS61" s="7"/>
      <c r="AT61" s="7"/>
      <c r="AU61" s="7"/>
    </row>
    <row r="62" spans="3:47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03"/>
      <c r="AQ62" s="7"/>
      <c r="AR62" s="7"/>
      <c r="AS62" s="7"/>
      <c r="AT62" s="7"/>
      <c r="AU62" s="7"/>
    </row>
    <row r="63" spans="3:47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03"/>
      <c r="AQ63" s="7"/>
      <c r="AR63" s="7"/>
      <c r="AS63" s="7"/>
      <c r="AT63" s="7"/>
      <c r="AU63" s="7"/>
    </row>
    <row r="64" spans="3:47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03"/>
      <c r="AQ64" s="7"/>
      <c r="AR64" s="7"/>
      <c r="AS64" s="7"/>
      <c r="AT64" s="7"/>
      <c r="AU64" s="7"/>
    </row>
    <row r="65" spans="3:47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03"/>
      <c r="AQ65" s="7"/>
      <c r="AR65" s="7"/>
      <c r="AS65" s="7"/>
      <c r="AT65" s="7"/>
      <c r="AU65" s="7"/>
    </row>
    <row r="66" spans="3:47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03"/>
      <c r="AQ66" s="7"/>
      <c r="AR66" s="7"/>
      <c r="AS66" s="7"/>
      <c r="AT66" s="7"/>
      <c r="AU66" s="7"/>
    </row>
    <row r="67" spans="3:47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03"/>
      <c r="AQ67" s="7"/>
      <c r="AR67" s="7"/>
      <c r="AS67" s="7"/>
      <c r="AT67" s="7"/>
      <c r="AU67" s="7"/>
    </row>
    <row r="68" spans="3:47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03"/>
      <c r="AQ68" s="7"/>
      <c r="AR68" s="7"/>
      <c r="AS68" s="7"/>
      <c r="AT68" s="7"/>
      <c r="AU68" s="7"/>
    </row>
    <row r="69" spans="3:47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03"/>
      <c r="AQ69" s="7"/>
      <c r="AR69" s="7"/>
      <c r="AS69" s="7"/>
      <c r="AT69" s="7"/>
      <c r="AU69" s="7"/>
    </row>
    <row r="70" spans="3:47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70"/>
      <c r="AQ70" s="7"/>
      <c r="AR70" s="7"/>
      <c r="AS70" s="7"/>
      <c r="AT70" s="7"/>
      <c r="AU70" s="7"/>
    </row>
    <row r="71" spans="3:47" x14ac:dyDescent="0.25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5">
      <c r="H127" s="3" t="s">
        <v>49</v>
      </c>
    </row>
    <row r="137" spans="17:17" x14ac:dyDescent="0.25">
      <c r="Q137" s="3" t="s">
        <v>49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D819596-4A5A-C146-ABDB-C7E186A2C8CB}">
          <x14:formula1>
            <xm:f>Systemblatt!$E$5:$E$12</xm:f>
          </x14:formula1>
          <xm:sqref>AH28:AH30 AM28:AM30 I17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D2C6A326-998B-415F-B3A5-9EF7170F3101}">
          <x14:formula1>
            <xm:f>DataBank!$A$1:$A$6</xm:f>
          </x14:formula1>
          <xm:sqref>I15 N11:P11</xm:sqref>
        </x14:dataValidation>
        <x14:dataValidation type="list" allowBlank="1" showInputMessage="1" showErrorMessage="1" xr:uid="{8ACA7AD2-5679-45F6-B830-D36D5F143D6A}">
          <x14:formula1>
            <xm:f>Systemblatt!$E$5:$E$23</xm:f>
          </x14:formula1>
          <xm:sqref>I16 N12:P27 AM10:AM27 AH10:AH27 AC10:AC27 T10:T27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N29" sqref="N29"/>
    </sheetView>
  </sheetViews>
  <sheetFormatPr baseColWidth="10" defaultColWidth="10.85546875" defaultRowHeight="15.75" x14ac:dyDescent="0.25"/>
  <cols>
    <col min="1" max="3" width="10.85546875" style="2"/>
    <col min="4" max="4" width="16.7109375" style="2" customWidth="1"/>
    <col min="5" max="5" width="13.7109375" style="2" customWidth="1"/>
    <col min="6" max="6" width="10.85546875" style="2"/>
    <col min="7" max="7" width="12.140625" style="2" customWidth="1"/>
    <col min="8" max="16384" width="10.85546875" style="2"/>
  </cols>
  <sheetData>
    <row r="1" spans="1:7" x14ac:dyDescent="0.25">
      <c r="A1" s="2">
        <v>1</v>
      </c>
    </row>
    <row r="2" spans="1:7" ht="16.5" thickBot="1" x14ac:dyDescent="0.3"/>
    <row r="3" spans="1:7" x14ac:dyDescent="0.25">
      <c r="B3" s="67"/>
      <c r="C3" s="39"/>
      <c r="D3" s="39"/>
      <c r="E3" s="39"/>
      <c r="F3" s="39"/>
      <c r="G3" s="206" t="s">
        <v>24</v>
      </c>
    </row>
    <row r="4" spans="1:7" ht="21" customHeight="1" x14ac:dyDescent="0.25">
      <c r="B4" s="42"/>
      <c r="C4" s="18"/>
      <c r="D4" s="18"/>
      <c r="E4" s="18"/>
      <c r="F4" s="18"/>
      <c r="G4" s="41"/>
    </row>
    <row r="5" spans="1:7" ht="21" customHeight="1" x14ac:dyDescent="0.25">
      <c r="B5" s="42"/>
      <c r="C5" s="18"/>
      <c r="D5" s="17"/>
      <c r="E5" s="17"/>
      <c r="F5" s="18"/>
      <c r="G5" s="41"/>
    </row>
    <row r="6" spans="1:7" ht="21" x14ac:dyDescent="0.25">
      <c r="B6" s="42"/>
      <c r="C6" s="11"/>
      <c r="D6" s="531"/>
      <c r="E6" s="531"/>
      <c r="F6" s="11"/>
      <c r="G6" s="41"/>
    </row>
    <row r="7" spans="1:7" ht="18.75" x14ac:dyDescent="0.25">
      <c r="B7" s="42"/>
      <c r="C7" s="17"/>
      <c r="D7" s="11"/>
      <c r="E7" s="11"/>
      <c r="F7" s="19"/>
      <c r="G7" s="41"/>
    </row>
    <row r="8" spans="1:7" ht="15.6" customHeight="1" thickBot="1" x14ac:dyDescent="0.3">
      <c r="B8" s="42"/>
      <c r="C8" s="17"/>
      <c r="D8" s="17"/>
      <c r="E8" s="17"/>
      <c r="F8" s="11"/>
      <c r="G8" s="41"/>
    </row>
    <row r="9" spans="1:7" ht="15.6" customHeight="1" thickBot="1" x14ac:dyDescent="0.3">
      <c r="B9" s="42"/>
      <c r="C9" s="17"/>
      <c r="D9" s="215" t="s">
        <v>73</v>
      </c>
      <c r="E9" s="216" t="s">
        <v>1</v>
      </c>
      <c r="F9" s="11"/>
      <c r="G9" s="41"/>
    </row>
    <row r="10" spans="1:7" ht="18.75" x14ac:dyDescent="0.25">
      <c r="B10" s="42"/>
      <c r="C10" s="17"/>
      <c r="D10" s="75" t="s">
        <v>2</v>
      </c>
      <c r="E10" s="157"/>
      <c r="F10" s="11"/>
      <c r="G10" s="41"/>
    </row>
    <row r="11" spans="1:7" ht="18.75" x14ac:dyDescent="0.25">
      <c r="B11" s="42"/>
      <c r="C11" s="17"/>
      <c r="D11" s="75" t="s">
        <v>4</v>
      </c>
      <c r="E11" s="157"/>
      <c r="F11" s="11"/>
      <c r="G11" s="41"/>
    </row>
    <row r="12" spans="1:7" ht="18.75" x14ac:dyDescent="0.3">
      <c r="B12" s="42"/>
      <c r="C12" s="17"/>
      <c r="D12" s="84" t="s">
        <v>5</v>
      </c>
      <c r="E12" s="34"/>
      <c r="F12" s="11"/>
      <c r="G12" s="41"/>
    </row>
    <row r="13" spans="1:7" ht="18.75" x14ac:dyDescent="0.3">
      <c r="B13" s="42"/>
      <c r="C13" s="17"/>
      <c r="D13" s="211" t="s">
        <v>6</v>
      </c>
      <c r="E13" s="34"/>
      <c r="F13" s="11"/>
      <c r="G13" s="41"/>
    </row>
    <row r="14" spans="1:7" ht="18.75" x14ac:dyDescent="0.25">
      <c r="B14" s="42"/>
      <c r="C14" s="17"/>
      <c r="D14" s="75" t="s">
        <v>23</v>
      </c>
      <c r="E14" s="157"/>
      <c r="F14" s="11"/>
      <c r="G14" s="41"/>
    </row>
    <row r="15" spans="1:7" ht="19.5" thickBot="1" x14ac:dyDescent="0.3">
      <c r="B15" s="42"/>
      <c r="C15" s="17"/>
      <c r="D15" s="209" t="s">
        <v>22</v>
      </c>
      <c r="E15" s="210" t="s">
        <v>25</v>
      </c>
      <c r="F15" s="11"/>
      <c r="G15" s="41"/>
    </row>
    <row r="16" spans="1:7" x14ac:dyDescent="0.25">
      <c r="B16" s="42"/>
      <c r="C16" s="17"/>
      <c r="D16" s="66"/>
      <c r="E16" s="11"/>
      <c r="F16" s="17"/>
      <c r="G16" s="41"/>
    </row>
    <row r="17" spans="2:7" x14ac:dyDescent="0.25">
      <c r="B17" s="42"/>
      <c r="C17" s="17"/>
      <c r="D17" s="17"/>
      <c r="E17" s="11"/>
      <c r="F17" s="17"/>
      <c r="G17" s="41"/>
    </row>
    <row r="18" spans="2:7" x14ac:dyDescent="0.25">
      <c r="B18" s="42"/>
      <c r="C18" s="17"/>
      <c r="D18" s="17"/>
      <c r="E18" s="17"/>
      <c r="F18" s="17"/>
      <c r="G18" s="41"/>
    </row>
    <row r="19" spans="2:7" x14ac:dyDescent="0.25">
      <c r="B19" s="42"/>
      <c r="C19" s="17"/>
      <c r="D19" s="17"/>
      <c r="E19" s="17"/>
      <c r="F19" s="17"/>
      <c r="G19" s="41"/>
    </row>
    <row r="20" spans="2:7" x14ac:dyDescent="0.25">
      <c r="B20" s="42"/>
      <c r="C20" s="17"/>
      <c r="D20" s="17"/>
      <c r="E20" s="17"/>
      <c r="F20" s="17"/>
      <c r="G20" s="41"/>
    </row>
    <row r="21" spans="2:7" x14ac:dyDescent="0.25">
      <c r="B21" s="42"/>
      <c r="C21" s="17"/>
      <c r="D21" s="17"/>
      <c r="E21" s="17"/>
      <c r="F21" s="17"/>
      <c r="G21" s="41"/>
    </row>
    <row r="22" spans="2:7" ht="16.5" thickBot="1" x14ac:dyDescent="0.3">
      <c r="B22" s="43"/>
      <c r="C22" s="44"/>
      <c r="D22" s="44"/>
      <c r="E22" s="44"/>
      <c r="F22" s="44"/>
      <c r="G22" s="45"/>
    </row>
    <row r="35" spans="5:5" x14ac:dyDescent="0.25">
      <c r="E35" s="23" t="s">
        <v>49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9CAA5-4FF2-A149-8771-FD8AB88ED4BE}">
  <sheetPr codeName="Tabelle2">
    <tabColor rgb="FFFF0000"/>
  </sheetPr>
  <dimension ref="B2:V86"/>
  <sheetViews>
    <sheetView topLeftCell="C1" workbookViewId="0">
      <selection activeCell="N15" sqref="N15"/>
    </sheetView>
  </sheetViews>
  <sheetFormatPr baseColWidth="10" defaultRowHeight="15" x14ac:dyDescent="0.25"/>
  <cols>
    <col min="4" max="4" width="19.28515625" bestFit="1" customWidth="1"/>
    <col min="6" max="6" width="16" bestFit="1" customWidth="1"/>
    <col min="8" max="8" width="8.85546875" bestFit="1" customWidth="1"/>
    <col min="9" max="9" width="10.85546875" bestFit="1" customWidth="1"/>
    <col min="10" max="10" width="9.42578125" bestFit="1" customWidth="1"/>
    <col min="11" max="11" width="13.7109375" bestFit="1" customWidth="1"/>
    <col min="12" max="12" width="11.42578125" bestFit="1" customWidth="1"/>
    <col min="19" max="19" width="13.28515625" bestFit="1" customWidth="1"/>
  </cols>
  <sheetData>
    <row r="2" spans="2:2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2:22" x14ac:dyDescent="0.2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2:22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2:22" ht="24" thickBot="1" x14ac:dyDescent="0.4">
      <c r="B5" s="13"/>
      <c r="C5" s="13"/>
      <c r="D5" s="532" t="s">
        <v>188</v>
      </c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3"/>
      <c r="P5" s="533"/>
      <c r="Q5" s="533"/>
      <c r="R5" s="533"/>
      <c r="S5" s="534"/>
      <c r="T5" s="13"/>
      <c r="U5" s="13"/>
      <c r="V5" s="13"/>
    </row>
    <row r="6" spans="2:22" ht="18.75" x14ac:dyDescent="0.3">
      <c r="B6" s="13"/>
      <c r="C6" s="13"/>
      <c r="D6" s="175" t="s">
        <v>2</v>
      </c>
      <c r="E6" s="307" t="s">
        <v>191</v>
      </c>
      <c r="F6" s="308" t="s">
        <v>194</v>
      </c>
      <c r="G6" s="308" t="s">
        <v>34</v>
      </c>
      <c r="H6" s="308" t="s">
        <v>192</v>
      </c>
      <c r="I6" s="308" t="s">
        <v>193</v>
      </c>
      <c r="J6" s="308" t="s">
        <v>195</v>
      </c>
      <c r="K6" s="308" t="s">
        <v>236</v>
      </c>
      <c r="L6" s="307" t="s">
        <v>238</v>
      </c>
      <c r="M6" s="308" t="s">
        <v>239</v>
      </c>
      <c r="N6" s="308"/>
      <c r="O6" s="308"/>
      <c r="P6" s="308"/>
      <c r="Q6" s="308"/>
      <c r="R6" s="308"/>
      <c r="S6" s="310"/>
      <c r="T6" s="13"/>
      <c r="U6" s="13"/>
      <c r="V6" s="13"/>
    </row>
    <row r="7" spans="2:22" ht="18.75" x14ac:dyDescent="0.3">
      <c r="B7" s="13"/>
      <c r="C7" s="13"/>
      <c r="D7" s="175" t="s">
        <v>183</v>
      </c>
      <c r="E7" s="180">
        <v>110</v>
      </c>
      <c r="F7" s="181">
        <v>111</v>
      </c>
      <c r="G7" s="181">
        <v>112</v>
      </c>
      <c r="H7" s="181">
        <v>113</v>
      </c>
      <c r="I7" s="181">
        <v>114</v>
      </c>
      <c r="J7" s="181">
        <v>115</v>
      </c>
      <c r="K7" s="181">
        <v>116</v>
      </c>
      <c r="L7" s="180">
        <v>117</v>
      </c>
      <c r="M7" s="181">
        <v>118</v>
      </c>
      <c r="N7" s="181"/>
      <c r="O7" s="181"/>
      <c r="P7" s="181"/>
      <c r="Q7" s="181"/>
      <c r="R7" s="181"/>
      <c r="S7" s="182"/>
      <c r="T7" s="13"/>
      <c r="U7" s="13"/>
      <c r="V7" s="13"/>
    </row>
    <row r="8" spans="2:22" ht="18.75" x14ac:dyDescent="0.3">
      <c r="B8" s="13"/>
      <c r="C8" s="13"/>
      <c r="D8" s="175" t="s">
        <v>189</v>
      </c>
      <c r="E8" s="180">
        <v>0</v>
      </c>
      <c r="F8" s="181">
        <v>2</v>
      </c>
      <c r="G8" s="181">
        <v>1500</v>
      </c>
      <c r="H8" s="181">
        <v>0</v>
      </c>
      <c r="I8" s="181">
        <v>0</v>
      </c>
      <c r="J8" s="181">
        <v>21</v>
      </c>
      <c r="K8" s="181">
        <v>350</v>
      </c>
      <c r="L8" s="180">
        <v>150</v>
      </c>
      <c r="M8" s="181">
        <v>4000</v>
      </c>
      <c r="N8" s="181"/>
      <c r="O8" s="181"/>
      <c r="P8" s="181"/>
      <c r="Q8" s="181"/>
      <c r="R8" s="181"/>
      <c r="S8" s="182"/>
      <c r="T8" s="13"/>
      <c r="U8" s="13"/>
      <c r="V8" s="13"/>
    </row>
    <row r="9" spans="2:22" ht="18.75" x14ac:dyDescent="0.3">
      <c r="B9" s="13"/>
      <c r="C9" s="13"/>
      <c r="D9" s="175" t="s">
        <v>57</v>
      </c>
      <c r="E9" s="180"/>
      <c r="F9" s="181"/>
      <c r="G9" s="181"/>
      <c r="H9" s="181"/>
      <c r="I9" s="181"/>
      <c r="J9" s="181"/>
      <c r="K9" s="181">
        <v>3.5</v>
      </c>
      <c r="L9" s="180">
        <v>5.0000000000000001E-3</v>
      </c>
      <c r="M9" s="181">
        <v>5.0000000000000001E-3</v>
      </c>
      <c r="N9" s="181"/>
      <c r="O9" s="181"/>
      <c r="P9" s="181"/>
      <c r="Q9" s="181"/>
      <c r="R9" s="181"/>
      <c r="S9" s="182"/>
      <c r="T9" s="13"/>
      <c r="U9" s="13"/>
      <c r="V9" s="13"/>
    </row>
    <row r="10" spans="2:22" ht="18.75" x14ac:dyDescent="0.3">
      <c r="B10" s="13"/>
      <c r="C10" s="13"/>
      <c r="D10" s="175" t="s">
        <v>196</v>
      </c>
      <c r="E10" s="180">
        <f>E14</f>
        <v>6.0908415631834257E-4</v>
      </c>
      <c r="F10" s="181"/>
      <c r="G10" s="181"/>
      <c r="H10" s="181">
        <f>H14</f>
        <v>0.13900000000000001</v>
      </c>
      <c r="I10" s="181">
        <f>I14</f>
        <v>1</v>
      </c>
      <c r="J10" s="181">
        <v>-0.58499999999999996</v>
      </c>
      <c r="K10" s="181">
        <v>1.21</v>
      </c>
      <c r="L10" s="180">
        <v>-1</v>
      </c>
      <c r="M10" s="181">
        <v>-12.5</v>
      </c>
      <c r="N10" s="181"/>
      <c r="O10" s="181"/>
      <c r="P10" s="181"/>
      <c r="Q10" s="181"/>
      <c r="R10" s="181"/>
      <c r="S10" s="182"/>
      <c r="T10" s="13"/>
      <c r="U10" s="13"/>
      <c r="V10" s="13"/>
    </row>
    <row r="11" spans="2:22" ht="18.75" x14ac:dyDescent="0.3">
      <c r="B11" s="13"/>
      <c r="C11" s="13"/>
      <c r="D11" s="175" t="s">
        <v>212</v>
      </c>
      <c r="F11" s="306">
        <v>-1</v>
      </c>
      <c r="J11" s="181">
        <v>-3.57</v>
      </c>
      <c r="K11" s="181">
        <v>-0.60499999999999998</v>
      </c>
      <c r="L11" s="180">
        <v>-1</v>
      </c>
      <c r="M11" s="181">
        <v>-4.5</v>
      </c>
      <c r="N11" s="181"/>
      <c r="O11" s="181"/>
      <c r="P11" s="181"/>
      <c r="S11" s="306"/>
      <c r="T11" s="13"/>
      <c r="U11" s="13"/>
      <c r="V11" s="13"/>
    </row>
    <row r="12" spans="2:22" ht="19.5" thickBot="1" x14ac:dyDescent="0.35">
      <c r="B12" s="13"/>
      <c r="C12" s="13"/>
      <c r="D12" s="175" t="s">
        <v>190</v>
      </c>
      <c r="E12" s="180">
        <f>SUM(E13:E25)</f>
        <v>1</v>
      </c>
      <c r="F12" s="181">
        <f t="shared" ref="F12:K12" si="0">SUM(F13:F25)</f>
        <v>1</v>
      </c>
      <c r="G12" s="181">
        <f t="shared" si="0"/>
        <v>1</v>
      </c>
      <c r="H12" s="181">
        <f t="shared" si="0"/>
        <v>1</v>
      </c>
      <c r="I12" s="181">
        <f t="shared" si="0"/>
        <v>1</v>
      </c>
      <c r="J12" s="181">
        <f t="shared" si="0"/>
        <v>1</v>
      </c>
      <c r="K12" s="181">
        <f t="shared" si="0"/>
        <v>1</v>
      </c>
      <c r="L12" s="180"/>
      <c r="M12" s="181"/>
      <c r="N12" s="181"/>
      <c r="O12" s="181"/>
      <c r="P12" s="181"/>
      <c r="Q12" s="181"/>
      <c r="R12" s="181"/>
      <c r="S12" s="182"/>
      <c r="T12" s="13"/>
      <c r="U12" s="13"/>
      <c r="V12" s="13"/>
    </row>
    <row r="13" spans="2:22" ht="18.75" x14ac:dyDescent="0.3">
      <c r="B13" s="13"/>
      <c r="C13" s="13"/>
      <c r="D13" s="54" t="s">
        <v>29</v>
      </c>
      <c r="E13" s="307"/>
      <c r="F13" s="308"/>
      <c r="G13" s="308"/>
      <c r="H13" s="308"/>
      <c r="I13" s="308"/>
      <c r="J13" s="308"/>
      <c r="K13" s="308"/>
      <c r="L13" s="307"/>
      <c r="M13" s="308"/>
      <c r="N13" s="308"/>
      <c r="O13" s="308"/>
      <c r="P13" s="308"/>
      <c r="Q13" s="308"/>
      <c r="R13" s="308"/>
      <c r="S13" s="310"/>
      <c r="T13" s="13"/>
      <c r="U13" s="13"/>
      <c r="V13" s="13"/>
    </row>
    <row r="14" spans="2:22" ht="18.75" x14ac:dyDescent="0.3">
      <c r="B14" s="13"/>
      <c r="C14" s="13"/>
      <c r="D14" s="56" t="s">
        <v>31</v>
      </c>
      <c r="E14" s="152">
        <v>6.0908415631834257E-4</v>
      </c>
      <c r="F14" s="181"/>
      <c r="G14" s="181"/>
      <c r="H14" s="311">
        <v>0.13900000000000001</v>
      </c>
      <c r="I14" s="311">
        <v>1</v>
      </c>
      <c r="J14" s="181"/>
      <c r="K14" s="181">
        <v>0.6</v>
      </c>
      <c r="L14" s="152">
        <v>1</v>
      </c>
      <c r="M14" s="181"/>
      <c r="N14" s="181"/>
      <c r="O14" s="181"/>
      <c r="P14" s="181"/>
      <c r="Q14" s="181"/>
      <c r="R14" s="181"/>
      <c r="S14" s="182"/>
      <c r="T14" s="13"/>
      <c r="U14" s="13"/>
      <c r="V14" s="13"/>
    </row>
    <row r="15" spans="2:22" ht="18.75" x14ac:dyDescent="0.3">
      <c r="B15" s="13"/>
      <c r="C15" s="13"/>
      <c r="D15" s="56" t="s">
        <v>32</v>
      </c>
      <c r="E15" s="180"/>
      <c r="F15" s="181"/>
      <c r="G15" s="181"/>
      <c r="H15" s="181"/>
      <c r="I15" s="181"/>
      <c r="J15" s="181"/>
      <c r="K15" s="163"/>
      <c r="L15" s="180"/>
      <c r="M15" s="181">
        <v>1</v>
      </c>
      <c r="N15" s="181"/>
      <c r="O15" s="181"/>
      <c r="P15" s="181"/>
      <c r="Q15" s="181"/>
      <c r="R15" s="181"/>
      <c r="S15" s="182"/>
      <c r="T15" s="13"/>
      <c r="U15" s="13"/>
      <c r="V15" s="13"/>
    </row>
    <row r="16" spans="2:22" ht="18.75" x14ac:dyDescent="0.3">
      <c r="B16" s="13"/>
      <c r="C16" s="13"/>
      <c r="D16" s="56" t="s">
        <v>30</v>
      </c>
      <c r="E16" s="152">
        <v>3.9840637450199202E-3</v>
      </c>
      <c r="F16" s="181">
        <v>1</v>
      </c>
      <c r="G16" s="181"/>
      <c r="H16" s="311">
        <v>8.7999999999999995E-2</v>
      </c>
      <c r="I16" s="311"/>
      <c r="J16" s="181"/>
      <c r="K16" s="163"/>
      <c r="L16" s="152"/>
      <c r="M16" s="181"/>
      <c r="N16" s="181"/>
      <c r="O16" s="181"/>
      <c r="P16" s="181"/>
      <c r="Q16" s="181"/>
      <c r="R16" s="181"/>
      <c r="S16" s="182"/>
      <c r="T16" s="13"/>
      <c r="U16" s="13"/>
      <c r="V16" s="13"/>
    </row>
    <row r="17" spans="2:22" ht="18.75" x14ac:dyDescent="0.3">
      <c r="B17" s="13"/>
      <c r="C17" s="13"/>
      <c r="D17" s="56" t="s">
        <v>34</v>
      </c>
      <c r="E17" s="180"/>
      <c r="F17" s="181"/>
      <c r="G17" s="181">
        <v>1</v>
      </c>
      <c r="H17" s="181"/>
      <c r="I17" s="181"/>
      <c r="J17" s="181"/>
      <c r="K17" s="163"/>
      <c r="L17" s="180"/>
      <c r="M17" s="181"/>
      <c r="N17" s="181"/>
      <c r="O17" s="181"/>
      <c r="P17" s="181"/>
      <c r="Q17" s="181"/>
      <c r="R17" s="181"/>
      <c r="S17" s="182"/>
      <c r="T17" s="13"/>
      <c r="U17" s="13"/>
      <c r="V17" s="13"/>
    </row>
    <row r="18" spans="2:22" ht="18.75" x14ac:dyDescent="0.3">
      <c r="B18" s="13"/>
      <c r="C18" s="13"/>
      <c r="D18" s="56" t="s">
        <v>50</v>
      </c>
      <c r="E18" s="180"/>
      <c r="F18" s="181"/>
      <c r="G18" s="181"/>
      <c r="H18" s="181"/>
      <c r="I18" s="181"/>
      <c r="J18" s="181"/>
      <c r="K18" s="163"/>
      <c r="L18" s="180"/>
      <c r="M18" s="181"/>
      <c r="N18" s="181"/>
      <c r="O18" s="181"/>
      <c r="P18" s="181"/>
      <c r="Q18" s="181"/>
      <c r="R18" s="181"/>
      <c r="S18" s="182"/>
      <c r="T18" s="13"/>
      <c r="U18" s="13"/>
      <c r="V18" s="13"/>
    </row>
    <row r="19" spans="2:22" ht="18.75" x14ac:dyDescent="0.3">
      <c r="B19" s="13"/>
      <c r="C19" s="13"/>
      <c r="D19" s="56" t="s">
        <v>38</v>
      </c>
      <c r="E19" s="152">
        <v>0.7647158042118456</v>
      </c>
      <c r="F19" s="181"/>
      <c r="G19" s="181"/>
      <c r="H19" s="312">
        <v>0.73199999999999998</v>
      </c>
      <c r="I19" s="312"/>
      <c r="J19" s="181"/>
      <c r="K19" s="163"/>
      <c r="L19" s="152"/>
      <c r="M19" s="181"/>
      <c r="N19" s="181"/>
      <c r="O19" s="181"/>
      <c r="P19" s="181"/>
      <c r="Q19" s="181"/>
      <c r="R19" s="181"/>
      <c r="S19" s="182"/>
      <c r="T19" s="13"/>
      <c r="U19" s="13"/>
      <c r="V19" s="13"/>
    </row>
    <row r="20" spans="2:22" ht="18.75" x14ac:dyDescent="0.3">
      <c r="B20" s="13"/>
      <c r="C20" s="13"/>
      <c r="D20" s="56" t="s">
        <v>9</v>
      </c>
      <c r="E20" s="152">
        <v>0.23069104788681621</v>
      </c>
      <c r="F20" s="181"/>
      <c r="G20" s="181"/>
      <c r="H20" s="312">
        <v>4.1000000000000002E-2</v>
      </c>
      <c r="I20" s="312"/>
      <c r="J20" s="181">
        <v>1</v>
      </c>
      <c r="K20" s="181"/>
      <c r="L20" s="152"/>
      <c r="M20" s="181"/>
      <c r="N20" s="181"/>
      <c r="O20" s="181"/>
      <c r="P20" s="181"/>
      <c r="Q20" s="181"/>
      <c r="R20" s="181"/>
      <c r="S20" s="182"/>
      <c r="T20" s="13"/>
      <c r="U20" s="13"/>
      <c r="V20" s="13"/>
    </row>
    <row r="21" spans="2:22" ht="18.75" x14ac:dyDescent="0.3">
      <c r="B21" s="13"/>
      <c r="C21" s="13"/>
      <c r="D21" s="56" t="s">
        <v>200</v>
      </c>
      <c r="E21" s="180"/>
      <c r="F21" s="181"/>
      <c r="G21" s="181"/>
      <c r="H21" s="181"/>
      <c r="I21" s="181"/>
      <c r="J21" s="181"/>
      <c r="K21" s="181">
        <v>0.4</v>
      </c>
      <c r="L21" s="180"/>
      <c r="M21" s="181"/>
      <c r="N21" s="181"/>
      <c r="O21" s="181"/>
      <c r="P21" s="181"/>
      <c r="Q21" s="181"/>
      <c r="R21" s="181"/>
      <c r="S21" s="182"/>
      <c r="T21" s="13"/>
      <c r="U21" s="13"/>
      <c r="V21" s="13"/>
    </row>
    <row r="22" spans="2:22" ht="18.75" x14ac:dyDescent="0.3">
      <c r="B22" s="13"/>
      <c r="C22" s="13"/>
      <c r="D22" s="56"/>
      <c r="E22" s="180"/>
      <c r="F22" s="181"/>
      <c r="G22" s="181"/>
      <c r="H22" s="181"/>
      <c r="I22" s="181"/>
      <c r="J22" s="181"/>
      <c r="K22" s="181"/>
      <c r="L22" s="180"/>
      <c r="M22" s="181"/>
      <c r="N22" s="181"/>
      <c r="O22" s="181"/>
      <c r="P22" s="181"/>
      <c r="Q22" s="181"/>
      <c r="R22" s="181"/>
      <c r="S22" s="182"/>
      <c r="T22" s="13"/>
      <c r="U22" s="13"/>
      <c r="V22" s="13"/>
    </row>
    <row r="23" spans="2:22" ht="18.75" x14ac:dyDescent="0.3">
      <c r="B23" s="13"/>
      <c r="C23" s="13"/>
      <c r="D23" s="56"/>
      <c r="E23" s="180"/>
      <c r="F23" s="181"/>
      <c r="G23" s="181"/>
      <c r="H23" s="181"/>
      <c r="I23" s="181"/>
      <c r="J23" s="181"/>
      <c r="K23" s="181"/>
      <c r="L23" s="180"/>
      <c r="M23" s="181"/>
      <c r="N23" s="181"/>
      <c r="O23" s="181"/>
      <c r="P23" s="181"/>
      <c r="Q23" s="181"/>
      <c r="R23" s="181"/>
      <c r="S23" s="182"/>
      <c r="T23" s="13"/>
      <c r="U23" s="13" t="s">
        <v>49</v>
      </c>
      <c r="V23" s="13"/>
    </row>
    <row r="24" spans="2:22" ht="18.75" x14ac:dyDescent="0.3">
      <c r="B24" s="13"/>
      <c r="C24" s="13"/>
      <c r="D24" s="56"/>
      <c r="E24" s="180"/>
      <c r="F24" s="181"/>
      <c r="G24" s="181"/>
      <c r="H24" s="181"/>
      <c r="I24" s="181"/>
      <c r="J24" s="181"/>
      <c r="K24" s="181"/>
      <c r="L24" s="180"/>
      <c r="M24" s="181"/>
      <c r="N24" s="181"/>
      <c r="O24" s="181"/>
      <c r="P24" s="181"/>
      <c r="Q24" s="181"/>
      <c r="R24" s="181"/>
      <c r="S24" s="182"/>
      <c r="T24" s="13"/>
      <c r="U24" s="13"/>
      <c r="V24" s="13"/>
    </row>
    <row r="25" spans="2:22" ht="18.75" x14ac:dyDescent="0.3">
      <c r="B25" s="13"/>
      <c r="C25" s="13"/>
      <c r="D25" s="56"/>
      <c r="E25" s="175"/>
      <c r="F25" s="163"/>
      <c r="G25" s="163"/>
      <c r="H25" s="163"/>
      <c r="I25" s="163"/>
      <c r="J25" s="163"/>
      <c r="K25" s="163"/>
      <c r="L25" s="175"/>
      <c r="M25" s="163"/>
      <c r="N25" s="163"/>
      <c r="O25" s="163"/>
      <c r="P25" s="181"/>
      <c r="Q25" s="181"/>
      <c r="R25" s="181"/>
      <c r="S25" s="182"/>
      <c r="T25" s="13"/>
      <c r="U25" s="13"/>
      <c r="V25" s="13"/>
    </row>
    <row r="26" spans="2:22" ht="18.75" x14ac:dyDescent="0.3">
      <c r="B26" s="13"/>
      <c r="C26" s="13"/>
      <c r="D26" s="56"/>
      <c r="E26" s="175"/>
      <c r="F26" s="163"/>
      <c r="G26" s="163"/>
      <c r="H26" s="163"/>
      <c r="I26" s="163"/>
      <c r="J26" s="163"/>
      <c r="K26" s="163"/>
      <c r="L26" s="175"/>
      <c r="M26" s="163"/>
      <c r="N26" s="163"/>
      <c r="O26" s="163"/>
      <c r="P26" s="181"/>
      <c r="Q26" s="181"/>
      <c r="R26" s="181"/>
      <c r="S26" s="182"/>
      <c r="T26" s="13"/>
      <c r="U26" s="13"/>
      <c r="V26" s="13"/>
    </row>
    <row r="27" spans="2:22" ht="18.75" x14ac:dyDescent="0.3">
      <c r="B27" s="13"/>
      <c r="C27" s="13"/>
      <c r="D27" s="56"/>
      <c r="E27" s="175"/>
      <c r="F27" s="163"/>
      <c r="G27" s="163"/>
      <c r="H27" s="163"/>
      <c r="I27" s="163"/>
      <c r="J27" s="163"/>
      <c r="K27" s="163"/>
      <c r="L27" s="175"/>
      <c r="M27" s="163"/>
      <c r="N27" s="163"/>
      <c r="O27" s="163"/>
      <c r="P27" s="181"/>
      <c r="Q27" s="181"/>
      <c r="R27" s="181"/>
      <c r="S27" s="182"/>
      <c r="T27" s="13"/>
      <c r="U27" s="13"/>
      <c r="V27" s="13"/>
    </row>
    <row r="28" spans="2:22" ht="18.75" x14ac:dyDescent="0.3">
      <c r="B28" s="13"/>
      <c r="C28" s="13"/>
      <c r="D28" s="56"/>
      <c r="E28" s="175"/>
      <c r="F28" s="163"/>
      <c r="G28" s="163"/>
      <c r="H28" s="163"/>
      <c r="I28" s="163"/>
      <c r="J28" s="163"/>
      <c r="K28" s="163"/>
      <c r="L28" s="175"/>
      <c r="M28" s="163"/>
      <c r="N28" s="163"/>
      <c r="O28" s="163"/>
      <c r="P28" s="181"/>
      <c r="Q28" s="181"/>
      <c r="R28" s="181"/>
      <c r="S28" s="182"/>
      <c r="T28" s="13"/>
      <c r="U28" s="13"/>
      <c r="V28" s="13"/>
    </row>
    <row r="29" spans="2:22" ht="18.75" x14ac:dyDescent="0.3">
      <c r="B29" s="13"/>
      <c r="C29" s="13"/>
      <c r="D29" s="56"/>
      <c r="E29" s="175"/>
      <c r="F29" s="163"/>
      <c r="G29" s="163"/>
      <c r="H29" s="163"/>
      <c r="I29" s="163"/>
      <c r="J29" s="163"/>
      <c r="K29" s="163"/>
      <c r="L29" s="175"/>
      <c r="M29" s="163"/>
      <c r="N29" s="163"/>
      <c r="O29" s="163"/>
      <c r="P29" s="181"/>
      <c r="Q29" s="181"/>
      <c r="R29" s="181"/>
      <c r="S29" s="182"/>
      <c r="T29" s="13"/>
      <c r="U29" s="13"/>
      <c r="V29" s="13"/>
    </row>
    <row r="30" spans="2:22" ht="18.75" x14ac:dyDescent="0.3">
      <c r="B30" s="13"/>
      <c r="C30" s="13"/>
      <c r="D30" s="56"/>
      <c r="E30" s="175"/>
      <c r="F30" s="163"/>
      <c r="G30" s="163"/>
      <c r="H30" s="163"/>
      <c r="I30" s="163"/>
      <c r="J30" s="163"/>
      <c r="K30" s="163"/>
      <c r="L30" s="175"/>
      <c r="M30" s="163"/>
      <c r="N30" s="163"/>
      <c r="O30" s="163"/>
      <c r="P30" s="181"/>
      <c r="Q30" s="181"/>
      <c r="R30" s="181"/>
      <c r="S30" s="182"/>
      <c r="T30" s="13"/>
      <c r="U30" s="13"/>
      <c r="V30" s="13"/>
    </row>
    <row r="31" spans="2:22" ht="18.75" x14ac:dyDescent="0.3">
      <c r="B31" s="13"/>
      <c r="C31" s="13"/>
      <c r="D31" s="56"/>
      <c r="E31" s="175"/>
      <c r="F31" s="163"/>
      <c r="G31" s="163"/>
      <c r="H31" s="163"/>
      <c r="I31" s="163"/>
      <c r="J31" s="163"/>
      <c r="K31" s="163"/>
      <c r="L31" s="175"/>
      <c r="M31" s="163"/>
      <c r="N31" s="163"/>
      <c r="O31" s="163"/>
      <c r="P31" s="181"/>
      <c r="Q31" s="181"/>
      <c r="R31" s="181"/>
      <c r="S31" s="182"/>
      <c r="T31" s="13"/>
      <c r="U31" s="13"/>
      <c r="V31" s="13"/>
    </row>
    <row r="32" spans="2:22" ht="18.75" x14ac:dyDescent="0.3">
      <c r="B32" s="13"/>
      <c r="C32" s="13"/>
      <c r="D32" s="56"/>
      <c r="E32" s="175"/>
      <c r="F32" s="163"/>
      <c r="G32" s="163"/>
      <c r="H32" s="163"/>
      <c r="I32" s="163"/>
      <c r="J32" s="163"/>
      <c r="K32" s="163"/>
      <c r="L32" s="175"/>
      <c r="M32" s="163"/>
      <c r="N32" s="163"/>
      <c r="O32" s="163"/>
      <c r="P32" s="181"/>
      <c r="Q32" s="181"/>
      <c r="R32" s="181"/>
      <c r="S32" s="182"/>
      <c r="T32" s="13"/>
      <c r="U32" s="13"/>
      <c r="V32" s="13"/>
    </row>
    <row r="33" spans="2:21" ht="18.75" x14ac:dyDescent="0.3">
      <c r="B33" s="13"/>
      <c r="C33" s="13"/>
      <c r="D33" s="56"/>
      <c r="E33" s="175"/>
      <c r="F33" s="163"/>
      <c r="G33" s="163"/>
      <c r="H33" s="163"/>
      <c r="I33" s="163"/>
      <c r="J33" s="163"/>
      <c r="K33" s="163"/>
      <c r="L33" s="175"/>
      <c r="M33" s="163"/>
      <c r="N33" s="163"/>
      <c r="O33" s="163"/>
      <c r="P33" s="181"/>
      <c r="Q33" s="181"/>
      <c r="R33" s="181"/>
      <c r="S33" s="182"/>
      <c r="T33" s="13"/>
      <c r="U33" s="13"/>
    </row>
    <row r="34" spans="2:21" ht="18.75" x14ac:dyDescent="0.3">
      <c r="B34" s="13"/>
      <c r="C34" s="13"/>
      <c r="D34" s="56"/>
      <c r="E34" s="175"/>
      <c r="F34" s="163"/>
      <c r="G34" s="163"/>
      <c r="H34" s="163"/>
      <c r="I34" s="163"/>
      <c r="J34" s="163"/>
      <c r="K34" s="163"/>
      <c r="L34" s="175"/>
      <c r="M34" s="163"/>
      <c r="N34" s="163"/>
      <c r="O34" s="163"/>
      <c r="P34" s="181"/>
      <c r="Q34" s="181"/>
      <c r="R34" s="181"/>
      <c r="S34" s="182"/>
      <c r="T34" s="13"/>
      <c r="U34" s="13"/>
    </row>
    <row r="35" spans="2:21" ht="19.5" thickBot="1" x14ac:dyDescent="0.35">
      <c r="B35" s="13"/>
      <c r="C35" s="13"/>
      <c r="D35" s="305"/>
      <c r="E35" s="177"/>
      <c r="F35" s="178"/>
      <c r="G35" s="178"/>
      <c r="H35" s="178"/>
      <c r="I35" s="178"/>
      <c r="J35" s="178"/>
      <c r="K35" s="178"/>
      <c r="L35" s="177"/>
      <c r="M35" s="178"/>
      <c r="N35" s="178"/>
      <c r="O35" s="178"/>
      <c r="P35" s="184"/>
      <c r="Q35" s="184"/>
      <c r="R35" s="184"/>
      <c r="S35" s="185"/>
      <c r="T35" s="13"/>
      <c r="U35" s="13"/>
    </row>
    <row r="36" spans="2:21" x14ac:dyDescent="0.25"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>
        <v>1</v>
      </c>
      <c r="R36" s="13"/>
      <c r="S36" s="13"/>
      <c r="T36" s="13"/>
      <c r="U36" s="13"/>
    </row>
    <row r="37" spans="2:21" x14ac:dyDescent="0.25"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2:21" x14ac:dyDescent="0.25"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2:21" x14ac:dyDescent="0.25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2:21" x14ac:dyDescent="0.25"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2:21" x14ac:dyDescent="0.25"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 t="s">
        <v>49</v>
      </c>
      <c r="P41" s="13"/>
      <c r="Q41" s="13"/>
      <c r="R41" s="13"/>
      <c r="S41" s="13"/>
      <c r="T41" s="13"/>
      <c r="U41" s="13"/>
    </row>
    <row r="42" spans="2:21" x14ac:dyDescent="0.25"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</row>
    <row r="43" spans="2:21" x14ac:dyDescent="0.25"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</row>
    <row r="44" spans="2:21" x14ac:dyDescent="0.25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2:21" x14ac:dyDescent="0.25"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</row>
    <row r="46" spans="2:21" x14ac:dyDescent="0.25"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2:21" x14ac:dyDescent="0.25"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2:21" x14ac:dyDescent="0.25"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2:21" x14ac:dyDescent="0.25"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2:21" x14ac:dyDescent="0.25"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2:21" x14ac:dyDescent="0.25"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2:21" x14ac:dyDescent="0.25"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2:21" x14ac:dyDescent="0.25"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2:21" x14ac:dyDescent="0.25"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2:21" x14ac:dyDescent="0.25"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2:21" x14ac:dyDescent="0.25"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2:21" x14ac:dyDescent="0.25"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2:21" x14ac:dyDescent="0.25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2:21" x14ac:dyDescent="0.25"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2:21" x14ac:dyDescent="0.25"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2:21" x14ac:dyDescent="0.25"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2:21" x14ac:dyDescent="0.25"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2:21" x14ac:dyDescent="0.25"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2:21" x14ac:dyDescent="0.25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2:21" x14ac:dyDescent="0.25"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2:21" x14ac:dyDescent="0.25"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</row>
    <row r="67" spans="2:21" x14ac:dyDescent="0.25"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</row>
    <row r="68" spans="2:21" x14ac:dyDescent="0.25"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</row>
    <row r="69" spans="2:21" x14ac:dyDescent="0.25"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</row>
    <row r="70" spans="2:21" x14ac:dyDescent="0.25"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2:21" x14ac:dyDescent="0.25"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2:21" x14ac:dyDescent="0.25"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2:21" x14ac:dyDescent="0.25"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</row>
    <row r="74" spans="2:21" x14ac:dyDescent="0.25"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2:21" x14ac:dyDescent="0.25"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2:21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2:21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2:21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2:21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</row>
    <row r="80" spans="2:21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2:21" x14ac:dyDescent="0.25"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2:21" x14ac:dyDescent="0.25"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</row>
    <row r="83" spans="2:21" x14ac:dyDescent="0.25"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2:21" x14ac:dyDescent="0.25"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2:21" x14ac:dyDescent="0.25"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2:21" x14ac:dyDescent="0.25"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</sheetData>
  <mergeCells count="1">
    <mergeCell ref="D5:S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BC63C-FF38-3F44-BDE3-9F38DDD87581}">
  <sheetPr codeName="Tabelle3">
    <tabColor rgb="FFFF0000"/>
  </sheetPr>
  <dimension ref="B1:R25"/>
  <sheetViews>
    <sheetView workbookViewId="0">
      <selection activeCell="J21" sqref="J21"/>
    </sheetView>
  </sheetViews>
  <sheetFormatPr baseColWidth="10" defaultRowHeight="15" x14ac:dyDescent="0.25"/>
  <cols>
    <col min="3" max="3" width="13.85546875" bestFit="1" customWidth="1"/>
    <col min="4" max="4" width="13.28515625" bestFit="1" customWidth="1"/>
    <col min="5" max="5" width="12.42578125" bestFit="1" customWidth="1"/>
    <col min="6" max="6" width="13.7109375" bestFit="1" customWidth="1"/>
    <col min="7" max="7" width="12.42578125" bestFit="1" customWidth="1"/>
    <col min="8" max="8" width="13.7109375" bestFit="1" customWidth="1"/>
    <col min="9" max="9" width="13.28515625" bestFit="1" customWidth="1"/>
    <col min="12" max="12" width="12.7109375" bestFit="1" customWidth="1"/>
  </cols>
  <sheetData>
    <row r="1" spans="2:18" x14ac:dyDescent="0.25">
      <c r="L1" s="13"/>
    </row>
    <row r="2" spans="2:18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2:18" x14ac:dyDescent="0.2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2:18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2:18" ht="24" thickBot="1" x14ac:dyDescent="0.4">
      <c r="B5" s="13"/>
      <c r="C5" s="535" t="s">
        <v>187</v>
      </c>
      <c r="D5" s="536"/>
      <c r="E5" s="536"/>
      <c r="F5" s="536"/>
      <c r="G5" s="536"/>
      <c r="H5" s="536"/>
      <c r="I5" s="536"/>
      <c r="J5" s="536"/>
      <c r="K5" s="536"/>
      <c r="L5" s="536"/>
      <c r="M5" s="536"/>
      <c r="N5" s="536"/>
      <c r="O5" s="536"/>
      <c r="P5" s="536"/>
      <c r="Q5" s="537"/>
    </row>
    <row r="6" spans="2:18" ht="18.75" x14ac:dyDescent="0.3">
      <c r="B6" s="13"/>
      <c r="C6" s="73" t="s">
        <v>2</v>
      </c>
      <c r="D6" s="307" t="s">
        <v>50</v>
      </c>
      <c r="E6" s="308" t="s">
        <v>9</v>
      </c>
      <c r="F6" s="308" t="s">
        <v>185</v>
      </c>
      <c r="G6" s="308" t="s">
        <v>198</v>
      </c>
      <c r="H6" s="308" t="s">
        <v>240</v>
      </c>
      <c r="I6" s="308" t="s">
        <v>247</v>
      </c>
      <c r="J6" s="308"/>
      <c r="K6" s="308"/>
      <c r="L6" s="308"/>
      <c r="M6" s="308"/>
      <c r="N6" s="308"/>
      <c r="O6" s="308"/>
      <c r="P6" s="308"/>
      <c r="Q6" s="310"/>
      <c r="R6" t="s">
        <v>49</v>
      </c>
    </row>
    <row r="7" spans="2:18" ht="18.75" x14ac:dyDescent="0.3">
      <c r="B7" s="13"/>
      <c r="C7" s="75" t="s">
        <v>183</v>
      </c>
      <c r="D7" s="180">
        <v>6000</v>
      </c>
      <c r="E7" s="181">
        <v>5000</v>
      </c>
      <c r="F7" s="181">
        <v>8000</v>
      </c>
      <c r="G7" s="181">
        <v>7000</v>
      </c>
      <c r="H7" s="181">
        <v>9000</v>
      </c>
      <c r="I7" s="181">
        <v>4000</v>
      </c>
      <c r="J7" s="181"/>
      <c r="K7" s="181"/>
      <c r="L7" s="181"/>
      <c r="M7" s="181"/>
      <c r="N7" s="181"/>
      <c r="O7" s="181"/>
      <c r="P7" s="181"/>
      <c r="Q7" s="182"/>
    </row>
    <row r="8" spans="2:18" ht="18.75" x14ac:dyDescent="0.3">
      <c r="B8" s="13"/>
      <c r="C8" s="84" t="s">
        <v>90</v>
      </c>
      <c r="D8" s="180" t="s">
        <v>24</v>
      </c>
      <c r="E8" s="181" t="s">
        <v>24</v>
      </c>
      <c r="F8" s="181" t="s">
        <v>24</v>
      </c>
      <c r="G8" s="181" t="s">
        <v>203</v>
      </c>
      <c r="H8" s="181" t="s">
        <v>24</v>
      </c>
      <c r="I8" s="181" t="s">
        <v>24</v>
      </c>
      <c r="J8" s="181"/>
      <c r="K8" s="181"/>
      <c r="L8" s="181"/>
      <c r="M8" s="181"/>
      <c r="N8" s="181"/>
      <c r="O8" s="181"/>
      <c r="P8" s="181"/>
      <c r="Q8" s="182"/>
    </row>
    <row r="9" spans="2:18" ht="18.75" x14ac:dyDescent="0.3">
      <c r="B9" s="13"/>
      <c r="C9" s="211" t="s">
        <v>186</v>
      </c>
      <c r="D9" s="180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2"/>
    </row>
    <row r="10" spans="2:18" ht="18.75" x14ac:dyDescent="0.3">
      <c r="B10" s="13"/>
      <c r="C10" s="75" t="s">
        <v>184</v>
      </c>
      <c r="D10" s="180">
        <v>0</v>
      </c>
      <c r="E10" s="181">
        <v>14.7</v>
      </c>
      <c r="F10" s="181">
        <v>0</v>
      </c>
      <c r="G10" s="181">
        <v>2000</v>
      </c>
      <c r="H10" s="181">
        <v>0</v>
      </c>
      <c r="I10" s="181">
        <v>0</v>
      </c>
      <c r="J10" s="181"/>
      <c r="K10" s="181"/>
      <c r="L10" s="181"/>
      <c r="M10" s="181"/>
      <c r="N10" s="181"/>
      <c r="O10" s="181"/>
      <c r="P10" s="181"/>
      <c r="Q10" s="182"/>
    </row>
    <row r="11" spans="2:18" ht="18.75" x14ac:dyDescent="0.3">
      <c r="B11" s="13"/>
      <c r="C11" s="75" t="s">
        <v>22</v>
      </c>
      <c r="D11" s="180" t="s">
        <v>25</v>
      </c>
      <c r="E11" s="181" t="s">
        <v>21</v>
      </c>
      <c r="F11" s="181" t="s">
        <v>21</v>
      </c>
      <c r="G11" s="181" t="s">
        <v>21</v>
      </c>
      <c r="H11" s="181" t="s">
        <v>241</v>
      </c>
      <c r="I11" s="181" t="s">
        <v>241</v>
      </c>
      <c r="J11" s="181"/>
      <c r="K11" s="181"/>
      <c r="L11" s="181"/>
      <c r="M11" s="181"/>
      <c r="N11" s="181"/>
      <c r="O11" s="181"/>
      <c r="P11" s="181"/>
      <c r="Q11" s="182"/>
    </row>
    <row r="12" spans="2:18" ht="18.75" x14ac:dyDescent="0.3">
      <c r="B12" s="13"/>
      <c r="C12" s="309" t="s">
        <v>213</v>
      </c>
      <c r="D12" s="180"/>
      <c r="E12" s="181">
        <v>0.58499999999999996</v>
      </c>
      <c r="F12" s="181"/>
      <c r="G12" s="181">
        <v>12.13</v>
      </c>
      <c r="H12" s="181">
        <v>-1</v>
      </c>
      <c r="I12" s="181"/>
      <c r="J12" s="181"/>
      <c r="K12" s="181"/>
      <c r="L12" s="306"/>
      <c r="M12" s="181"/>
      <c r="N12" s="181"/>
      <c r="O12" s="181"/>
      <c r="P12" s="181"/>
      <c r="Q12" s="182"/>
    </row>
    <row r="13" spans="2:18" ht="18.75" x14ac:dyDescent="0.3">
      <c r="B13" s="13"/>
      <c r="C13" t="s">
        <v>214</v>
      </c>
      <c r="D13" s="180"/>
      <c r="E13" s="181">
        <v>3.57</v>
      </c>
      <c r="F13" s="181"/>
      <c r="G13" s="181">
        <v>4.5</v>
      </c>
      <c r="H13" s="181"/>
      <c r="I13" s="181"/>
      <c r="J13" s="181"/>
      <c r="K13" s="181"/>
      <c r="L13" s="181"/>
      <c r="M13" s="181"/>
      <c r="N13" s="181"/>
      <c r="O13" s="181"/>
      <c r="P13" s="181"/>
      <c r="Q13" s="182"/>
    </row>
    <row r="14" spans="2:18" ht="18.75" x14ac:dyDescent="0.3">
      <c r="B14" s="13"/>
      <c r="C14" s="193" t="s">
        <v>207</v>
      </c>
      <c r="D14" s="180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2"/>
    </row>
    <row r="15" spans="2:18" ht="18.75" x14ac:dyDescent="0.3">
      <c r="B15" s="13"/>
      <c r="C15" s="193" t="s">
        <v>208</v>
      </c>
      <c r="D15" s="180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2"/>
    </row>
    <row r="16" spans="2:18" ht="18.75" x14ac:dyDescent="0.3">
      <c r="B16" s="13"/>
      <c r="C16" s="117"/>
      <c r="D16" s="180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2"/>
    </row>
    <row r="17" spans="2:17" ht="18.75" x14ac:dyDescent="0.3">
      <c r="B17" s="13"/>
      <c r="C17" s="117"/>
      <c r="D17" s="180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2"/>
    </row>
    <row r="18" spans="2:17" ht="19.5" thickBot="1" x14ac:dyDescent="0.35">
      <c r="B18" s="13"/>
      <c r="C18" s="135"/>
      <c r="D18" s="183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5"/>
    </row>
    <row r="21" spans="2:17" x14ac:dyDescent="0.25">
      <c r="N21" t="s">
        <v>49</v>
      </c>
    </row>
    <row r="25" spans="2:17" ht="20.25" x14ac:dyDescent="0.3">
      <c r="I25" s="315"/>
    </row>
  </sheetData>
  <mergeCells count="1">
    <mergeCell ref="C5:Q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4A57-21D6-2E4E-8641-E666A49C7FBA}">
  <sheetPr codeName="Tabelle4">
    <tabColor rgb="FFFF0000"/>
  </sheetPr>
  <dimension ref="C4:Q26"/>
  <sheetViews>
    <sheetView workbookViewId="0">
      <selection activeCell="D30" sqref="D30"/>
    </sheetView>
  </sheetViews>
  <sheetFormatPr baseColWidth="10" defaultRowHeight="15" x14ac:dyDescent="0.25"/>
  <cols>
    <col min="4" max="4" width="17.710937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3:17" ht="24" thickBot="1" x14ac:dyDescent="0.4">
      <c r="C5" s="13"/>
      <c r="D5" s="538" t="s">
        <v>204</v>
      </c>
      <c r="E5" s="533"/>
      <c r="F5" s="533"/>
      <c r="G5" s="533"/>
      <c r="H5" s="533"/>
      <c r="I5" s="533"/>
      <c r="J5" s="533"/>
      <c r="K5" s="533"/>
      <c r="L5" s="533"/>
      <c r="M5" s="533"/>
      <c r="N5" s="533"/>
      <c r="O5" s="534"/>
      <c r="P5" s="13"/>
      <c r="Q5" s="13"/>
    </row>
    <row r="6" spans="3:17" ht="18.75" x14ac:dyDescent="0.3">
      <c r="C6" s="13"/>
      <c r="D6" s="291" t="s">
        <v>2</v>
      </c>
      <c r="E6" s="400" t="s">
        <v>229</v>
      </c>
      <c r="F6" s="400" t="s">
        <v>230</v>
      </c>
      <c r="G6" s="434" t="s">
        <v>237</v>
      </c>
      <c r="H6" s="450" t="s">
        <v>245</v>
      </c>
      <c r="I6" s="481" t="s">
        <v>282</v>
      </c>
      <c r="J6" s="483" t="s">
        <v>283</v>
      </c>
      <c r="K6" s="483" t="s">
        <v>284</v>
      </c>
      <c r="L6" s="483"/>
      <c r="M6" s="483"/>
      <c r="N6" s="292"/>
      <c r="O6" s="293"/>
      <c r="P6" s="13"/>
      <c r="Q6" s="13"/>
    </row>
    <row r="7" spans="3:17" ht="18.75" x14ac:dyDescent="0.3">
      <c r="C7" s="13"/>
      <c r="D7" s="175" t="s">
        <v>183</v>
      </c>
      <c r="E7" s="290">
        <v>999</v>
      </c>
      <c r="F7" s="290">
        <v>888</v>
      </c>
      <c r="G7" s="290">
        <v>666</v>
      </c>
      <c r="H7" s="290">
        <v>555</v>
      </c>
      <c r="I7" s="482">
        <v>1444</v>
      </c>
      <c r="J7" s="484">
        <v>333</v>
      </c>
      <c r="K7" s="484">
        <v>1333</v>
      </c>
      <c r="L7" s="484"/>
      <c r="M7" s="484"/>
      <c r="N7" s="290"/>
      <c r="O7" s="294"/>
      <c r="P7" s="13"/>
      <c r="Q7" s="13"/>
    </row>
    <row r="8" spans="3:17" ht="15.75" thickBot="1" x14ac:dyDescent="0.3">
      <c r="C8" s="13"/>
      <c r="D8" s="135" t="s">
        <v>205</v>
      </c>
      <c r="E8" s="295">
        <v>5</v>
      </c>
      <c r="F8" s="295">
        <v>5</v>
      </c>
      <c r="G8" s="295">
        <v>5</v>
      </c>
      <c r="H8" s="121">
        <v>5</v>
      </c>
      <c r="I8" s="122">
        <v>5</v>
      </c>
      <c r="J8" s="121">
        <v>5</v>
      </c>
      <c r="K8" s="121">
        <v>5</v>
      </c>
      <c r="L8" s="121"/>
      <c r="M8" s="121"/>
      <c r="N8" s="121"/>
      <c r="O8" s="122"/>
      <c r="P8" s="13"/>
      <c r="Q8" s="13"/>
    </row>
    <row r="9" spans="3:17" ht="18.75" x14ac:dyDescent="0.3">
      <c r="C9" s="13"/>
      <c r="D9" s="243" t="s">
        <v>206</v>
      </c>
      <c r="E9" s="296">
        <v>1300</v>
      </c>
      <c r="F9" s="290">
        <v>7000</v>
      </c>
      <c r="G9" s="290">
        <v>5200</v>
      </c>
      <c r="H9" s="290">
        <v>2200</v>
      </c>
      <c r="I9" s="290">
        <v>5120</v>
      </c>
      <c r="J9" s="290">
        <v>5230</v>
      </c>
      <c r="K9" s="484">
        <v>5330</v>
      </c>
      <c r="L9" s="484"/>
      <c r="M9" s="484"/>
      <c r="N9" s="290"/>
      <c r="O9" s="294"/>
      <c r="P9" s="13"/>
      <c r="Q9" s="13"/>
    </row>
    <row r="10" spans="3:17" ht="18.75" x14ac:dyDescent="0.3">
      <c r="C10" s="13"/>
      <c r="D10" s="243"/>
      <c r="E10" s="296">
        <v>5200</v>
      </c>
      <c r="F10" s="290">
        <v>2410</v>
      </c>
      <c r="G10" s="290">
        <v>5100</v>
      </c>
      <c r="H10" s="290">
        <v>2300</v>
      </c>
      <c r="I10" s="290">
        <v>5130</v>
      </c>
      <c r="J10" s="290">
        <v>5220</v>
      </c>
      <c r="K10" s="484">
        <v>5320</v>
      </c>
      <c r="L10" s="484"/>
      <c r="M10" s="484"/>
      <c r="N10" s="290"/>
      <c r="O10" s="294"/>
      <c r="P10" s="13"/>
      <c r="Q10" s="13"/>
    </row>
    <row r="11" spans="3:17" ht="18.75" x14ac:dyDescent="0.3">
      <c r="C11" s="13"/>
      <c r="D11" s="243"/>
      <c r="E11" s="296">
        <v>5000</v>
      </c>
      <c r="F11" s="290">
        <v>4100</v>
      </c>
      <c r="G11" s="290">
        <v>4100</v>
      </c>
      <c r="H11" s="290">
        <v>2400</v>
      </c>
      <c r="I11" s="290">
        <v>5140</v>
      </c>
      <c r="J11" s="290">
        <v>5140</v>
      </c>
      <c r="K11" s="290">
        <v>5140</v>
      </c>
      <c r="L11" s="484"/>
      <c r="M11" s="484"/>
      <c r="N11" s="290"/>
      <c r="O11" s="294"/>
      <c r="P11" s="13"/>
      <c r="Q11" s="13"/>
    </row>
    <row r="12" spans="3:17" ht="18.75" x14ac:dyDescent="0.3">
      <c r="C12" s="13"/>
      <c r="D12" s="243"/>
      <c r="E12" s="296">
        <v>5300</v>
      </c>
      <c r="F12" s="290">
        <v>4200</v>
      </c>
      <c r="G12" s="290">
        <v>4200</v>
      </c>
      <c r="H12" s="290">
        <v>2500</v>
      </c>
      <c r="I12" s="290"/>
      <c r="J12" s="290"/>
      <c r="K12" s="290"/>
      <c r="L12" s="290"/>
      <c r="M12" s="290"/>
      <c r="N12" s="290"/>
      <c r="O12" s="294"/>
      <c r="P12" s="13"/>
      <c r="Q12" s="13"/>
    </row>
    <row r="13" spans="3:17" ht="18.75" x14ac:dyDescent="0.3">
      <c r="C13" s="13"/>
      <c r="D13" s="297"/>
      <c r="E13" s="117"/>
      <c r="F13" s="290"/>
      <c r="G13" s="290"/>
      <c r="H13" s="290">
        <v>5110</v>
      </c>
      <c r="I13" s="290"/>
      <c r="J13" s="290"/>
      <c r="K13" s="290"/>
      <c r="L13" s="290"/>
      <c r="M13" s="290"/>
      <c r="N13" s="290"/>
      <c r="O13" s="294"/>
      <c r="P13" s="13"/>
      <c r="Q13" s="13"/>
    </row>
    <row r="14" spans="3:17" ht="18.75" x14ac:dyDescent="0.3">
      <c r="C14" s="13"/>
      <c r="D14" s="297"/>
      <c r="E14" s="296"/>
      <c r="F14" s="290"/>
      <c r="G14" s="290"/>
      <c r="H14" s="290">
        <v>5210</v>
      </c>
      <c r="I14" s="290"/>
      <c r="J14" s="298"/>
      <c r="K14" s="290"/>
      <c r="L14" s="290"/>
      <c r="M14" s="290"/>
      <c r="N14" s="290"/>
      <c r="O14" s="294"/>
      <c r="P14" s="13"/>
      <c r="Q14" s="13"/>
    </row>
    <row r="15" spans="3:17" ht="18.75" x14ac:dyDescent="0.3">
      <c r="C15" s="13"/>
      <c r="D15" s="297"/>
      <c r="E15" s="296"/>
      <c r="F15" s="290"/>
      <c r="G15" s="299"/>
      <c r="H15" s="290">
        <v>5310</v>
      </c>
      <c r="I15" s="290"/>
      <c r="J15" s="298"/>
      <c r="K15" s="290"/>
      <c r="L15" s="290"/>
      <c r="M15" s="290"/>
      <c r="N15" s="290"/>
      <c r="O15" s="294"/>
      <c r="P15" s="13"/>
      <c r="Q15" s="13"/>
    </row>
    <row r="16" spans="3:17" ht="18.75" x14ac:dyDescent="0.3">
      <c r="C16" s="13"/>
      <c r="D16" s="297"/>
      <c r="E16" s="296"/>
      <c r="F16" s="290"/>
      <c r="G16" s="290"/>
      <c r="H16" s="290">
        <v>8000</v>
      </c>
      <c r="I16" s="290"/>
      <c r="J16" s="290"/>
      <c r="K16" s="298"/>
      <c r="L16" s="290"/>
      <c r="M16" s="290"/>
      <c r="N16" s="290"/>
      <c r="O16" s="294"/>
      <c r="P16" s="13"/>
      <c r="Q16" s="13"/>
    </row>
    <row r="17" spans="3:17" ht="18.75" x14ac:dyDescent="0.3">
      <c r="C17" s="13"/>
      <c r="D17" s="297"/>
      <c r="E17" s="296"/>
      <c r="F17" s="290"/>
      <c r="G17" s="290"/>
      <c r="H17" s="290"/>
      <c r="I17" s="290"/>
      <c r="J17" s="290"/>
      <c r="K17" s="298"/>
      <c r="L17" s="290"/>
      <c r="M17" s="290"/>
      <c r="N17" s="290"/>
      <c r="O17" s="294"/>
      <c r="P17" s="13"/>
      <c r="Q17" s="13"/>
    </row>
    <row r="18" spans="3:17" ht="18.75" x14ac:dyDescent="0.3">
      <c r="C18" s="13"/>
      <c r="D18" s="297"/>
      <c r="E18" s="296"/>
      <c r="F18" s="290"/>
      <c r="G18" s="290"/>
      <c r="H18" s="300"/>
      <c r="I18" s="290"/>
      <c r="J18" s="290"/>
      <c r="K18" s="298"/>
      <c r="L18" s="290"/>
      <c r="M18" s="290"/>
      <c r="N18" s="290"/>
      <c r="O18" s="294"/>
      <c r="P18" s="13"/>
      <c r="Q18" s="13"/>
    </row>
    <row r="19" spans="3:17" ht="18.75" x14ac:dyDescent="0.3">
      <c r="C19" s="13"/>
      <c r="D19" s="297"/>
      <c r="E19" s="296"/>
      <c r="F19" s="290"/>
      <c r="G19" s="290"/>
      <c r="H19" s="300"/>
      <c r="I19" s="290"/>
      <c r="J19" s="290"/>
      <c r="K19" s="290"/>
      <c r="L19" s="290"/>
      <c r="M19" s="290"/>
      <c r="N19" s="290"/>
      <c r="O19" s="294"/>
      <c r="P19" s="13"/>
      <c r="Q19" s="13"/>
    </row>
    <row r="20" spans="3:17" ht="18.75" x14ac:dyDescent="0.3">
      <c r="C20" s="13"/>
      <c r="D20" s="297"/>
      <c r="E20" s="296"/>
      <c r="F20" s="290"/>
      <c r="G20" s="290"/>
      <c r="H20" s="290"/>
      <c r="I20" s="290"/>
      <c r="J20" s="290"/>
      <c r="K20" s="290"/>
      <c r="L20" s="290"/>
      <c r="M20" s="290"/>
      <c r="N20" s="290"/>
      <c r="O20" s="294"/>
      <c r="P20" s="13"/>
      <c r="Q20" s="13"/>
    </row>
    <row r="21" spans="3:17" ht="18.75" x14ac:dyDescent="0.3">
      <c r="C21" s="13"/>
      <c r="D21" s="297"/>
      <c r="E21" s="296"/>
      <c r="F21" s="290"/>
      <c r="G21" s="290"/>
      <c r="H21" s="290"/>
      <c r="I21" s="290"/>
      <c r="J21" s="290"/>
      <c r="K21" s="290"/>
      <c r="L21" s="290"/>
      <c r="M21" s="290"/>
      <c r="N21" s="290"/>
      <c r="O21" s="294"/>
      <c r="P21" s="13"/>
      <c r="Q21" s="13"/>
    </row>
    <row r="22" spans="3:17" ht="18.75" x14ac:dyDescent="0.3">
      <c r="C22" s="13"/>
      <c r="D22" s="297"/>
      <c r="E22" s="296"/>
      <c r="F22" s="290"/>
      <c r="G22" s="290"/>
      <c r="H22" s="290"/>
      <c r="I22" s="290"/>
      <c r="J22" s="290"/>
      <c r="K22" s="290"/>
      <c r="L22" s="290"/>
      <c r="M22" s="290"/>
      <c r="N22" s="290"/>
      <c r="O22" s="294"/>
      <c r="P22" s="13"/>
      <c r="Q22" s="13"/>
    </row>
    <row r="23" spans="3:17" ht="19.5" thickBot="1" x14ac:dyDescent="0.35">
      <c r="C23" s="13"/>
      <c r="D23" s="301"/>
      <c r="E23" s="302"/>
      <c r="F23" s="303"/>
      <c r="G23" s="303"/>
      <c r="H23" s="303"/>
      <c r="I23" s="303"/>
      <c r="J23" s="303"/>
      <c r="K23" s="303"/>
      <c r="L23" s="303"/>
      <c r="M23" s="303"/>
      <c r="N23" s="303"/>
      <c r="O23" s="304"/>
      <c r="P23" s="13"/>
      <c r="Q23" s="13" t="s">
        <v>49</v>
      </c>
    </row>
    <row r="24" spans="3:17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3:17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3:17" x14ac:dyDescent="0.2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 t="s">
        <v>49</v>
      </c>
      <c r="P26" s="13"/>
      <c r="Q26" s="13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B1991-C0B9-2F46-801B-AF18ACCB2377}">
  <sheetPr codeName="Tabelle29"/>
  <dimension ref="A1:AJ144"/>
  <sheetViews>
    <sheetView zoomScale="75" zoomScaleNormal="80" workbookViewId="0">
      <selection activeCell="X11" sqref="X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4.28515625" style="3" bestFit="1" customWidth="1"/>
    <col min="15" max="16" width="28.42578125" style="3" bestFit="1" customWidth="1"/>
    <col min="17" max="18" width="15.28515625" style="3" customWidth="1"/>
    <col min="19" max="19" width="20.28515625" style="3" bestFit="1" customWidth="1"/>
    <col min="20" max="20" width="16.42578125" style="3" bestFit="1" customWidth="1"/>
    <col min="21" max="21" width="9.28515625" style="3" bestFit="1" customWidth="1"/>
    <col min="22" max="22" width="10.85546875" style="3"/>
    <col min="23" max="23" width="16.140625" style="3" bestFit="1" customWidth="1"/>
    <col min="24" max="24" width="14.42578125" style="3" bestFit="1" customWidth="1"/>
    <col min="25" max="25" width="13.140625" style="3" bestFit="1" customWidth="1"/>
    <col min="26" max="26" width="17.7109375" style="3" bestFit="1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4.14062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 t="s">
        <v>44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40" t="s">
        <v>124</v>
      </c>
      <c r="T8" s="541"/>
      <c r="U8" s="542"/>
      <c r="V8" s="217"/>
      <c r="W8" s="525" t="s">
        <v>197</v>
      </c>
      <c r="X8" s="526"/>
      <c r="Y8" s="526"/>
      <c r="Z8" s="527"/>
      <c r="AA8" s="13"/>
      <c r="AB8" s="543" t="s">
        <v>134</v>
      </c>
      <c r="AC8" s="544"/>
      <c r="AD8" s="544"/>
      <c r="AE8" s="544"/>
      <c r="AF8" s="545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218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219" t="s">
        <v>126</v>
      </c>
      <c r="T9" s="219" t="s">
        <v>76</v>
      </c>
      <c r="U9" s="219" t="s">
        <v>127</v>
      </c>
      <c r="V9" s="220"/>
      <c r="W9" s="100" t="s">
        <v>188</v>
      </c>
      <c r="X9" s="507"/>
      <c r="Y9" s="508"/>
      <c r="Z9" s="509"/>
      <c r="AA9" s="13"/>
      <c r="AB9" s="219" t="s">
        <v>131</v>
      </c>
      <c r="AC9" s="219" t="s">
        <v>130</v>
      </c>
      <c r="AD9" s="219" t="s">
        <v>8</v>
      </c>
      <c r="AE9" s="219" t="s">
        <v>132</v>
      </c>
      <c r="AF9" s="219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221" t="s">
        <v>2</v>
      </c>
      <c r="E10" s="74" t="s">
        <v>62</v>
      </c>
      <c r="F10" s="7"/>
      <c r="G10" s="7"/>
      <c r="H10" s="221" t="s">
        <v>3</v>
      </c>
      <c r="I10" s="74"/>
      <c r="J10" s="7"/>
      <c r="K10" s="7"/>
      <c r="L10" s="7"/>
      <c r="M10" s="221" t="s">
        <v>121</v>
      </c>
      <c r="N10" s="93">
        <v>1.073E-2</v>
      </c>
      <c r="O10" s="93">
        <v>0.90959999999999996</v>
      </c>
      <c r="P10" s="74">
        <v>-0.35</v>
      </c>
      <c r="Q10" s="7"/>
      <c r="R10" s="7"/>
      <c r="S10" s="222">
        <v>1110</v>
      </c>
      <c r="T10" s="95" t="s">
        <v>31</v>
      </c>
      <c r="U10" s="223">
        <v>0.9</v>
      </c>
      <c r="V10" s="224"/>
      <c r="W10" s="152">
        <v>112</v>
      </c>
      <c r="X10" s="83">
        <v>1110</v>
      </c>
      <c r="Y10" s="153"/>
      <c r="Z10" s="154"/>
      <c r="AA10" s="7"/>
      <c r="AB10" s="109" t="s">
        <v>26</v>
      </c>
      <c r="AC10" s="110" t="s">
        <v>34</v>
      </c>
      <c r="AD10" s="110" t="s">
        <v>27</v>
      </c>
      <c r="AE10" s="110" t="s">
        <v>31</v>
      </c>
      <c r="AF10" s="111">
        <v>1.5E-3</v>
      </c>
      <c r="AG10" s="7"/>
      <c r="AH10" s="7"/>
      <c r="AI10" s="103"/>
      <c r="AJ10" s="7"/>
    </row>
    <row r="11" spans="1:36" ht="18.75" x14ac:dyDescent="0.3">
      <c r="A11" s="7"/>
      <c r="B11" s="7"/>
      <c r="C11" s="102"/>
      <c r="D11" s="225" t="s">
        <v>4</v>
      </c>
      <c r="E11" s="76">
        <v>1100</v>
      </c>
      <c r="F11" s="7"/>
      <c r="G11" s="7"/>
      <c r="H11" s="225" t="s">
        <v>113</v>
      </c>
      <c r="I11" s="76">
        <v>14.74</v>
      </c>
      <c r="J11" s="7"/>
      <c r="K11" s="7"/>
      <c r="L11" s="7"/>
      <c r="M11" s="226" t="s">
        <v>122</v>
      </c>
      <c r="N11" s="83" t="s">
        <v>26</v>
      </c>
      <c r="O11" s="83" t="s">
        <v>26</v>
      </c>
      <c r="P11" s="76" t="s">
        <v>26</v>
      </c>
      <c r="Q11" s="7"/>
      <c r="R11" s="7"/>
      <c r="S11" s="227">
        <v>1110</v>
      </c>
      <c r="T11" s="20" t="s">
        <v>30</v>
      </c>
      <c r="U11" s="228">
        <v>2.606E-2</v>
      </c>
      <c r="V11" s="224"/>
      <c r="W11" s="158"/>
      <c r="X11" s="83"/>
      <c r="Y11" s="155"/>
      <c r="Z11" s="157"/>
      <c r="AA11" s="7"/>
      <c r="AB11" s="231"/>
      <c r="AC11" s="20"/>
      <c r="AD11" s="230"/>
      <c r="AE11" s="20"/>
      <c r="AF11" s="228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225" t="s">
        <v>90</v>
      </c>
      <c r="E12" s="76"/>
      <c r="F12" s="7"/>
      <c r="G12" s="7"/>
      <c r="H12" s="225" t="s">
        <v>114</v>
      </c>
      <c r="I12" s="76">
        <v>79.243899999999996</v>
      </c>
      <c r="J12" s="7"/>
      <c r="K12" s="7"/>
      <c r="L12" s="7"/>
      <c r="M12" s="226" t="s">
        <v>123</v>
      </c>
      <c r="N12" s="83" t="s">
        <v>31</v>
      </c>
      <c r="O12" s="83" t="s">
        <v>31</v>
      </c>
      <c r="P12" s="76" t="s">
        <v>31</v>
      </c>
      <c r="Q12" s="7"/>
      <c r="R12" s="7"/>
      <c r="S12" s="227"/>
      <c r="T12" s="20"/>
      <c r="U12" s="228"/>
      <c r="V12" s="224"/>
      <c r="W12" s="158"/>
      <c r="X12" s="83"/>
      <c r="Y12" s="49"/>
      <c r="Z12" s="34"/>
      <c r="AA12" s="234"/>
      <c r="AB12" s="235"/>
      <c r="AC12" s="20"/>
      <c r="AD12" s="232"/>
      <c r="AE12" s="20"/>
      <c r="AF12" s="228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225" t="s">
        <v>102</v>
      </c>
      <c r="E13" s="76" t="s">
        <v>34</v>
      </c>
      <c r="F13" s="7"/>
      <c r="G13" s="7"/>
      <c r="H13" s="225" t="s">
        <v>115</v>
      </c>
      <c r="I13" s="76">
        <v>0.67</v>
      </c>
      <c r="J13" s="7"/>
      <c r="K13" s="7"/>
      <c r="L13" s="7"/>
      <c r="M13" s="226"/>
      <c r="N13" s="88"/>
      <c r="O13" s="88"/>
      <c r="P13" s="86"/>
      <c r="Q13" s="7"/>
      <c r="R13" s="7"/>
      <c r="S13" s="236"/>
      <c r="T13" s="20"/>
      <c r="U13" s="233"/>
      <c r="V13" s="237"/>
      <c r="W13" s="158"/>
      <c r="X13" s="83"/>
      <c r="Y13" s="49"/>
      <c r="Z13" s="34"/>
      <c r="AA13" s="234"/>
      <c r="AB13" s="235"/>
      <c r="AC13" s="20"/>
      <c r="AD13" s="232"/>
      <c r="AE13" s="20"/>
      <c r="AF13" s="228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225" t="s">
        <v>103</v>
      </c>
      <c r="E14" s="76">
        <v>25</v>
      </c>
      <c r="F14" s="7"/>
      <c r="G14" s="7"/>
      <c r="H14" s="225" t="s">
        <v>116</v>
      </c>
      <c r="I14" s="76">
        <v>2020</v>
      </c>
      <c r="J14" s="7"/>
      <c r="K14" s="7"/>
      <c r="L14" s="7"/>
      <c r="M14" s="85"/>
      <c r="N14" s="88"/>
      <c r="O14" s="88"/>
      <c r="P14" s="86"/>
      <c r="Q14" s="7"/>
      <c r="R14" s="7"/>
      <c r="S14" s="236"/>
      <c r="T14" s="20"/>
      <c r="U14" s="233"/>
      <c r="V14" s="237"/>
      <c r="W14" s="158"/>
      <c r="X14" s="83"/>
      <c r="Y14" s="49"/>
      <c r="Z14" s="34"/>
      <c r="AA14" s="234"/>
      <c r="AB14" s="235"/>
      <c r="AC14" s="20"/>
      <c r="AD14" s="232"/>
      <c r="AE14" s="20"/>
      <c r="AF14" s="228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225" t="s">
        <v>104</v>
      </c>
      <c r="E15" s="76">
        <v>2.6</v>
      </c>
      <c r="F15" s="7"/>
      <c r="G15" s="7"/>
      <c r="H15" s="226" t="s">
        <v>117</v>
      </c>
      <c r="I15" s="76" t="s">
        <v>26</v>
      </c>
      <c r="J15" s="7"/>
      <c r="K15" s="7"/>
      <c r="L15" s="7"/>
      <c r="M15" s="85"/>
      <c r="N15" s="88"/>
      <c r="O15" s="88"/>
      <c r="P15" s="86"/>
      <c r="Q15" s="7"/>
      <c r="R15" s="7"/>
      <c r="S15" s="236"/>
      <c r="T15" s="20"/>
      <c r="U15" s="233"/>
      <c r="V15" s="234"/>
      <c r="W15" s="158"/>
      <c r="X15" s="83"/>
      <c r="Y15" s="83"/>
      <c r="Z15" s="76"/>
      <c r="AA15" s="7"/>
      <c r="AB15" s="107"/>
      <c r="AC15" s="20"/>
      <c r="AD15" s="20"/>
      <c r="AE15" s="20"/>
      <c r="AF15" s="228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225" t="s">
        <v>105</v>
      </c>
      <c r="E16" s="76">
        <v>1.44</v>
      </c>
      <c r="F16" s="7"/>
      <c r="G16" s="7"/>
      <c r="H16" s="226" t="s">
        <v>101</v>
      </c>
      <c r="I16" s="76" t="s">
        <v>31</v>
      </c>
      <c r="J16" s="7"/>
      <c r="K16" s="7"/>
      <c r="L16" s="7"/>
      <c r="M16" s="85"/>
      <c r="N16" s="88"/>
      <c r="O16" s="88"/>
      <c r="P16" s="86"/>
      <c r="Q16" s="7"/>
      <c r="R16" s="7"/>
      <c r="S16" s="229"/>
      <c r="T16" s="20"/>
      <c r="U16" s="72"/>
      <c r="V16" s="7"/>
      <c r="W16" s="158"/>
      <c r="X16" s="83"/>
      <c r="Y16" s="83"/>
      <c r="Z16" s="76"/>
      <c r="AA16" s="7"/>
      <c r="AB16" s="107"/>
      <c r="AC16" s="20"/>
      <c r="AD16" s="20"/>
      <c r="AE16" s="20"/>
      <c r="AF16" s="72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225" t="s">
        <v>106</v>
      </c>
      <c r="E17" s="76">
        <v>120</v>
      </c>
      <c r="F17" s="7"/>
      <c r="G17" s="7"/>
      <c r="H17" s="226"/>
      <c r="I17" s="76"/>
      <c r="J17" s="7"/>
      <c r="K17" s="7"/>
      <c r="L17" s="7"/>
      <c r="M17" s="85"/>
      <c r="N17" s="88"/>
      <c r="O17" s="88"/>
      <c r="P17" s="86"/>
      <c r="Q17" s="7"/>
      <c r="R17" s="7"/>
      <c r="S17" s="229"/>
      <c r="T17" s="20"/>
      <c r="U17" s="72"/>
      <c r="V17" s="7"/>
      <c r="W17" s="158"/>
      <c r="X17" s="83"/>
      <c r="Y17" s="83"/>
      <c r="Z17" s="76"/>
      <c r="AA17" s="7"/>
      <c r="AB17" s="107"/>
      <c r="AC17" s="20"/>
      <c r="AD17" s="20"/>
      <c r="AE17" s="20"/>
      <c r="AF17" s="72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>
        <v>120</v>
      </c>
      <c r="F18" s="7"/>
      <c r="G18" s="7"/>
      <c r="H18" s="85"/>
      <c r="I18" s="86"/>
      <c r="J18" s="7"/>
      <c r="K18" s="7"/>
      <c r="L18" s="7"/>
      <c r="M18" s="85"/>
      <c r="N18" s="88"/>
      <c r="O18" s="88"/>
      <c r="P18" s="86"/>
      <c r="Q18" s="7"/>
      <c r="R18" s="7"/>
      <c r="S18" s="229"/>
      <c r="T18" s="20"/>
      <c r="U18" s="72"/>
      <c r="V18" s="7"/>
      <c r="W18" s="158"/>
      <c r="X18" s="83"/>
      <c r="Y18" s="83"/>
      <c r="Z18" s="76"/>
      <c r="AA18" s="7"/>
      <c r="AB18" s="107"/>
      <c r="AC18" s="20"/>
      <c r="AD18" s="20"/>
      <c r="AE18" s="20"/>
      <c r="AF18" s="72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225" t="s">
        <v>108</v>
      </c>
      <c r="E19" s="76">
        <v>100</v>
      </c>
      <c r="F19" s="7"/>
      <c r="G19" s="7"/>
      <c r="H19" s="85"/>
      <c r="I19" s="86"/>
      <c r="J19" s="7"/>
      <c r="K19" s="7"/>
      <c r="L19" s="7"/>
      <c r="M19" s="85"/>
      <c r="N19" s="88"/>
      <c r="O19" s="88"/>
      <c r="P19" s="86"/>
      <c r="Q19" s="7"/>
      <c r="R19" s="7"/>
      <c r="S19" s="229"/>
      <c r="T19" s="20"/>
      <c r="U19" s="72"/>
      <c r="V19" s="7"/>
      <c r="W19" s="158"/>
      <c r="X19" s="83"/>
      <c r="Y19" s="83"/>
      <c r="Z19" s="76"/>
      <c r="AA19" s="7"/>
      <c r="AB19" s="107"/>
      <c r="AC19" s="20"/>
      <c r="AD19" s="20"/>
      <c r="AE19" s="20"/>
      <c r="AF19" s="72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>
        <v>100</v>
      </c>
      <c r="F20" s="7"/>
      <c r="G20" s="7"/>
      <c r="H20" s="85"/>
      <c r="I20" s="86"/>
      <c r="J20" s="7"/>
      <c r="K20" s="7"/>
      <c r="L20" s="7"/>
      <c r="M20" s="85"/>
      <c r="N20" s="88"/>
      <c r="O20" s="88"/>
      <c r="P20" s="86"/>
      <c r="Q20" s="7"/>
      <c r="R20" s="7"/>
      <c r="S20" s="229"/>
      <c r="T20" s="20"/>
      <c r="U20" s="72"/>
      <c r="V20" s="7"/>
      <c r="W20" s="158"/>
      <c r="X20" s="83"/>
      <c r="Y20" s="83"/>
      <c r="Z20" s="76"/>
      <c r="AA20" s="7"/>
      <c r="AB20" s="107"/>
      <c r="AC20" s="20"/>
      <c r="AD20" s="20"/>
      <c r="AE20" s="20"/>
      <c r="AF20" s="72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76"/>
      <c r="F21" s="7"/>
      <c r="G21" s="7"/>
      <c r="H21" s="85"/>
      <c r="I21" s="86"/>
      <c r="J21" s="7"/>
      <c r="K21" s="7"/>
      <c r="L21" s="7"/>
      <c r="M21" s="85"/>
      <c r="N21" s="88"/>
      <c r="O21" s="88"/>
      <c r="P21" s="86"/>
      <c r="Q21" s="7"/>
      <c r="R21" s="7"/>
      <c r="S21" s="229"/>
      <c r="T21" s="20"/>
      <c r="U21" s="72"/>
      <c r="V21" s="7"/>
      <c r="W21" s="158"/>
      <c r="X21" s="83"/>
      <c r="Y21" s="83"/>
      <c r="Z21" s="76"/>
      <c r="AA21" s="7"/>
      <c r="AB21" s="107"/>
      <c r="AC21" s="20"/>
      <c r="AD21" s="20"/>
      <c r="AE21" s="20"/>
      <c r="AF21" s="72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89"/>
      <c r="O22" s="89"/>
      <c r="P22" s="90"/>
      <c r="Q22" s="7"/>
      <c r="R22" s="7"/>
      <c r="S22" s="229"/>
      <c r="T22" s="20"/>
      <c r="U22" s="72"/>
      <c r="V22" s="7"/>
      <c r="W22" s="158"/>
      <c r="X22" s="83"/>
      <c r="Y22" s="83"/>
      <c r="Z22" s="76"/>
      <c r="AA22" s="7"/>
      <c r="AB22" s="107"/>
      <c r="AC22" s="20"/>
      <c r="AD22" s="20"/>
      <c r="AE22" s="20"/>
      <c r="AF22" s="72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238" t="s">
        <v>112</v>
      </c>
      <c r="E23" s="74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229"/>
      <c r="T23" s="20"/>
      <c r="U23" s="72"/>
      <c r="V23" s="7"/>
      <c r="W23" s="158"/>
      <c r="X23" s="83"/>
      <c r="Y23" s="83"/>
      <c r="Z23" s="76"/>
      <c r="AA23" s="7"/>
      <c r="AB23" s="107"/>
      <c r="AC23" s="20"/>
      <c r="AD23" s="20"/>
      <c r="AE23" s="20"/>
      <c r="AF23" s="72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75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239"/>
      <c r="T24" s="99"/>
      <c r="U24" s="71"/>
      <c r="V24" s="7"/>
      <c r="W24" s="158"/>
      <c r="X24" s="83"/>
      <c r="Y24" s="83"/>
      <c r="Z24" s="76"/>
      <c r="AA24" s="7"/>
      <c r="AB24" s="108"/>
      <c r="AC24" s="99"/>
      <c r="AD24" s="99"/>
      <c r="AE24" s="99"/>
      <c r="AF24" s="71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75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9.5" thickBot="1" x14ac:dyDescent="0.35">
      <c r="A26" s="7"/>
      <c r="B26" s="7"/>
      <c r="C26" s="117"/>
      <c r="D26" s="160" t="s">
        <v>137</v>
      </c>
      <c r="E26" s="70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546"/>
      <c r="E47" s="546"/>
      <c r="F47" s="546"/>
      <c r="G47" s="546"/>
      <c r="H47" s="546"/>
      <c r="I47" s="546"/>
      <c r="J47" s="546"/>
      <c r="K47" s="546"/>
      <c r="L47" s="546"/>
      <c r="M47" s="7"/>
      <c r="N47" s="7"/>
      <c r="O47" s="7"/>
      <c r="P47" s="240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241"/>
      <c r="E48" s="241"/>
      <c r="F48" s="241"/>
      <c r="G48" s="241"/>
      <c r="H48" s="241"/>
      <c r="I48" s="241"/>
      <c r="J48" s="241"/>
      <c r="K48" s="241"/>
      <c r="L48" s="24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240"/>
      <c r="E49" s="240"/>
      <c r="F49" s="240"/>
      <c r="G49" s="224"/>
      <c r="H49" s="240"/>
      <c r="I49" s="242"/>
      <c r="J49" s="242"/>
      <c r="K49" s="242"/>
      <c r="L49" s="242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240"/>
      <c r="E50" s="240"/>
      <c r="F50" s="240"/>
      <c r="G50" s="224"/>
      <c r="H50" s="240"/>
      <c r="I50" s="242"/>
      <c r="J50" s="242"/>
      <c r="K50" s="242"/>
      <c r="L50" s="242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240"/>
      <c r="E51" s="240"/>
      <c r="F51" s="240"/>
      <c r="G51" s="224"/>
      <c r="H51" s="240"/>
      <c r="I51" s="242"/>
      <c r="J51" s="242"/>
      <c r="K51" s="242"/>
      <c r="L51" s="242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240"/>
      <c r="E52" s="240"/>
      <c r="F52" s="240"/>
      <c r="G52" s="224"/>
      <c r="H52" s="234"/>
      <c r="I52" s="234"/>
      <c r="J52" s="234"/>
      <c r="K52" s="234"/>
      <c r="L52" s="234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240"/>
      <c r="E53" s="240"/>
      <c r="F53" s="240"/>
      <c r="G53" s="224"/>
      <c r="H53" s="234"/>
      <c r="I53" s="234"/>
      <c r="J53" s="234"/>
      <c r="K53" s="234"/>
      <c r="L53" s="234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240"/>
      <c r="E54" s="240"/>
      <c r="F54" s="240"/>
      <c r="G54" s="224"/>
      <c r="H54" s="234"/>
      <c r="I54" s="234"/>
      <c r="J54" s="234"/>
      <c r="K54" s="234"/>
      <c r="L54" s="234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D47:G47"/>
    <mergeCell ref="H47:L47"/>
    <mergeCell ref="D6:E6"/>
    <mergeCell ref="H6:I6"/>
    <mergeCell ref="M6:P6"/>
    <mergeCell ref="X9:Z9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whole" allowBlank="1" showInputMessage="1" showErrorMessage="1" xr:uid="{87204254-030C-1044-A8D6-54FD5F182BBA}">
          <x14:formula1>
            <xm:f>'/Users/philippkenkel/Desktop/D:\Users\philippkenkel\Seafile\RESILIENTE ENERGIESYSTEME\Intern\SicherungsKopien\Version_1\[Templates_V1.3.xlsm]Systemblatt'!#REF!</xm:f>
          </x14:formula1>
          <x14:formula2>
            <xm:f>'/Users/philippkenkel/Desktop/D:\Users\philippkenkel\Seafile\RESILIENTE ENERGIESYSTEME\Intern\SicherungsKopien\Version_1\[Templates_V1.3.xlsm]Systemblatt'!#REF!</xm:f>
          </x14:formula2>
          <xm:sqref>E19:F20</xm:sqref>
        </x14:dataValidation>
        <x14:dataValidation type="list" allowBlank="1" showInputMessage="1" showErrorMessage="1" xr:uid="{BB7FADE3-6C42-A648-A9C4-8C3D62CFC846}">
          <x14:formula1>
            <xm:f>'/Users/philippkenkel/Desktop/D:\Users\philippkenkel\Seafile\RESILIENTE ENERGIESYSTEME\Intern\SicherungsKopien\Version_1\[Templates_V1.3.xlsm]Systemblatt'!#REF!</xm:f>
          </x14:formula1>
          <xm:sqref>I16:K17 T10:T15 AC10:AC24 AE10:AE24 N12:P13</xm:sqref>
        </x14:dataValidation>
        <x14:dataValidation type="list" allowBlank="1" showInputMessage="1" showErrorMessage="1" xr:uid="{9BBA17EB-F03B-3D43-A7A8-B5290DDAEE07}">
          <x14:formula1>
            <xm:f>'/Users/philippkenkel/Desktop/D:\Users\philippkenkel\Seafile\RESILIENTE ENERGIESYSTEME\Intern\SicherungsKopien\Version_1\[Templates_V1.3.xlsm]Tabelle1'!#REF!</xm:f>
          </x14:formula1>
          <xm:sqref>I15:K15 N11:P11 AB10 AD10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849B-149D-9E48-8CCD-190D91E57EEB}">
  <sheetPr codeName="Tabelle25"/>
  <dimension ref="A1:AJ144"/>
  <sheetViews>
    <sheetView topLeftCell="J1" zoomScale="75" zoomScaleNormal="80" workbookViewId="0">
      <selection activeCell="F13" sqref="F1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8.42578125" style="3" bestFit="1" customWidth="1"/>
    <col min="14" max="14" width="14.28515625" style="3" bestFit="1" customWidth="1"/>
    <col min="15" max="16" width="28.42578125" style="3" bestFit="1" customWidth="1"/>
    <col min="17" max="18" width="15.28515625" style="3" customWidth="1"/>
    <col min="19" max="19" width="20.28515625" style="3" bestFit="1" customWidth="1"/>
    <col min="20" max="20" width="16.42578125" style="3" bestFit="1" customWidth="1"/>
    <col min="21" max="21" width="7.140625" style="3" bestFit="1" customWidth="1"/>
    <col min="22" max="22" width="10.85546875" style="3"/>
    <col min="23" max="23" width="16.140625" style="3" bestFit="1" customWidth="1"/>
    <col min="24" max="24" width="14.42578125" style="3" bestFit="1" customWidth="1"/>
    <col min="25" max="25" width="13.140625" style="3" bestFit="1" customWidth="1"/>
    <col min="26" max="26" width="17.7109375" style="3" bestFit="1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42578125" style="3" bestFit="1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 t="s">
        <v>44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40" t="s">
        <v>124</v>
      </c>
      <c r="T8" s="541"/>
      <c r="U8" s="542"/>
      <c r="V8" s="217"/>
      <c r="W8" s="525" t="s">
        <v>197</v>
      </c>
      <c r="X8" s="526"/>
      <c r="Y8" s="526"/>
      <c r="Z8" s="527"/>
      <c r="AA8" s="13"/>
      <c r="AB8" s="543" t="s">
        <v>134</v>
      </c>
      <c r="AC8" s="544"/>
      <c r="AD8" s="544"/>
      <c r="AE8" s="544"/>
      <c r="AF8" s="545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218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219" t="s">
        <v>126</v>
      </c>
      <c r="T9" s="219" t="s">
        <v>76</v>
      </c>
      <c r="U9" s="219" t="s">
        <v>127</v>
      </c>
      <c r="V9" s="220"/>
      <c r="W9" s="100" t="s">
        <v>188</v>
      </c>
      <c r="X9" s="507"/>
      <c r="Y9" s="508"/>
      <c r="Z9" s="509"/>
      <c r="AA9" s="13"/>
      <c r="AB9" s="219" t="s">
        <v>131</v>
      </c>
      <c r="AC9" s="219" t="s">
        <v>130</v>
      </c>
      <c r="AD9" s="219" t="s">
        <v>8</v>
      </c>
      <c r="AE9" s="219" t="s">
        <v>132</v>
      </c>
      <c r="AF9" s="219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221" t="s">
        <v>2</v>
      </c>
      <c r="E10" s="74" t="s">
        <v>146</v>
      </c>
      <c r="F10" s="7"/>
      <c r="G10" s="7"/>
      <c r="H10" s="221" t="s">
        <v>3</v>
      </c>
      <c r="I10" s="74"/>
      <c r="J10" s="7"/>
      <c r="K10" s="7"/>
      <c r="L10" s="7"/>
      <c r="M10" s="221" t="s">
        <v>121</v>
      </c>
      <c r="N10" s="93"/>
      <c r="O10" s="93">
        <v>-0.58699999999999997</v>
      </c>
      <c r="P10" s="74">
        <v>-0.23899999999999999</v>
      </c>
      <c r="Q10" s="7"/>
      <c r="R10" s="7"/>
      <c r="S10" s="222">
        <v>1100</v>
      </c>
      <c r="T10" s="95" t="s">
        <v>31</v>
      </c>
      <c r="U10" s="223">
        <v>1</v>
      </c>
      <c r="V10" s="224"/>
      <c r="W10" s="152">
        <v>113</v>
      </c>
      <c r="X10" s="83"/>
      <c r="Y10" s="153"/>
      <c r="Z10" s="154"/>
      <c r="AA10" s="7"/>
      <c r="AB10" s="109"/>
      <c r="AC10" s="110"/>
      <c r="AD10" s="110"/>
      <c r="AE10" s="110"/>
      <c r="AF10" s="111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225" t="s">
        <v>4</v>
      </c>
      <c r="E11" s="76">
        <v>1101</v>
      </c>
      <c r="F11" s="7"/>
      <c r="G11" s="7"/>
      <c r="H11" s="225" t="s">
        <v>113</v>
      </c>
      <c r="I11" s="76">
        <v>0</v>
      </c>
      <c r="J11" s="7"/>
      <c r="K11" s="7"/>
      <c r="L11" s="7"/>
      <c r="M11" s="226" t="s">
        <v>122</v>
      </c>
      <c r="N11" s="83"/>
      <c r="O11" s="83" t="s">
        <v>26</v>
      </c>
      <c r="P11" s="76" t="s">
        <v>26</v>
      </c>
      <c r="Q11" s="7"/>
      <c r="R11" s="7"/>
      <c r="S11" s="227">
        <v>1100</v>
      </c>
      <c r="T11" s="20" t="s">
        <v>30</v>
      </c>
      <c r="U11" s="228">
        <v>1</v>
      </c>
      <c r="V11" s="224"/>
      <c r="W11" s="158"/>
      <c r="X11" s="83"/>
      <c r="Y11" s="155"/>
      <c r="Z11" s="157"/>
      <c r="AA11" s="7"/>
      <c r="AB11" s="231"/>
      <c r="AC11" s="20"/>
      <c r="AD11" s="230"/>
      <c r="AE11" s="20"/>
      <c r="AF11" s="228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225" t="s">
        <v>90</v>
      </c>
      <c r="E12" s="76"/>
      <c r="F12" s="7"/>
      <c r="G12" s="7"/>
      <c r="H12" s="225" t="s">
        <v>114</v>
      </c>
      <c r="I12" s="76">
        <v>79.243899999999996</v>
      </c>
      <c r="J12" s="7"/>
      <c r="K12" s="7"/>
      <c r="L12" s="7"/>
      <c r="M12" s="226" t="s">
        <v>123</v>
      </c>
      <c r="N12" s="83"/>
      <c r="O12" s="83" t="s">
        <v>31</v>
      </c>
      <c r="P12" s="76" t="s">
        <v>31</v>
      </c>
      <c r="Q12" s="7"/>
      <c r="R12" s="7"/>
      <c r="S12" s="227">
        <v>1100</v>
      </c>
      <c r="T12" s="20" t="s">
        <v>38</v>
      </c>
      <c r="U12" s="228">
        <v>1</v>
      </c>
      <c r="V12" s="224"/>
      <c r="W12" s="158"/>
      <c r="X12" s="83"/>
      <c r="Y12" s="49"/>
      <c r="Z12" s="34"/>
      <c r="AA12" s="234"/>
      <c r="AB12" s="235"/>
      <c r="AC12" s="20"/>
      <c r="AD12" s="232"/>
      <c r="AE12" s="20"/>
      <c r="AF12" s="228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225" t="s">
        <v>102</v>
      </c>
      <c r="E13" s="76" t="s">
        <v>34</v>
      </c>
      <c r="F13" s="7"/>
      <c r="G13" s="7"/>
      <c r="H13" s="225" t="s">
        <v>115</v>
      </c>
      <c r="I13" s="76">
        <v>0.67</v>
      </c>
      <c r="J13" s="7"/>
      <c r="K13" s="7"/>
      <c r="L13" s="7"/>
      <c r="M13" s="226"/>
      <c r="N13" s="88"/>
      <c r="O13" s="88"/>
      <c r="P13" s="86"/>
      <c r="Q13" s="7"/>
      <c r="R13" s="7"/>
      <c r="S13" s="236">
        <v>1100</v>
      </c>
      <c r="T13" s="20" t="s">
        <v>9</v>
      </c>
      <c r="U13" s="233">
        <v>1</v>
      </c>
      <c r="V13" s="237"/>
      <c r="W13" s="158"/>
      <c r="X13" s="83"/>
      <c r="Y13" s="49"/>
      <c r="Z13" s="34"/>
      <c r="AA13" s="234"/>
      <c r="AB13" s="235"/>
      <c r="AC13" s="20"/>
      <c r="AD13" s="232"/>
      <c r="AE13" s="20"/>
      <c r="AF13" s="228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225" t="s">
        <v>103</v>
      </c>
      <c r="E14" s="76">
        <v>25</v>
      </c>
      <c r="F14" s="7"/>
      <c r="G14" s="7"/>
      <c r="H14" s="225" t="s">
        <v>116</v>
      </c>
      <c r="I14" s="76">
        <v>2020</v>
      </c>
      <c r="J14" s="7"/>
      <c r="K14" s="7"/>
      <c r="L14" s="7"/>
      <c r="M14" s="85"/>
      <c r="N14" s="88"/>
      <c r="O14" s="88"/>
      <c r="P14" s="86"/>
      <c r="Q14" s="7"/>
      <c r="R14" s="7"/>
      <c r="S14" s="236"/>
      <c r="T14" s="20"/>
      <c r="U14" s="233"/>
      <c r="V14" s="237"/>
      <c r="W14" s="158"/>
      <c r="X14" s="83"/>
      <c r="Y14" s="49"/>
      <c r="Z14" s="34"/>
      <c r="AA14" s="234"/>
      <c r="AB14" s="235"/>
      <c r="AC14" s="20"/>
      <c r="AD14" s="232"/>
      <c r="AE14" s="20"/>
      <c r="AF14" s="228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225" t="s">
        <v>104</v>
      </c>
      <c r="E15" s="76">
        <v>2.6</v>
      </c>
      <c r="F15" s="7"/>
      <c r="G15" s="7"/>
      <c r="H15" s="226" t="s">
        <v>117</v>
      </c>
      <c r="I15" s="76" t="s">
        <v>26</v>
      </c>
      <c r="J15" s="7"/>
      <c r="K15" s="7"/>
      <c r="L15" s="7"/>
      <c r="M15" s="85"/>
      <c r="N15" s="88"/>
      <c r="O15" s="88"/>
      <c r="P15" s="86"/>
      <c r="Q15" s="7"/>
      <c r="R15" s="7"/>
      <c r="S15" s="236"/>
      <c r="T15" s="20"/>
      <c r="U15" s="233"/>
      <c r="V15" s="234"/>
      <c r="W15" s="158"/>
      <c r="X15" s="83"/>
      <c r="Y15" s="83"/>
      <c r="Z15" s="76"/>
      <c r="AA15" s="7"/>
      <c r="AB15" s="107"/>
      <c r="AC15" s="20"/>
      <c r="AD15" s="20"/>
      <c r="AE15" s="20"/>
      <c r="AF15" s="228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225" t="s">
        <v>105</v>
      </c>
      <c r="E16" s="76">
        <v>1.44</v>
      </c>
      <c r="F16" s="7"/>
      <c r="G16" s="7"/>
      <c r="H16" s="226" t="s">
        <v>101</v>
      </c>
      <c r="I16" s="76" t="s">
        <v>31</v>
      </c>
      <c r="J16" s="7"/>
      <c r="K16" s="7"/>
      <c r="L16" s="7"/>
      <c r="M16" s="85"/>
      <c r="N16" s="88"/>
      <c r="O16" s="88"/>
      <c r="P16" s="86"/>
      <c r="Q16" s="7"/>
      <c r="R16" s="7"/>
      <c r="S16" s="229"/>
      <c r="T16" s="20"/>
      <c r="U16" s="72"/>
      <c r="V16" s="7"/>
      <c r="W16" s="158"/>
      <c r="X16" s="83"/>
      <c r="Y16" s="83"/>
      <c r="Z16" s="76"/>
      <c r="AA16" s="7"/>
      <c r="AB16" s="107"/>
      <c r="AC16" s="20"/>
      <c r="AD16" s="20"/>
      <c r="AE16" s="20"/>
      <c r="AF16" s="72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225" t="s">
        <v>106</v>
      </c>
      <c r="E17" s="76">
        <v>50</v>
      </c>
      <c r="F17" s="7"/>
      <c r="G17" s="7"/>
      <c r="H17" s="226"/>
      <c r="I17" s="76"/>
      <c r="J17" s="7"/>
      <c r="K17" s="7"/>
      <c r="L17" s="7"/>
      <c r="M17" s="85"/>
      <c r="N17" s="88"/>
      <c r="O17" s="88"/>
      <c r="P17" s="86"/>
      <c r="Q17" s="7"/>
      <c r="R17" s="7"/>
      <c r="S17" s="229"/>
      <c r="T17" s="20"/>
      <c r="U17" s="72"/>
      <c r="V17" s="7"/>
      <c r="W17" s="158"/>
      <c r="X17" s="83"/>
      <c r="Y17" s="83"/>
      <c r="Z17" s="76"/>
      <c r="AA17" s="7"/>
      <c r="AB17" s="107"/>
      <c r="AC17" s="20"/>
      <c r="AD17" s="20"/>
      <c r="AE17" s="20"/>
      <c r="AF17" s="72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>
        <v>30</v>
      </c>
      <c r="F18" s="7"/>
      <c r="G18" s="7"/>
      <c r="H18" s="85"/>
      <c r="I18" s="86"/>
      <c r="J18" s="7"/>
      <c r="K18" s="7"/>
      <c r="L18" s="7"/>
      <c r="M18" s="85"/>
      <c r="N18" s="88"/>
      <c r="O18" s="88"/>
      <c r="P18" s="86"/>
      <c r="Q18" s="7"/>
      <c r="R18" s="7"/>
      <c r="S18" s="229"/>
      <c r="T18" s="20"/>
      <c r="U18" s="72"/>
      <c r="V18" s="7"/>
      <c r="W18" s="158"/>
      <c r="X18" s="83"/>
      <c r="Y18" s="83"/>
      <c r="Z18" s="76"/>
      <c r="AA18" s="7"/>
      <c r="AB18" s="107"/>
      <c r="AC18" s="20"/>
      <c r="AD18" s="20"/>
      <c r="AE18" s="20"/>
      <c r="AF18" s="72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225" t="s">
        <v>108</v>
      </c>
      <c r="E19" s="76">
        <v>45</v>
      </c>
      <c r="F19" s="7"/>
      <c r="G19" s="7"/>
      <c r="H19" s="85"/>
      <c r="I19" s="86"/>
      <c r="J19" s="7"/>
      <c r="K19" s="7"/>
      <c r="L19" s="7"/>
      <c r="M19" s="85"/>
      <c r="N19" s="88"/>
      <c r="O19" s="88"/>
      <c r="P19" s="86"/>
      <c r="Q19" s="7"/>
      <c r="R19" s="7"/>
      <c r="S19" s="229"/>
      <c r="T19" s="20"/>
      <c r="U19" s="72"/>
      <c r="V19" s="7"/>
      <c r="W19" s="158"/>
      <c r="X19" s="83"/>
      <c r="Y19" s="83"/>
      <c r="Z19" s="76"/>
      <c r="AA19" s="7"/>
      <c r="AB19" s="107"/>
      <c r="AC19" s="20"/>
      <c r="AD19" s="20"/>
      <c r="AE19" s="20"/>
      <c r="AF19" s="72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>
        <v>35</v>
      </c>
      <c r="F20" s="7"/>
      <c r="G20" s="7"/>
      <c r="H20" s="85"/>
      <c r="I20" s="86"/>
      <c r="J20" s="7"/>
      <c r="K20" s="7"/>
      <c r="L20" s="7"/>
      <c r="M20" s="85"/>
      <c r="N20" s="88"/>
      <c r="O20" s="88"/>
      <c r="P20" s="86"/>
      <c r="Q20" s="7"/>
      <c r="R20" s="7"/>
      <c r="S20" s="229"/>
      <c r="T20" s="20"/>
      <c r="U20" s="72"/>
      <c r="V20" s="7"/>
      <c r="W20" s="158"/>
      <c r="X20" s="83"/>
      <c r="Y20" s="83"/>
      <c r="Z20" s="76"/>
      <c r="AA20" s="7"/>
      <c r="AB20" s="107"/>
      <c r="AC20" s="20"/>
      <c r="AD20" s="20"/>
      <c r="AE20" s="20"/>
      <c r="AF20" s="72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76"/>
      <c r="F21" s="7"/>
      <c r="G21" s="7"/>
      <c r="H21" s="85"/>
      <c r="I21" s="86"/>
      <c r="J21" s="7"/>
      <c r="K21" s="7"/>
      <c r="L21" s="7"/>
      <c r="M21" s="85"/>
      <c r="N21" s="88"/>
      <c r="O21" s="88"/>
      <c r="P21" s="86"/>
      <c r="Q21" s="7"/>
      <c r="R21" s="7"/>
      <c r="S21" s="229"/>
      <c r="T21" s="20"/>
      <c r="U21" s="72"/>
      <c r="V21" s="7"/>
      <c r="W21" s="158"/>
      <c r="X21" s="83"/>
      <c r="Y21" s="83"/>
      <c r="Z21" s="76"/>
      <c r="AA21" s="7"/>
      <c r="AB21" s="107"/>
      <c r="AC21" s="20"/>
      <c r="AD21" s="20"/>
      <c r="AE21" s="20"/>
      <c r="AF21" s="72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89"/>
      <c r="O22" s="89"/>
      <c r="P22" s="90"/>
      <c r="Q22" s="7"/>
      <c r="R22" s="7"/>
      <c r="S22" s="229"/>
      <c r="T22" s="20"/>
      <c r="U22" s="72"/>
      <c r="V22" s="7"/>
      <c r="W22" s="158"/>
      <c r="X22" s="83"/>
      <c r="Y22" s="83"/>
      <c r="Z22" s="76"/>
      <c r="AA22" s="7"/>
      <c r="AB22" s="107"/>
      <c r="AC22" s="20"/>
      <c r="AD22" s="20"/>
      <c r="AE22" s="20"/>
      <c r="AF22" s="72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238" t="s">
        <v>112</v>
      </c>
      <c r="E23" s="74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229"/>
      <c r="T23" s="20"/>
      <c r="U23" s="72"/>
      <c r="V23" s="7"/>
      <c r="W23" s="158"/>
      <c r="X23" s="83"/>
      <c r="Y23" s="83"/>
      <c r="Z23" s="76"/>
      <c r="AA23" s="7"/>
      <c r="AB23" s="107"/>
      <c r="AC23" s="20"/>
      <c r="AD23" s="20"/>
      <c r="AE23" s="20"/>
      <c r="AF23" s="72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75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239"/>
      <c r="T24" s="99"/>
      <c r="U24" s="71"/>
      <c r="V24" s="7"/>
      <c r="W24" s="158"/>
      <c r="X24" s="83"/>
      <c r="Y24" s="83"/>
      <c r="Z24" s="76"/>
      <c r="AA24" s="7"/>
      <c r="AB24" s="108"/>
      <c r="AC24" s="99"/>
      <c r="AD24" s="99"/>
      <c r="AE24" s="99"/>
      <c r="AF24" s="71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75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9.5" thickBot="1" x14ac:dyDescent="0.35">
      <c r="A26" s="7"/>
      <c r="B26" s="7"/>
      <c r="C26" s="117"/>
      <c r="D26" s="160" t="s">
        <v>137</v>
      </c>
      <c r="E26" s="70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546"/>
      <c r="E47" s="546"/>
      <c r="F47" s="546"/>
      <c r="G47" s="546"/>
      <c r="H47" s="546"/>
      <c r="I47" s="546"/>
      <c r="J47" s="546"/>
      <c r="K47" s="546"/>
      <c r="L47" s="546"/>
      <c r="M47" s="7"/>
      <c r="N47" s="7"/>
      <c r="O47" s="7"/>
      <c r="P47" s="240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241"/>
      <c r="E48" s="241"/>
      <c r="F48" s="241"/>
      <c r="G48" s="241"/>
      <c r="H48" s="241"/>
      <c r="I48" s="241"/>
      <c r="J48" s="241"/>
      <c r="K48" s="241"/>
      <c r="L48" s="241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240"/>
      <c r="E49" s="240"/>
      <c r="F49" s="240"/>
      <c r="G49" s="224"/>
      <c r="H49" s="240"/>
      <c r="I49" s="242"/>
      <c r="J49" s="242"/>
      <c r="K49" s="242"/>
      <c r="L49" s="242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240"/>
      <c r="E50" s="240"/>
      <c r="F50" s="240"/>
      <c r="G50" s="224"/>
      <c r="H50" s="240"/>
      <c r="I50" s="242"/>
      <c r="J50" s="242"/>
      <c r="K50" s="242"/>
      <c r="L50" s="242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240"/>
      <c r="E51" s="240"/>
      <c r="F51" s="240"/>
      <c r="G51" s="224"/>
      <c r="H51" s="240"/>
      <c r="I51" s="242"/>
      <c r="J51" s="242"/>
      <c r="K51" s="242"/>
      <c r="L51" s="242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240"/>
      <c r="E52" s="240"/>
      <c r="F52" s="240"/>
      <c r="G52" s="224"/>
      <c r="H52" s="234"/>
      <c r="I52" s="234"/>
      <c r="J52" s="234"/>
      <c r="K52" s="234"/>
      <c r="L52" s="234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240"/>
      <c r="E53" s="240"/>
      <c r="F53" s="240"/>
      <c r="G53" s="224"/>
      <c r="H53" s="234"/>
      <c r="I53" s="234"/>
      <c r="J53" s="234"/>
      <c r="K53" s="234"/>
      <c r="L53" s="234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240"/>
      <c r="E54" s="240"/>
      <c r="F54" s="240"/>
      <c r="G54" s="224"/>
      <c r="H54" s="234"/>
      <c r="I54" s="234"/>
      <c r="J54" s="234"/>
      <c r="K54" s="234"/>
      <c r="L54" s="234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D47:G47"/>
    <mergeCell ref="H47:L47"/>
    <mergeCell ref="D6:E6"/>
    <mergeCell ref="H6:I6"/>
    <mergeCell ref="M6:P6"/>
    <mergeCell ref="X9:Z9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0F77CB2-28CD-8F46-B959-5986289B4645}">
          <x14:formula1>
            <xm:f>'/Users/philippkenkel/Desktop/D:\Users\philippkenkel\Seafile\RESILIENTE ENERGIESYSTEME\Intern\SicherungsKopien\Version_1\[Templates_V1.3.xlsm]Tabelle1'!#REF!</xm:f>
          </x14:formula1>
          <xm:sqref>AB10 AD10 I15:K15 N11:P11</xm:sqref>
        </x14:dataValidation>
        <x14:dataValidation type="list" allowBlank="1" showInputMessage="1" showErrorMessage="1" xr:uid="{0CF50268-573A-DA46-9DB3-E8D11615EF58}">
          <x14:formula1>
            <xm:f>'/Users/philippkenkel/Desktop/D:\Users\philippkenkel\Seafile\RESILIENTE ENERGIESYSTEME\Intern\SicherungsKopien\Version_1\[Templates_V1.3.xlsm]Systemblatt'!#REF!</xm:f>
          </x14:formula1>
          <xm:sqref>I16:K17 T10:T15 N12:P13 AC10:AC24 AE10:AE24</xm:sqref>
        </x14:dataValidation>
        <x14:dataValidation type="whole" allowBlank="1" showInputMessage="1" showErrorMessage="1" xr:uid="{A00FDE0B-2229-E543-A804-9C77F6FD63CE}">
          <x14:formula1>
            <xm:f>'/Users/philippkenkel/Desktop/D:\Users\philippkenkel\Seafile\RESILIENTE ENERGIESYSTEME\Intern\SicherungsKopien\Version_1\[Templates_V1.3.xlsm]Systemblatt'!#REF!</xm:f>
          </x14:formula1>
          <x14:formula2>
            <xm:f>'/Users/philippkenkel/Desktop/D:\Users\philippkenkel\Seafile\RESILIENTE ENERGIESYSTEME\Intern\SicherungsKopien\Version_1\[Templates_V1.3.xlsm]Systemblatt'!#REF!</xm:f>
          </x14:formula2>
          <xm:sqref>E19:F20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50210-D136-C04A-A16A-0B9AFC5B4DF7}">
  <sheetPr codeName="Tabelle33"/>
  <dimension ref="C1:AG130"/>
  <sheetViews>
    <sheetView topLeftCell="M1" zoomScale="71" zoomScaleNormal="71" workbookViewId="0">
      <selection activeCell="F13" sqref="F1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47" style="3" customWidth="1"/>
    <col min="5" max="5" width="20.140625" style="3" customWidth="1"/>
    <col min="6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4" width="15.28515625" style="3" customWidth="1"/>
    <col min="15" max="15" width="30.85546875" style="3" customWidth="1"/>
    <col min="16" max="16" width="27.140625" style="3" customWidth="1"/>
    <col min="17" max="18" width="15.28515625" style="3" customWidth="1"/>
    <col min="19" max="19" width="26.140625" style="3" customWidth="1"/>
    <col min="20" max="20" width="27.85546875" style="3" customWidth="1"/>
    <col min="21" max="21" width="23.28515625" style="3" customWidth="1"/>
    <col min="22" max="22" width="10.85546875" style="3"/>
    <col min="23" max="23" width="23.7109375" style="3" customWidth="1"/>
    <col min="24" max="24" width="21.7109375" style="3" customWidth="1"/>
    <col min="25" max="25" width="18.28515625" style="3" customWidth="1"/>
    <col min="26" max="26" width="17.42578125" style="3" customWidth="1"/>
    <col min="27" max="27" width="10.85546875" style="3"/>
    <col min="28" max="28" width="20" style="3" customWidth="1"/>
    <col min="29" max="29" width="17.85546875" style="3" customWidth="1"/>
    <col min="30" max="30" width="13" style="3" customWidth="1"/>
    <col min="31" max="31" width="12.85546875" style="3" customWidth="1"/>
    <col min="32" max="32" width="78.28515625" style="3" customWidth="1"/>
    <col min="33" max="16384" width="10.85546875" style="3"/>
  </cols>
  <sheetData>
    <row r="1" spans="3:33" ht="10.5" customHeight="1" x14ac:dyDescent="0.25"/>
    <row r="2" spans="3:33" ht="6.95" customHeight="1" x14ac:dyDescent="0.25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3:33" ht="15.75" thickBot="1" x14ac:dyDescent="0.3">
      <c r="C3" s="6"/>
      <c r="D3" s="7"/>
      <c r="E3" s="7"/>
      <c r="F3" s="7"/>
      <c r="G3" s="7"/>
      <c r="H3" s="7"/>
      <c r="I3" s="7"/>
      <c r="J3" s="7" t="s">
        <v>44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</row>
    <row r="4" spans="3:33" x14ac:dyDescent="0.25">
      <c r="C4" s="11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13"/>
      <c r="AG4" s="124"/>
    </row>
    <row r="5" spans="3:3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7"/>
      <c r="AG5" s="103"/>
    </row>
    <row r="6" spans="3:3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03"/>
    </row>
    <row r="7" spans="3:3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03"/>
    </row>
    <row r="8" spans="3:3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03"/>
    </row>
    <row r="9" spans="3:33" ht="21.75" thickBot="1" x14ac:dyDescent="0.4">
      <c r="C9" s="102"/>
      <c r="D9" s="81" t="s">
        <v>73</v>
      </c>
      <c r="E9" s="245" t="s">
        <v>1</v>
      </c>
      <c r="F9" s="7"/>
      <c r="G9" s="7"/>
      <c r="H9" s="128" t="s">
        <v>73</v>
      </c>
      <c r="I9" s="128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30" t="s">
        <v>131</v>
      </c>
      <c r="AC9" s="130" t="s">
        <v>130</v>
      </c>
      <c r="AD9" s="130" t="s">
        <v>8</v>
      </c>
      <c r="AE9" s="130" t="s">
        <v>132</v>
      </c>
      <c r="AF9" s="130" t="s">
        <v>133</v>
      </c>
      <c r="AG9" s="103"/>
    </row>
    <row r="10" spans="3:33" ht="18.75" x14ac:dyDescent="0.3">
      <c r="C10" s="102"/>
      <c r="D10" s="73" t="s">
        <v>2</v>
      </c>
      <c r="E10" s="111" t="s">
        <v>67</v>
      </c>
      <c r="F10" s="7"/>
      <c r="G10" s="7"/>
      <c r="H10" s="73" t="s">
        <v>3</v>
      </c>
      <c r="I10" s="149"/>
      <c r="J10" s="7"/>
      <c r="K10" s="7"/>
      <c r="L10" s="7"/>
      <c r="M10" s="73" t="s">
        <v>121</v>
      </c>
      <c r="N10" s="110">
        <v>0.14000000000000001</v>
      </c>
      <c r="O10" s="110"/>
      <c r="P10" s="149"/>
      <c r="Q10" s="7"/>
      <c r="R10" s="13"/>
      <c r="S10" s="109">
        <v>1320</v>
      </c>
      <c r="T10" s="110" t="s">
        <v>31</v>
      </c>
      <c r="U10" s="111">
        <v>0.9</v>
      </c>
      <c r="V10" s="94"/>
      <c r="W10" s="152">
        <v>114</v>
      </c>
      <c r="X10" s="83"/>
      <c r="Y10" s="153"/>
      <c r="Z10" s="154"/>
      <c r="AA10" s="20"/>
      <c r="AB10" s="139" t="s">
        <v>26</v>
      </c>
      <c r="AC10" s="95" t="s">
        <v>9</v>
      </c>
      <c r="AD10" s="101" t="s">
        <v>26</v>
      </c>
      <c r="AE10" s="95" t="s">
        <v>31</v>
      </c>
      <c r="AF10" s="96">
        <v>0.28179999999999999</v>
      </c>
      <c r="AG10" s="103"/>
    </row>
    <row r="11" spans="3:33" ht="18.75" x14ac:dyDescent="0.3">
      <c r="C11" s="102"/>
      <c r="D11" s="75" t="s">
        <v>4</v>
      </c>
      <c r="E11" s="142">
        <v>1300</v>
      </c>
      <c r="F11" s="7"/>
      <c r="G11" s="7"/>
      <c r="H11" s="75" t="s">
        <v>113</v>
      </c>
      <c r="I11" s="147">
        <v>15.842000000000001</v>
      </c>
      <c r="J11" s="7"/>
      <c r="K11" s="7"/>
      <c r="L11" s="7"/>
      <c r="M11" s="84" t="s">
        <v>122</v>
      </c>
      <c r="N11" s="141" t="s">
        <v>26</v>
      </c>
      <c r="O11" s="141"/>
      <c r="P11" s="72"/>
      <c r="Q11" s="7"/>
      <c r="R11" s="13"/>
      <c r="S11" s="140"/>
      <c r="T11" s="141"/>
      <c r="U11" s="142"/>
      <c r="V11" s="94"/>
      <c r="W11" s="158">
        <v>115</v>
      </c>
      <c r="X11" s="83"/>
      <c r="Y11" s="155"/>
      <c r="Z11" s="157"/>
      <c r="AA11" s="20"/>
      <c r="AB11" s="105"/>
      <c r="AC11" s="20"/>
      <c r="AD11" s="94"/>
      <c r="AE11" s="20"/>
      <c r="AF11" s="97"/>
      <c r="AG11" s="103"/>
    </row>
    <row r="12" spans="3:33" ht="18.75" x14ac:dyDescent="0.3">
      <c r="C12" s="102"/>
      <c r="D12" s="75" t="s">
        <v>90</v>
      </c>
      <c r="E12" s="142"/>
      <c r="F12" s="7"/>
      <c r="G12" s="7"/>
      <c r="H12" s="75" t="s">
        <v>114</v>
      </c>
      <c r="I12" s="147">
        <v>110</v>
      </c>
      <c r="J12" s="7"/>
      <c r="K12" s="7"/>
      <c r="L12" s="7"/>
      <c r="M12" s="84" t="s">
        <v>123</v>
      </c>
      <c r="N12" s="141" t="s">
        <v>31</v>
      </c>
      <c r="O12" s="141"/>
      <c r="P12" s="72"/>
      <c r="Q12" s="7"/>
      <c r="R12" s="13"/>
      <c r="S12" s="105"/>
      <c r="T12" s="20"/>
      <c r="U12" s="97"/>
      <c r="V12" s="94"/>
      <c r="W12" s="158"/>
      <c r="X12" s="83"/>
      <c r="Y12" s="49"/>
      <c r="Z12" s="34"/>
      <c r="AA12" s="46"/>
      <c r="AB12" s="106"/>
      <c r="AC12" s="20"/>
      <c r="AD12" s="46"/>
      <c r="AE12" s="20"/>
      <c r="AF12" s="97"/>
      <c r="AG12" s="103"/>
    </row>
    <row r="13" spans="3:33" ht="18.75" x14ac:dyDescent="0.3">
      <c r="C13" s="102"/>
      <c r="D13" s="75" t="s">
        <v>102</v>
      </c>
      <c r="E13" s="142" t="s">
        <v>275</v>
      </c>
      <c r="F13" s="7"/>
      <c r="G13" s="7"/>
      <c r="H13" s="75" t="s">
        <v>115</v>
      </c>
      <c r="I13" s="147">
        <v>0.6</v>
      </c>
      <c r="J13" s="7"/>
      <c r="K13" s="7"/>
      <c r="L13" s="7"/>
      <c r="M13" s="84"/>
      <c r="N13" s="141"/>
      <c r="O13" s="141"/>
      <c r="P13" s="72"/>
      <c r="Q13" s="7"/>
      <c r="R13" s="13"/>
      <c r="S13" s="106"/>
      <c r="T13" s="20"/>
      <c r="U13" s="98"/>
      <c r="V13" s="46"/>
      <c r="W13" s="158"/>
      <c r="X13" s="83"/>
      <c r="Y13" s="49"/>
      <c r="Z13" s="34"/>
      <c r="AA13" s="46"/>
      <c r="AB13" s="106"/>
      <c r="AC13" s="20"/>
      <c r="AD13" s="46"/>
      <c r="AE13" s="20"/>
      <c r="AF13" s="97"/>
      <c r="AG13" s="103"/>
    </row>
    <row r="14" spans="3:33" ht="18.75" x14ac:dyDescent="0.3">
      <c r="C14" s="102"/>
      <c r="D14" s="75" t="s">
        <v>103</v>
      </c>
      <c r="E14" s="142">
        <v>25</v>
      </c>
      <c r="F14" s="7"/>
      <c r="G14" s="7"/>
      <c r="H14" s="75" t="s">
        <v>116</v>
      </c>
      <c r="I14" s="147">
        <v>2014</v>
      </c>
      <c r="J14" s="7"/>
      <c r="K14" s="7"/>
      <c r="L14" s="7"/>
      <c r="M14" s="85"/>
      <c r="N14" s="141"/>
      <c r="O14" s="141"/>
      <c r="P14" s="72"/>
      <c r="Q14" s="7"/>
      <c r="R14" s="13"/>
      <c r="S14" s="106"/>
      <c r="T14" s="20"/>
      <c r="U14" s="98"/>
      <c r="V14" s="46"/>
      <c r="W14" s="158"/>
      <c r="X14" s="83"/>
      <c r="Y14" s="49"/>
      <c r="Z14" s="34"/>
      <c r="AA14" s="46"/>
      <c r="AB14" s="106"/>
      <c r="AC14" s="20"/>
      <c r="AD14" s="46"/>
      <c r="AE14" s="20"/>
      <c r="AF14" s="97"/>
      <c r="AG14" s="103"/>
    </row>
    <row r="15" spans="3:33" ht="18.75" x14ac:dyDescent="0.3">
      <c r="C15" s="102"/>
      <c r="D15" s="75" t="s">
        <v>104</v>
      </c>
      <c r="E15" s="142">
        <v>2.6</v>
      </c>
      <c r="F15" s="7"/>
      <c r="G15" s="7"/>
      <c r="H15" s="84" t="s">
        <v>117</v>
      </c>
      <c r="I15" s="72" t="s">
        <v>26</v>
      </c>
      <c r="J15" s="7"/>
      <c r="K15" s="7"/>
      <c r="L15" s="7"/>
      <c r="M15" s="85"/>
      <c r="N15" s="141"/>
      <c r="O15" s="141"/>
      <c r="P15" s="72"/>
      <c r="Q15" s="7"/>
      <c r="R15" s="13"/>
      <c r="S15" s="106"/>
      <c r="T15" s="20"/>
      <c r="U15" s="98"/>
      <c r="V15" s="46"/>
      <c r="W15" s="158"/>
      <c r="X15" s="83"/>
      <c r="Y15" s="83"/>
      <c r="Z15" s="76"/>
      <c r="AA15" s="20"/>
      <c r="AB15" s="107"/>
      <c r="AC15" s="20"/>
      <c r="AD15" s="20"/>
      <c r="AE15" s="20"/>
      <c r="AF15" s="97"/>
      <c r="AG15" s="103"/>
    </row>
    <row r="16" spans="3:33" ht="18.75" x14ac:dyDescent="0.3">
      <c r="C16" s="102"/>
      <c r="D16" s="75" t="s">
        <v>105</v>
      </c>
      <c r="E16" s="142">
        <v>1.44</v>
      </c>
      <c r="F16" s="7"/>
      <c r="G16" s="7"/>
      <c r="H16" s="84" t="s">
        <v>101</v>
      </c>
      <c r="I16" s="72" t="s">
        <v>31</v>
      </c>
      <c r="J16" s="7"/>
      <c r="K16" s="7"/>
      <c r="L16" s="7"/>
      <c r="M16" s="85"/>
      <c r="N16" s="20"/>
      <c r="O16" s="20"/>
      <c r="P16" s="72"/>
      <c r="Q16" s="7"/>
      <c r="R16" s="13"/>
      <c r="S16" s="107"/>
      <c r="T16" s="20"/>
      <c r="U16" s="72"/>
      <c r="V16" s="20"/>
      <c r="W16" s="158"/>
      <c r="X16" s="83"/>
      <c r="Y16" s="83"/>
      <c r="Z16" s="76"/>
      <c r="AA16" s="20"/>
      <c r="AB16" s="107"/>
      <c r="AC16" s="20"/>
      <c r="AD16" s="20"/>
      <c r="AE16" s="20"/>
      <c r="AF16" s="72"/>
      <c r="AG16" s="103"/>
    </row>
    <row r="17" spans="3:33" ht="18.75" x14ac:dyDescent="0.3">
      <c r="C17" s="102"/>
      <c r="D17" s="75" t="s">
        <v>106</v>
      </c>
      <c r="E17" s="72">
        <v>100</v>
      </c>
      <c r="F17" s="7"/>
      <c r="G17" s="7"/>
      <c r="H17" s="132"/>
      <c r="I17" s="72"/>
      <c r="J17" s="7"/>
      <c r="K17" s="7"/>
      <c r="L17" s="7"/>
      <c r="M17" s="85"/>
      <c r="N17" s="20"/>
      <c r="O17" s="20"/>
      <c r="P17" s="72"/>
      <c r="Q17" s="7"/>
      <c r="R17" s="13"/>
      <c r="S17" s="107"/>
      <c r="T17" s="20"/>
      <c r="U17" s="72"/>
      <c r="V17" s="20"/>
      <c r="W17" s="158"/>
      <c r="X17" s="83"/>
      <c r="Y17" s="83"/>
      <c r="Z17" s="76"/>
      <c r="AA17" s="20"/>
      <c r="AB17" s="107"/>
      <c r="AC17" s="20"/>
      <c r="AD17" s="20"/>
      <c r="AE17" s="20"/>
      <c r="AF17" s="72"/>
      <c r="AG17" s="103"/>
    </row>
    <row r="18" spans="3:33" ht="18.75" x14ac:dyDescent="0.3">
      <c r="C18" s="102"/>
      <c r="D18" s="77" t="s">
        <v>107</v>
      </c>
      <c r="E18" s="72">
        <v>100</v>
      </c>
      <c r="F18" s="7"/>
      <c r="G18" s="7"/>
      <c r="H18" s="138"/>
      <c r="I18" s="72"/>
      <c r="J18" s="7"/>
      <c r="K18" s="7"/>
      <c r="L18" s="7"/>
      <c r="M18" s="85"/>
      <c r="N18" s="20"/>
      <c r="O18" s="20"/>
      <c r="P18" s="72"/>
      <c r="Q18" s="7"/>
      <c r="R18" s="13"/>
      <c r="S18" s="107"/>
      <c r="T18" s="20"/>
      <c r="U18" s="72"/>
      <c r="V18" s="20"/>
      <c r="W18" s="158"/>
      <c r="X18" s="83"/>
      <c r="Y18" s="83"/>
      <c r="Z18" s="76"/>
      <c r="AA18" s="20"/>
      <c r="AB18" s="107"/>
      <c r="AC18" s="20"/>
      <c r="AD18" s="20"/>
      <c r="AE18" s="20"/>
      <c r="AF18" s="72"/>
      <c r="AG18" s="103"/>
    </row>
    <row r="19" spans="3:33" ht="18.75" x14ac:dyDescent="0.3">
      <c r="C19" s="102"/>
      <c r="D19" s="75" t="s">
        <v>108</v>
      </c>
      <c r="E19" s="72"/>
      <c r="F19" s="7"/>
      <c r="G19" s="7"/>
      <c r="H19" s="138"/>
      <c r="I19" s="72"/>
      <c r="J19" s="7"/>
      <c r="K19" s="7"/>
      <c r="L19" s="7"/>
      <c r="M19" s="85"/>
      <c r="N19" s="20"/>
      <c r="O19" s="20"/>
      <c r="P19" s="72"/>
      <c r="Q19" s="7"/>
      <c r="R19" s="13"/>
      <c r="S19" s="107"/>
      <c r="T19" s="20"/>
      <c r="U19" s="72"/>
      <c r="V19" s="20"/>
      <c r="W19" s="158"/>
      <c r="X19" s="83"/>
      <c r="Y19" s="83"/>
      <c r="Z19" s="76"/>
      <c r="AA19" s="20"/>
      <c r="AB19" s="107"/>
      <c r="AC19" s="20"/>
      <c r="AD19" s="20"/>
      <c r="AE19" s="20"/>
      <c r="AF19" s="72"/>
      <c r="AG19" s="103"/>
    </row>
    <row r="20" spans="3:33" ht="18.75" x14ac:dyDescent="0.3">
      <c r="C20" s="102"/>
      <c r="D20" s="77" t="s">
        <v>109</v>
      </c>
      <c r="E20" s="72"/>
      <c r="F20" s="7"/>
      <c r="G20" s="7"/>
      <c r="H20" s="102"/>
      <c r="I20" s="72"/>
      <c r="J20" s="7"/>
      <c r="K20" s="7"/>
      <c r="L20" s="7"/>
      <c r="M20" s="102"/>
      <c r="N20" s="20"/>
      <c r="O20" s="20"/>
      <c r="P20" s="72"/>
      <c r="Q20" s="7"/>
      <c r="R20" s="13"/>
      <c r="S20" s="107"/>
      <c r="T20" s="20"/>
      <c r="U20" s="72"/>
      <c r="V20" s="20"/>
      <c r="W20" s="158"/>
      <c r="X20" s="83"/>
      <c r="Y20" s="83"/>
      <c r="Z20" s="76"/>
      <c r="AA20" s="20"/>
      <c r="AB20" s="107"/>
      <c r="AC20" s="20"/>
      <c r="AD20" s="20"/>
      <c r="AE20" s="20"/>
      <c r="AF20" s="72"/>
      <c r="AG20" s="103"/>
    </row>
    <row r="21" spans="3:33" ht="18.75" x14ac:dyDescent="0.3">
      <c r="C21" s="102"/>
      <c r="D21" s="77" t="s">
        <v>110</v>
      </c>
      <c r="E21" s="72"/>
      <c r="F21" s="7"/>
      <c r="G21" s="7"/>
      <c r="H21" s="102"/>
      <c r="I21" s="72"/>
      <c r="J21" s="7"/>
      <c r="K21" s="7"/>
      <c r="L21" s="7"/>
      <c r="M21" s="102"/>
      <c r="N21" s="20"/>
      <c r="O21" s="20"/>
      <c r="P21" s="72"/>
      <c r="Q21" s="7"/>
      <c r="R21" s="13"/>
      <c r="S21" s="107"/>
      <c r="T21" s="20"/>
      <c r="U21" s="72"/>
      <c r="V21" s="20"/>
      <c r="W21" s="158"/>
      <c r="X21" s="83"/>
      <c r="Y21" s="83"/>
      <c r="Z21" s="76"/>
      <c r="AA21" s="20"/>
      <c r="AB21" s="107"/>
      <c r="AC21" s="20"/>
      <c r="AD21" s="20"/>
      <c r="AE21" s="20"/>
      <c r="AF21" s="72"/>
      <c r="AG21" s="103"/>
    </row>
    <row r="22" spans="3:33" ht="19.5" thickBot="1" x14ac:dyDescent="0.35">
      <c r="C22" s="102"/>
      <c r="D22" s="77" t="s">
        <v>111</v>
      </c>
      <c r="E22" s="72"/>
      <c r="F22" s="7"/>
      <c r="G22" s="7"/>
      <c r="H22" s="102"/>
      <c r="I22" s="72"/>
      <c r="J22" s="7"/>
      <c r="K22" s="7"/>
      <c r="L22" s="7"/>
      <c r="M22" s="87"/>
      <c r="N22" s="99"/>
      <c r="O22" s="99"/>
      <c r="P22" s="71"/>
      <c r="Q22" s="7"/>
      <c r="R22" s="13"/>
      <c r="S22" s="107"/>
      <c r="T22" s="20"/>
      <c r="U22" s="72"/>
      <c r="V22" s="20"/>
      <c r="W22" s="158"/>
      <c r="X22" s="83"/>
      <c r="Y22" s="83"/>
      <c r="Z22" s="76"/>
      <c r="AA22" s="20"/>
      <c r="AB22" s="107"/>
      <c r="AC22" s="20"/>
      <c r="AD22" s="20"/>
      <c r="AE22" s="20"/>
      <c r="AF22" s="72"/>
      <c r="AG22" s="103"/>
    </row>
    <row r="23" spans="3:33" ht="19.5" thickBot="1" x14ac:dyDescent="0.35">
      <c r="C23" s="102"/>
      <c r="D23" s="78" t="s">
        <v>112</v>
      </c>
      <c r="E23" s="71"/>
      <c r="F23" s="7"/>
      <c r="G23" s="7"/>
      <c r="H23" s="87"/>
      <c r="I23" s="71"/>
      <c r="J23" s="7"/>
      <c r="K23" s="7"/>
      <c r="L23" s="7"/>
      <c r="M23" s="7"/>
      <c r="N23" s="7"/>
      <c r="O23" s="7"/>
      <c r="P23" s="7"/>
      <c r="Q23" s="7"/>
      <c r="R23" s="13"/>
      <c r="S23" s="107"/>
      <c r="T23" s="20"/>
      <c r="U23" s="72"/>
      <c r="V23" s="20"/>
      <c r="W23" s="158"/>
      <c r="X23" s="83"/>
      <c r="Y23" s="83"/>
      <c r="Z23" s="76"/>
      <c r="AA23" s="20"/>
      <c r="AB23" s="107"/>
      <c r="AC23" s="20"/>
      <c r="AD23" s="20"/>
      <c r="AE23" s="20"/>
      <c r="AF23" s="72"/>
      <c r="AG23" s="103"/>
    </row>
    <row r="24" spans="3:33" ht="18.75" x14ac:dyDescent="0.3">
      <c r="C24" s="117"/>
      <c r="D24" s="193" t="s">
        <v>135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07"/>
      <c r="T24" s="20"/>
      <c r="U24" s="72"/>
      <c r="V24" s="20"/>
      <c r="W24" s="158"/>
      <c r="X24" s="83"/>
      <c r="Y24" s="83"/>
      <c r="Z24" s="76"/>
      <c r="AA24" s="20"/>
      <c r="AB24" s="107"/>
      <c r="AC24" s="20"/>
      <c r="AD24" s="20"/>
      <c r="AE24" s="20"/>
      <c r="AF24" s="72"/>
      <c r="AG24" s="103"/>
    </row>
    <row r="25" spans="3:33" ht="18.75" x14ac:dyDescent="0.3">
      <c r="C25" s="117"/>
      <c r="D25" s="193" t="s">
        <v>136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43"/>
      <c r="T25" s="144"/>
      <c r="U25" s="145"/>
      <c r="V25" s="144"/>
      <c r="W25" s="180"/>
      <c r="X25" s="181"/>
      <c r="Y25" s="181"/>
      <c r="Z25" s="182"/>
      <c r="AA25" s="144"/>
      <c r="AB25" s="143"/>
      <c r="AC25" s="144"/>
      <c r="AD25" s="144"/>
      <c r="AE25" s="144"/>
      <c r="AF25" s="72"/>
      <c r="AG25" s="103"/>
    </row>
    <row r="26" spans="3:33" ht="19.5" thickBot="1" x14ac:dyDescent="0.35">
      <c r="C26" s="117"/>
      <c r="D26" s="195" t="s">
        <v>137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13"/>
      <c r="S26" s="135"/>
      <c r="T26" s="121"/>
      <c r="U26" s="122"/>
      <c r="V26" s="13"/>
      <c r="W26" s="180"/>
      <c r="X26" s="181"/>
      <c r="Y26" s="181"/>
      <c r="Z26" s="182"/>
      <c r="AA26" s="13"/>
      <c r="AB26" s="135"/>
      <c r="AC26" s="121"/>
      <c r="AD26" s="121"/>
      <c r="AE26" s="121"/>
      <c r="AF26" s="70"/>
      <c r="AG26" s="103"/>
    </row>
    <row r="27" spans="3:33" ht="19.5" thickBot="1" x14ac:dyDescent="0.35">
      <c r="C27" s="11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13"/>
      <c r="S27" s="13"/>
      <c r="T27" s="13"/>
      <c r="U27" s="13"/>
      <c r="V27" s="13"/>
      <c r="W27" s="183"/>
      <c r="X27" s="184"/>
      <c r="Y27" s="184"/>
      <c r="Z27" s="185"/>
      <c r="AA27" s="13"/>
      <c r="AB27" s="13"/>
      <c r="AC27" s="13"/>
      <c r="AD27" s="13"/>
      <c r="AE27" s="13"/>
      <c r="AF27" s="7"/>
      <c r="AG27" s="103"/>
    </row>
    <row r="28" spans="3:33" x14ac:dyDescent="0.25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7"/>
      <c r="AG28" s="103"/>
    </row>
    <row r="29" spans="3:33" x14ac:dyDescent="0.25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7"/>
      <c r="AG29" s="103"/>
    </row>
    <row r="30" spans="3:33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7"/>
      <c r="AG30" s="103"/>
    </row>
    <row r="31" spans="3:3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7"/>
      <c r="AG31" s="103"/>
    </row>
    <row r="32" spans="3:33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7"/>
      <c r="AG32" s="103"/>
    </row>
    <row r="33" spans="3:33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7"/>
      <c r="AG33" s="103"/>
    </row>
    <row r="34" spans="3:33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7"/>
      <c r="AG34" s="103"/>
    </row>
    <row r="35" spans="3:3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7"/>
      <c r="AG35" s="103"/>
    </row>
    <row r="36" spans="3:3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7"/>
      <c r="AG36" s="103"/>
    </row>
    <row r="37" spans="3:33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7"/>
      <c r="AG37" s="103"/>
    </row>
    <row r="38" spans="3:33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7"/>
      <c r="AG38" s="103"/>
    </row>
    <row r="39" spans="3:3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7"/>
      <c r="AG39" s="103"/>
    </row>
    <row r="40" spans="3:3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7"/>
      <c r="AG40" s="103"/>
    </row>
    <row r="41" spans="3:3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7"/>
      <c r="AG41" s="103"/>
    </row>
    <row r="42" spans="3:3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7"/>
      <c r="AG42" s="103"/>
    </row>
    <row r="43" spans="3:3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7"/>
      <c r="AG43" s="103"/>
    </row>
    <row r="44" spans="3:3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7"/>
      <c r="AG44" s="103"/>
    </row>
    <row r="45" spans="3:3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7"/>
      <c r="AG45" s="103"/>
    </row>
    <row r="46" spans="3:3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7"/>
      <c r="AG46" s="103"/>
    </row>
    <row r="47" spans="3:33" ht="18.75" x14ac:dyDescent="0.25">
      <c r="C47" s="102"/>
      <c r="D47" s="528"/>
      <c r="E47" s="528"/>
      <c r="F47" s="528"/>
      <c r="G47" s="126"/>
      <c r="H47" s="528"/>
      <c r="I47" s="528"/>
      <c r="J47" s="52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7"/>
      <c r="AG47" s="103"/>
    </row>
    <row r="48" spans="3:33" ht="15.75" x14ac:dyDescent="0.25">
      <c r="C48" s="102"/>
      <c r="D48" s="125"/>
      <c r="E48" s="125"/>
      <c r="F48" s="125"/>
      <c r="G48" s="125"/>
      <c r="H48" s="125"/>
      <c r="I48" s="125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7"/>
      <c r="AG48" s="103"/>
    </row>
    <row r="49" spans="3:33" ht="15.75" x14ac:dyDescent="0.25">
      <c r="C49" s="102"/>
      <c r="D49" s="11"/>
      <c r="E49" s="11"/>
      <c r="F49" s="9"/>
      <c r="G49" s="9"/>
      <c r="H49" s="11"/>
      <c r="I49" s="12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7"/>
      <c r="AG49" s="103"/>
    </row>
    <row r="50" spans="3:33" ht="15.75" x14ac:dyDescent="0.25">
      <c r="C50" s="102"/>
      <c r="D50" s="11"/>
      <c r="E50" s="11"/>
      <c r="F50" s="9"/>
      <c r="G50" s="9"/>
      <c r="H50" s="11"/>
      <c r="I50" s="12"/>
      <c r="J50" s="12"/>
      <c r="K50" s="12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7"/>
      <c r="AG50" s="103"/>
    </row>
    <row r="51" spans="3:33" ht="15.75" x14ac:dyDescent="0.25">
      <c r="C51" s="102"/>
      <c r="D51" s="11"/>
      <c r="E51" s="11"/>
      <c r="F51" s="9"/>
      <c r="G51" s="9"/>
      <c r="H51" s="11"/>
      <c r="I51" s="12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7"/>
      <c r="AG51" s="103"/>
    </row>
    <row r="52" spans="3:33" ht="15.75" x14ac:dyDescent="0.25">
      <c r="C52" s="102"/>
      <c r="D52" s="11"/>
      <c r="E52" s="11"/>
      <c r="F52" s="9"/>
      <c r="G52" s="9"/>
      <c r="H52" s="10"/>
      <c r="I52" s="10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7"/>
      <c r="AG52" s="103"/>
    </row>
    <row r="53" spans="3:33" ht="15.75" x14ac:dyDescent="0.25">
      <c r="C53" s="102"/>
      <c r="D53" s="11"/>
      <c r="E53" s="11"/>
      <c r="F53" s="9"/>
      <c r="G53" s="9"/>
      <c r="H53" s="10"/>
      <c r="I53" s="10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7"/>
      <c r="AG53" s="103"/>
    </row>
    <row r="54" spans="3:33" ht="15.75" x14ac:dyDescent="0.25">
      <c r="C54" s="102"/>
      <c r="D54" s="11"/>
      <c r="E54" s="11"/>
      <c r="F54" s="9"/>
      <c r="G54" s="9"/>
      <c r="H54" s="10"/>
      <c r="I54" s="10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7"/>
      <c r="AG54" s="103"/>
    </row>
    <row r="55" spans="3:33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7"/>
      <c r="AG55" s="103"/>
    </row>
    <row r="56" spans="3:33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7"/>
      <c r="AG56" s="103"/>
    </row>
    <row r="57" spans="3:33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7"/>
      <c r="AG57" s="103"/>
    </row>
    <row r="58" spans="3:33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7"/>
      <c r="AG58" s="103"/>
    </row>
    <row r="59" spans="3:33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7"/>
      <c r="AG59" s="103"/>
    </row>
    <row r="60" spans="3:33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7"/>
      <c r="AG60" s="103"/>
    </row>
    <row r="61" spans="3:33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7"/>
      <c r="AG61" s="103"/>
    </row>
    <row r="62" spans="3:33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7"/>
      <c r="AG62" s="103"/>
    </row>
    <row r="63" spans="3:33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7"/>
      <c r="AG63" s="103"/>
    </row>
    <row r="64" spans="3:33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7"/>
      <c r="AG64" s="103"/>
    </row>
    <row r="65" spans="3:33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7"/>
      <c r="AG65" s="103"/>
    </row>
    <row r="66" spans="3:33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7"/>
      <c r="AG66" s="103"/>
    </row>
    <row r="67" spans="3:33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7"/>
      <c r="AG67" s="103"/>
    </row>
    <row r="68" spans="3:33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7"/>
      <c r="AG68" s="103"/>
    </row>
    <row r="69" spans="3:33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7"/>
      <c r="AG69" s="103"/>
    </row>
    <row r="70" spans="3:33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04"/>
      <c r="AG70" s="70"/>
    </row>
    <row r="71" spans="3:33" x14ac:dyDescent="0.25">
      <c r="AF71" s="7"/>
    </row>
    <row r="130" spans="17:17" x14ac:dyDescent="0.25">
      <c r="Q130" s="3" t="s">
        <v>49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S8:U8"/>
    <mergeCell ref="AB8:AF8"/>
    <mergeCell ref="D8:E8"/>
    <mergeCell ref="H8:I8"/>
    <mergeCell ref="M8:P8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D2E9B0-D61B-7C4B-90C7-8D1754AD07D7}">
          <x14:formula1>
            <xm:f>Systemblatt!$E$5:$E$12</xm:f>
          </x14:formula1>
          <xm:sqref>I16:I17 T10:T15 N12:P13 AC10:AC24 AE10:AE24</xm:sqref>
        </x14:dataValidation>
        <x14:dataValidation type="list" allowBlank="1" showInputMessage="1" showErrorMessage="1" xr:uid="{8F25D94B-7046-C247-B094-FB24D942670F}">
          <x14:formula1>
            <xm:f>DataBank!$A$3:$A$5</xm:f>
          </x14:formula1>
          <xm:sqref>I15 N11:P11</xm:sqref>
        </x14:dataValidation>
        <x14:dataValidation type="list" allowBlank="1" showInputMessage="1" showErrorMessage="1" xr:uid="{DBCFFF6B-CEC8-7346-AEEF-42D34B15277C}">
          <x14:formula1>
            <xm:f>DataBank!$A$3:$A$4</xm:f>
          </x14:formula1>
          <xm:sqref>AB10 AD10</xm:sqref>
        </x14:dataValidation>
        <x14:dataValidation type="whole" allowBlank="1" showInputMessage="1" showErrorMessage="1" xr:uid="{4D69DE4D-05CC-5F43-8FC9-89F11FE619B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2AD5-7F00-F64D-8B6B-8AC800421559}">
  <sheetPr codeName="Tabelle26"/>
  <dimension ref="C1:AG130"/>
  <sheetViews>
    <sheetView topLeftCell="D3" zoomScale="87" zoomScaleNormal="87" workbookViewId="0">
      <selection activeCell="X11" sqref="X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9.42578125" style="3" customWidth="1"/>
    <col min="5" max="6" width="15.28515625" style="3" customWidth="1"/>
    <col min="7" max="7" width="6.28515625" style="3" customWidth="1"/>
    <col min="8" max="8" width="21.85546875" style="3" customWidth="1"/>
    <col min="9" max="11" width="15.28515625" style="3" customWidth="1"/>
    <col min="12" max="12" width="4.28515625" style="3" customWidth="1"/>
    <col min="13" max="13" width="28.42578125" style="3" bestFit="1" customWidth="1"/>
    <col min="14" max="14" width="14.42578125" style="3" bestFit="1" customWidth="1"/>
    <col min="15" max="16" width="28.42578125" style="3" bestFit="1" customWidth="1"/>
    <col min="17" max="18" width="15.28515625" style="3" customWidth="1"/>
    <col min="19" max="19" width="20.7109375" style="3" customWidth="1"/>
    <col min="20" max="20" width="23.140625" style="3" customWidth="1"/>
    <col min="21" max="22" width="10.85546875" style="3"/>
    <col min="23" max="23" width="20.7109375" style="3" customWidth="1"/>
    <col min="24" max="24" width="20.28515625" style="3" customWidth="1"/>
    <col min="25" max="25" width="18" style="3" customWidth="1"/>
    <col min="26" max="26" width="18.42578125" style="3" customWidth="1"/>
    <col min="27" max="27" width="10.85546875" style="3"/>
    <col min="28" max="28" width="17.7109375" style="3" customWidth="1"/>
    <col min="29" max="29" width="20.7109375" style="3" customWidth="1"/>
    <col min="30" max="30" width="17.85546875" style="3" customWidth="1"/>
    <col min="31" max="31" width="13.85546875" style="3" customWidth="1"/>
    <col min="32" max="32" width="67.140625" style="3" customWidth="1"/>
    <col min="33" max="16384" width="10.85546875" style="3"/>
  </cols>
  <sheetData>
    <row r="1" spans="3:33" ht="10.5" customHeight="1" thickBot="1" x14ac:dyDescent="0.3"/>
    <row r="2" spans="3:33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5"/>
    </row>
    <row r="3" spans="3:33" x14ac:dyDescent="0.25">
      <c r="C3" s="102"/>
      <c r="D3" s="7"/>
      <c r="E3" s="7"/>
      <c r="F3" s="7"/>
      <c r="G3" s="7"/>
      <c r="H3" s="7"/>
      <c r="I3" s="7"/>
      <c r="J3" s="7" t="s">
        <v>44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16"/>
    </row>
    <row r="4" spans="3:33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16"/>
    </row>
    <row r="5" spans="3:3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16"/>
    </row>
    <row r="6" spans="3:3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16"/>
    </row>
    <row r="7" spans="3:3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16"/>
    </row>
    <row r="8" spans="3:3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16"/>
    </row>
    <row r="9" spans="3:33" ht="21.75" thickBot="1" x14ac:dyDescent="0.4">
      <c r="C9" s="102"/>
      <c r="D9" s="148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16"/>
    </row>
    <row r="10" spans="3:33" ht="18.75" x14ac:dyDescent="0.3">
      <c r="C10" s="102"/>
      <c r="D10" s="73" t="s">
        <v>2</v>
      </c>
      <c r="E10" s="150" t="s">
        <v>68</v>
      </c>
      <c r="F10" s="88"/>
      <c r="G10" s="88"/>
      <c r="H10" s="75" t="s">
        <v>3</v>
      </c>
      <c r="I10" s="86"/>
      <c r="J10" s="88"/>
      <c r="K10" s="88"/>
      <c r="L10" s="88"/>
      <c r="M10" s="75" t="s">
        <v>121</v>
      </c>
      <c r="N10" s="186">
        <v>0.11</v>
      </c>
      <c r="O10" s="153"/>
      <c r="P10" s="76"/>
      <c r="Q10" s="88"/>
      <c r="R10" s="163"/>
      <c r="S10" s="164">
        <v>3100</v>
      </c>
      <c r="T10" s="151" t="s">
        <v>31</v>
      </c>
      <c r="U10" s="165">
        <v>1</v>
      </c>
      <c r="V10" s="166"/>
      <c r="W10" s="152"/>
      <c r="X10" s="83">
        <v>3100</v>
      </c>
      <c r="Y10" s="153"/>
      <c r="Z10" s="154"/>
      <c r="AA10" s="88"/>
      <c r="AB10" s="167"/>
      <c r="AC10" s="88"/>
      <c r="AD10" s="168"/>
      <c r="AE10" s="88"/>
      <c r="AF10" s="169"/>
      <c r="AG10" s="116"/>
    </row>
    <row r="11" spans="3:33" ht="18.75" x14ac:dyDescent="0.3">
      <c r="C11" s="102"/>
      <c r="D11" s="75" t="s">
        <v>4</v>
      </c>
      <c r="E11" s="154">
        <v>1320</v>
      </c>
      <c r="F11" s="88"/>
      <c r="G11" s="88"/>
      <c r="H11" s="75" t="s">
        <v>113</v>
      </c>
      <c r="I11" s="188">
        <v>23.536999999999999</v>
      </c>
      <c r="J11" s="88"/>
      <c r="K11" s="88"/>
      <c r="L11" s="88"/>
      <c r="M11" s="84" t="s">
        <v>122</v>
      </c>
      <c r="N11" s="153" t="s">
        <v>27</v>
      </c>
      <c r="O11" s="153"/>
      <c r="P11" s="76"/>
      <c r="Q11" s="88"/>
      <c r="R11" s="163"/>
      <c r="S11" s="164"/>
      <c r="T11" s="151"/>
      <c r="U11" s="165"/>
      <c r="V11" s="166"/>
      <c r="W11" s="158"/>
      <c r="X11" s="83"/>
      <c r="Y11" s="155"/>
      <c r="Z11" s="157"/>
      <c r="AA11" s="88"/>
      <c r="AB11" s="167"/>
      <c r="AC11" s="88"/>
      <c r="AD11" s="168"/>
      <c r="AE11" s="88"/>
      <c r="AF11" s="169"/>
      <c r="AG11" s="116"/>
    </row>
    <row r="12" spans="3:33" ht="18.75" x14ac:dyDescent="0.3">
      <c r="C12" s="102"/>
      <c r="D12" s="75" t="s">
        <v>90</v>
      </c>
      <c r="E12" s="154"/>
      <c r="F12" s="88"/>
      <c r="G12" s="88"/>
      <c r="H12" s="75" t="s">
        <v>114</v>
      </c>
      <c r="I12" s="188">
        <v>110</v>
      </c>
      <c r="J12" s="88"/>
      <c r="K12" s="88"/>
      <c r="L12" s="88"/>
      <c r="M12" s="84" t="s">
        <v>123</v>
      </c>
      <c r="N12" s="153" t="s">
        <v>31</v>
      </c>
      <c r="O12" s="153"/>
      <c r="P12" s="76"/>
      <c r="Q12" s="88"/>
      <c r="R12" s="163"/>
      <c r="S12" s="167"/>
      <c r="T12" s="88"/>
      <c r="U12" s="170"/>
      <c r="V12" s="166"/>
      <c r="W12" s="158"/>
      <c r="X12" s="83"/>
      <c r="Y12" s="49"/>
      <c r="Z12" s="34"/>
      <c r="AA12" s="172"/>
      <c r="AB12" s="173"/>
      <c r="AC12" s="88"/>
      <c r="AD12" s="172"/>
      <c r="AE12" s="88"/>
      <c r="AF12" s="169"/>
      <c r="AG12" s="116"/>
    </row>
    <row r="13" spans="3:33" ht="18.75" x14ac:dyDescent="0.3">
      <c r="C13" s="102"/>
      <c r="D13" s="75" t="s">
        <v>102</v>
      </c>
      <c r="E13" s="154" t="s">
        <v>275</v>
      </c>
      <c r="F13" s="88"/>
      <c r="G13" s="88"/>
      <c r="H13" s="75" t="s">
        <v>115</v>
      </c>
      <c r="I13" s="188">
        <v>0.6</v>
      </c>
      <c r="J13" s="88"/>
      <c r="K13" s="88"/>
      <c r="L13" s="88"/>
      <c r="M13" s="84"/>
      <c r="N13" s="153"/>
      <c r="O13" s="153"/>
      <c r="P13" s="76"/>
      <c r="Q13" s="88"/>
      <c r="R13" s="163"/>
      <c r="S13" s="173"/>
      <c r="T13" s="88"/>
      <c r="U13" s="59"/>
      <c r="V13" s="25"/>
      <c r="W13" s="158"/>
      <c r="X13" s="83"/>
      <c r="Y13" s="49"/>
      <c r="Z13" s="34"/>
      <c r="AA13" s="172"/>
      <c r="AB13" s="173"/>
      <c r="AC13" s="88"/>
      <c r="AD13" s="172"/>
      <c r="AE13" s="88"/>
      <c r="AF13" s="169"/>
      <c r="AG13" s="116"/>
    </row>
    <row r="14" spans="3:33" ht="18.75" x14ac:dyDescent="0.3">
      <c r="C14" s="102"/>
      <c r="D14" s="75" t="s">
        <v>103</v>
      </c>
      <c r="E14" s="154">
        <v>25</v>
      </c>
      <c r="F14" s="88"/>
      <c r="G14" s="88"/>
      <c r="H14" s="75" t="s">
        <v>116</v>
      </c>
      <c r="I14" s="188">
        <v>2014</v>
      </c>
      <c r="J14" s="88"/>
      <c r="K14" s="88"/>
      <c r="L14" s="88"/>
      <c r="M14" s="85"/>
      <c r="N14" s="153"/>
      <c r="O14" s="153"/>
      <c r="P14" s="76"/>
      <c r="Q14" s="88"/>
      <c r="R14" s="163"/>
      <c r="S14" s="173"/>
      <c r="T14" s="88"/>
      <c r="U14" s="59"/>
      <c r="V14" s="25"/>
      <c r="W14" s="158"/>
      <c r="X14" s="83"/>
      <c r="Y14" s="49"/>
      <c r="Z14" s="34"/>
      <c r="AA14" s="172"/>
      <c r="AB14" s="173"/>
      <c r="AC14" s="88"/>
      <c r="AD14" s="172"/>
      <c r="AE14" s="88"/>
      <c r="AF14" s="169"/>
      <c r="AG14" s="116"/>
    </row>
    <row r="15" spans="3:33" ht="18.75" x14ac:dyDescent="0.3">
      <c r="C15" s="102"/>
      <c r="D15" s="75" t="s">
        <v>104</v>
      </c>
      <c r="E15" s="154">
        <v>2.6</v>
      </c>
      <c r="F15" s="88"/>
      <c r="G15" s="88"/>
      <c r="H15" s="84" t="s">
        <v>117</v>
      </c>
      <c r="I15" s="76" t="s">
        <v>26</v>
      </c>
      <c r="J15" s="88"/>
      <c r="K15" s="88"/>
      <c r="L15" s="88"/>
      <c r="M15" s="85"/>
      <c r="N15" s="153"/>
      <c r="O15" s="153"/>
      <c r="P15" s="76"/>
      <c r="Q15" s="88"/>
      <c r="R15" s="163"/>
      <c r="S15" s="173"/>
      <c r="T15" s="88"/>
      <c r="U15" s="174"/>
      <c r="V15" s="172"/>
      <c r="W15" s="158"/>
      <c r="X15" s="83"/>
      <c r="Y15" s="83"/>
      <c r="Z15" s="76"/>
      <c r="AA15" s="88"/>
      <c r="AB15" s="159"/>
      <c r="AC15" s="88"/>
      <c r="AD15" s="88"/>
      <c r="AE15" s="88"/>
      <c r="AF15" s="169"/>
      <c r="AG15" s="116"/>
    </row>
    <row r="16" spans="3:33" ht="18.75" x14ac:dyDescent="0.3">
      <c r="C16" s="102"/>
      <c r="D16" s="75" t="s">
        <v>105</v>
      </c>
      <c r="E16" s="154">
        <v>1.44</v>
      </c>
      <c r="F16" s="88"/>
      <c r="G16" s="88"/>
      <c r="H16" s="84" t="s">
        <v>101</v>
      </c>
      <c r="I16" s="76" t="s">
        <v>31</v>
      </c>
      <c r="J16" s="88"/>
      <c r="K16" s="88"/>
      <c r="L16" s="88"/>
      <c r="M16" s="85"/>
      <c r="N16" s="83"/>
      <c r="O16" s="83"/>
      <c r="P16" s="76"/>
      <c r="Q16" s="88"/>
      <c r="R16" s="163"/>
      <c r="S16" s="159"/>
      <c r="T16" s="88"/>
      <c r="U16" s="86"/>
      <c r="V16" s="88"/>
      <c r="W16" s="158"/>
      <c r="X16" s="83"/>
      <c r="Y16" s="83"/>
      <c r="Z16" s="76"/>
      <c r="AA16" s="88"/>
      <c r="AB16" s="159"/>
      <c r="AC16" s="88"/>
      <c r="AD16" s="88"/>
      <c r="AE16" s="88"/>
      <c r="AF16" s="86"/>
      <c r="AG16" s="116"/>
    </row>
    <row r="17" spans="3:33" ht="18.75" x14ac:dyDescent="0.3">
      <c r="C17" s="102"/>
      <c r="D17" s="75" t="s">
        <v>106</v>
      </c>
      <c r="E17" s="76"/>
      <c r="F17" s="88"/>
      <c r="G17" s="88"/>
      <c r="H17" s="84"/>
      <c r="I17" s="86"/>
      <c r="J17" s="88"/>
      <c r="K17" s="88"/>
      <c r="L17" s="88"/>
      <c r="M17" s="85"/>
      <c r="N17" s="83"/>
      <c r="O17" s="83"/>
      <c r="P17" s="76"/>
      <c r="Q17" s="88"/>
      <c r="R17" s="163"/>
      <c r="S17" s="159"/>
      <c r="T17" s="88"/>
      <c r="U17" s="86"/>
      <c r="V17" s="88"/>
      <c r="W17" s="158"/>
      <c r="X17" s="83"/>
      <c r="Y17" s="83"/>
      <c r="Z17" s="76"/>
      <c r="AA17" s="88"/>
      <c r="AB17" s="159"/>
      <c r="AC17" s="88"/>
      <c r="AD17" s="88"/>
      <c r="AE17" s="88"/>
      <c r="AF17" s="86"/>
      <c r="AG17" s="116"/>
    </row>
    <row r="18" spans="3:33" ht="18.75" x14ac:dyDescent="0.3">
      <c r="C18" s="102"/>
      <c r="D18" s="77" t="s">
        <v>107</v>
      </c>
      <c r="E18" s="76"/>
      <c r="F18" s="88"/>
      <c r="G18" s="88"/>
      <c r="H18" s="85"/>
      <c r="I18" s="86"/>
      <c r="J18" s="88"/>
      <c r="K18" s="88"/>
      <c r="L18" s="88"/>
      <c r="M18" s="85"/>
      <c r="N18" s="83"/>
      <c r="O18" s="83"/>
      <c r="P18" s="76"/>
      <c r="Q18" s="88"/>
      <c r="R18" s="163"/>
      <c r="S18" s="159"/>
      <c r="T18" s="88"/>
      <c r="U18" s="86"/>
      <c r="V18" s="88"/>
      <c r="W18" s="158"/>
      <c r="X18" s="83"/>
      <c r="Y18" s="83"/>
      <c r="Z18" s="76"/>
      <c r="AA18" s="88"/>
      <c r="AB18" s="159"/>
      <c r="AC18" s="88"/>
      <c r="AD18" s="88"/>
      <c r="AE18" s="88"/>
      <c r="AF18" s="86"/>
      <c r="AG18" s="116"/>
    </row>
    <row r="19" spans="3:33" ht="18.75" x14ac:dyDescent="0.3">
      <c r="C19" s="102"/>
      <c r="D19" s="75" t="s">
        <v>108</v>
      </c>
      <c r="E19" s="76"/>
      <c r="F19" s="88"/>
      <c r="G19" s="88"/>
      <c r="H19" s="85"/>
      <c r="I19" s="86"/>
      <c r="J19" s="88"/>
      <c r="K19" s="88"/>
      <c r="L19" s="88"/>
      <c r="M19" s="85"/>
      <c r="N19" s="83"/>
      <c r="O19" s="83"/>
      <c r="P19" s="76"/>
      <c r="Q19" s="88"/>
      <c r="R19" s="163"/>
      <c r="S19" s="159"/>
      <c r="T19" s="88"/>
      <c r="U19" s="86"/>
      <c r="V19" s="88"/>
      <c r="W19" s="158"/>
      <c r="X19" s="83"/>
      <c r="Y19" s="83"/>
      <c r="Z19" s="76"/>
      <c r="AA19" s="88"/>
      <c r="AB19" s="159"/>
      <c r="AC19" s="88"/>
      <c r="AD19" s="88"/>
      <c r="AE19" s="88"/>
      <c r="AF19" s="86"/>
      <c r="AG19" s="116"/>
    </row>
    <row r="20" spans="3:33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9"/>
      <c r="T20" s="88"/>
      <c r="U20" s="86"/>
      <c r="V20" s="88"/>
      <c r="W20" s="158"/>
      <c r="X20" s="83"/>
      <c r="Y20" s="83"/>
      <c r="Z20" s="76"/>
      <c r="AA20" s="88"/>
      <c r="AB20" s="159"/>
      <c r="AC20" s="88"/>
      <c r="AD20" s="88"/>
      <c r="AE20" s="88"/>
      <c r="AF20" s="86"/>
      <c r="AG20" s="116"/>
    </row>
    <row r="21" spans="3:33" ht="18.75" x14ac:dyDescent="0.3">
      <c r="C21" s="102"/>
      <c r="D21" s="77" t="s">
        <v>110</v>
      </c>
      <c r="E21" s="8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9"/>
      <c r="T21" s="88"/>
      <c r="U21" s="86"/>
      <c r="V21" s="88"/>
      <c r="W21" s="158"/>
      <c r="X21" s="83"/>
      <c r="Y21" s="83"/>
      <c r="Z21" s="76"/>
      <c r="AA21" s="88"/>
      <c r="AB21" s="159"/>
      <c r="AC21" s="88"/>
      <c r="AD21" s="88"/>
      <c r="AE21" s="88"/>
      <c r="AF21" s="86"/>
      <c r="AG21" s="116"/>
    </row>
    <row r="22" spans="3:33" ht="18.75" x14ac:dyDescent="0.3">
      <c r="C22" s="102"/>
      <c r="D22" s="77" t="s">
        <v>111</v>
      </c>
      <c r="E22" s="86"/>
      <c r="F22" s="88"/>
      <c r="G22" s="88"/>
      <c r="H22" s="159"/>
      <c r="I22" s="86"/>
      <c r="J22" s="88"/>
      <c r="K22" s="88"/>
      <c r="L22" s="88"/>
      <c r="M22" s="159"/>
      <c r="N22" s="88"/>
      <c r="O22" s="88"/>
      <c r="P22" s="86"/>
      <c r="Q22" s="88"/>
      <c r="R22" s="163"/>
      <c r="S22" s="159"/>
      <c r="T22" s="88"/>
      <c r="U22" s="86"/>
      <c r="V22" s="88"/>
      <c r="W22" s="158"/>
      <c r="X22" s="83"/>
      <c r="Y22" s="83"/>
      <c r="Z22" s="76"/>
      <c r="AA22" s="88"/>
      <c r="AB22" s="159"/>
      <c r="AC22" s="88"/>
      <c r="AD22" s="88"/>
      <c r="AE22" s="88"/>
      <c r="AF22" s="86"/>
      <c r="AG22" s="116"/>
    </row>
    <row r="23" spans="3:33" ht="18.75" x14ac:dyDescent="0.3">
      <c r="C23" s="102"/>
      <c r="D23" s="77" t="s">
        <v>112</v>
      </c>
      <c r="E23" s="86"/>
      <c r="F23" s="88"/>
      <c r="G23" s="88"/>
      <c r="H23" s="159"/>
      <c r="I23" s="86"/>
      <c r="J23" s="88"/>
      <c r="K23" s="88"/>
      <c r="L23" s="88"/>
      <c r="M23" s="159"/>
      <c r="N23" s="88"/>
      <c r="O23" s="88"/>
      <c r="P23" s="86"/>
      <c r="Q23" s="88"/>
      <c r="R23" s="163"/>
      <c r="S23" s="159"/>
      <c r="T23" s="88"/>
      <c r="U23" s="86"/>
      <c r="V23" s="88"/>
      <c r="W23" s="158"/>
      <c r="X23" s="83"/>
      <c r="Y23" s="83"/>
      <c r="Z23" s="76"/>
      <c r="AA23" s="88"/>
      <c r="AB23" s="159"/>
      <c r="AC23" s="88"/>
      <c r="AD23" s="88"/>
      <c r="AE23" s="88"/>
      <c r="AF23" s="86"/>
      <c r="AG23" s="116"/>
    </row>
    <row r="24" spans="3:33" ht="18.75" x14ac:dyDescent="0.3">
      <c r="C24" s="117"/>
      <c r="D24" s="193" t="s">
        <v>135</v>
      </c>
      <c r="E24" s="176"/>
      <c r="F24" s="163"/>
      <c r="G24" s="163"/>
      <c r="H24" s="175"/>
      <c r="I24" s="176"/>
      <c r="J24" s="163"/>
      <c r="K24" s="163"/>
      <c r="L24" s="163"/>
      <c r="M24" s="175"/>
      <c r="N24" s="163"/>
      <c r="O24" s="163"/>
      <c r="P24" s="176"/>
      <c r="Q24" s="163"/>
      <c r="R24" s="163"/>
      <c r="S24" s="159"/>
      <c r="T24" s="88"/>
      <c r="U24" s="86"/>
      <c r="V24" s="88"/>
      <c r="W24" s="158"/>
      <c r="X24" s="83"/>
      <c r="Y24" s="83"/>
      <c r="Z24" s="76"/>
      <c r="AA24" s="88"/>
      <c r="AB24" s="159"/>
      <c r="AC24" s="88"/>
      <c r="AD24" s="88"/>
      <c r="AE24" s="88"/>
      <c r="AF24" s="86"/>
      <c r="AG24" s="116"/>
    </row>
    <row r="25" spans="3:33" ht="18.75" x14ac:dyDescent="0.3">
      <c r="C25" s="117"/>
      <c r="D25" s="193" t="s">
        <v>136</v>
      </c>
      <c r="E25" s="176"/>
      <c r="F25" s="163"/>
      <c r="G25" s="163"/>
      <c r="H25" s="175"/>
      <c r="I25" s="176"/>
      <c r="J25" s="163"/>
      <c r="K25" s="163"/>
      <c r="L25" s="163"/>
      <c r="M25" s="175"/>
      <c r="N25" s="163"/>
      <c r="O25" s="163"/>
      <c r="P25" s="176"/>
      <c r="Q25" s="163"/>
      <c r="R25" s="163"/>
      <c r="S25" s="175"/>
      <c r="T25" s="163"/>
      <c r="U25" s="176"/>
      <c r="V25" s="163"/>
      <c r="W25" s="180"/>
      <c r="X25" s="181"/>
      <c r="Y25" s="181"/>
      <c r="Z25" s="182"/>
      <c r="AA25" s="163"/>
      <c r="AB25" s="175"/>
      <c r="AC25" s="163"/>
      <c r="AD25" s="163"/>
      <c r="AE25" s="163"/>
      <c r="AF25" s="176"/>
      <c r="AG25" s="116"/>
    </row>
    <row r="26" spans="3:33" ht="19.5" thickBot="1" x14ac:dyDescent="0.35">
      <c r="C26" s="117"/>
      <c r="D26" s="195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8"/>
      <c r="O26" s="88"/>
      <c r="P26" s="86"/>
      <c r="Q26" s="88"/>
      <c r="R26" s="163"/>
      <c r="S26" s="175"/>
      <c r="T26" s="163"/>
      <c r="U26" s="176"/>
      <c r="V26" s="163"/>
      <c r="W26" s="180"/>
      <c r="X26" s="181"/>
      <c r="Y26" s="181"/>
      <c r="Z26" s="182"/>
      <c r="AA26" s="163"/>
      <c r="AB26" s="175"/>
      <c r="AC26" s="163"/>
      <c r="AD26" s="163"/>
      <c r="AE26" s="163"/>
      <c r="AF26" s="176"/>
      <c r="AG26" s="116"/>
    </row>
    <row r="27" spans="3:33" ht="19.5" thickBot="1" x14ac:dyDescent="0.35">
      <c r="C27" s="117"/>
      <c r="D27" s="159"/>
      <c r="E27" s="86"/>
      <c r="F27" s="88"/>
      <c r="G27" s="88"/>
      <c r="H27" s="159"/>
      <c r="I27" s="86"/>
      <c r="J27" s="88"/>
      <c r="K27" s="88"/>
      <c r="L27" s="88"/>
      <c r="M27" s="159"/>
      <c r="N27" s="88"/>
      <c r="O27" s="88"/>
      <c r="P27" s="86"/>
      <c r="Q27" s="88"/>
      <c r="R27" s="163"/>
      <c r="S27" s="175"/>
      <c r="T27" s="163"/>
      <c r="U27" s="176"/>
      <c r="V27" s="163"/>
      <c r="W27" s="183"/>
      <c r="X27" s="184"/>
      <c r="Y27" s="184"/>
      <c r="Z27" s="185"/>
      <c r="AA27" s="163"/>
      <c r="AB27" s="177"/>
      <c r="AC27" s="178"/>
      <c r="AD27" s="178"/>
      <c r="AE27" s="178"/>
      <c r="AF27" s="179"/>
      <c r="AG27" s="116"/>
    </row>
    <row r="28" spans="3:33" ht="15.75" thickBot="1" x14ac:dyDescent="0.3">
      <c r="C28" s="117"/>
      <c r="D28" s="87"/>
      <c r="E28" s="70"/>
      <c r="F28" s="7"/>
      <c r="G28" s="7"/>
      <c r="H28" s="87"/>
      <c r="I28" s="70"/>
      <c r="J28" s="7"/>
      <c r="K28" s="7"/>
      <c r="L28" s="7"/>
      <c r="M28" s="87"/>
      <c r="N28" s="104"/>
      <c r="O28" s="104"/>
      <c r="P28" s="70"/>
      <c r="Q28" s="7"/>
      <c r="R28" s="13"/>
      <c r="S28" s="135"/>
      <c r="T28" s="121"/>
      <c r="U28" s="122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16"/>
    </row>
    <row r="29" spans="3:33" x14ac:dyDescent="0.25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16"/>
    </row>
    <row r="30" spans="3:33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16"/>
    </row>
    <row r="31" spans="3:3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16"/>
    </row>
    <row r="32" spans="3:33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16"/>
    </row>
    <row r="33" spans="3:33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16"/>
    </row>
    <row r="34" spans="3:33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16"/>
    </row>
    <row r="35" spans="3:3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16"/>
    </row>
    <row r="36" spans="3:3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16"/>
    </row>
    <row r="37" spans="3:33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16"/>
    </row>
    <row r="38" spans="3:33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16"/>
    </row>
    <row r="39" spans="3:3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16"/>
    </row>
    <row r="40" spans="3:3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16"/>
    </row>
    <row r="41" spans="3:3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16"/>
    </row>
    <row r="42" spans="3:3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16"/>
    </row>
    <row r="43" spans="3:3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16"/>
    </row>
    <row r="44" spans="3:3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16"/>
    </row>
    <row r="45" spans="3:3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16"/>
    </row>
    <row r="46" spans="3:3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16"/>
    </row>
    <row r="47" spans="3:33" ht="18.75" x14ac:dyDescent="0.25">
      <c r="C47" s="102"/>
      <c r="D47" s="528"/>
      <c r="E47" s="528"/>
      <c r="F47" s="528"/>
      <c r="G47" s="126"/>
      <c r="H47" s="528"/>
      <c r="I47" s="528"/>
      <c r="J47" s="52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16"/>
    </row>
    <row r="48" spans="3:33" ht="15.75" x14ac:dyDescent="0.25">
      <c r="C48" s="102"/>
      <c r="D48" s="125"/>
      <c r="E48" s="125"/>
      <c r="F48" s="125"/>
      <c r="G48" s="125"/>
      <c r="H48" s="125"/>
      <c r="I48" s="125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16"/>
    </row>
    <row r="49" spans="3:33" ht="15.75" x14ac:dyDescent="0.25">
      <c r="C49" s="102"/>
      <c r="D49" s="11"/>
      <c r="E49" s="11"/>
      <c r="F49" s="9"/>
      <c r="G49" s="9"/>
      <c r="H49" s="11"/>
      <c r="I49" s="12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16"/>
    </row>
    <row r="50" spans="3:33" ht="16.5" thickBot="1" x14ac:dyDescent="0.3">
      <c r="C50" s="87"/>
      <c r="D50" s="118"/>
      <c r="E50" s="118"/>
      <c r="F50" s="119"/>
      <c r="G50" s="119"/>
      <c r="H50" s="118"/>
      <c r="I50" s="120"/>
      <c r="J50" s="120"/>
      <c r="K50" s="120"/>
      <c r="L50" s="104"/>
      <c r="M50" s="104"/>
      <c r="N50" s="104"/>
      <c r="O50" s="104"/>
      <c r="P50" s="104"/>
      <c r="Q50" s="104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2"/>
    </row>
    <row r="51" spans="3:33" ht="15.75" x14ac:dyDescent="0.25">
      <c r="C51" s="7"/>
      <c r="D51" s="11"/>
      <c r="E51" s="11"/>
      <c r="F51" s="9"/>
      <c r="G51" s="9"/>
      <c r="H51" s="11"/>
      <c r="I51" s="12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</row>
    <row r="52" spans="3:33" ht="15.75" x14ac:dyDescent="0.25">
      <c r="C52" s="7"/>
      <c r="D52" s="11"/>
      <c r="E52" s="11"/>
      <c r="F52" s="9"/>
      <c r="G52" s="9"/>
      <c r="H52" s="10"/>
      <c r="I52" s="10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</row>
    <row r="53" spans="3:33" ht="15.75" x14ac:dyDescent="0.25">
      <c r="C53" s="7"/>
      <c r="D53" s="11"/>
      <c r="E53" s="11"/>
      <c r="F53" s="9"/>
      <c r="G53" s="9"/>
      <c r="H53" s="10"/>
      <c r="I53" s="10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</row>
    <row r="54" spans="3:33" ht="15.75" x14ac:dyDescent="0.25">
      <c r="C54" s="7"/>
      <c r="D54" s="11"/>
      <c r="E54" s="11"/>
      <c r="F54" s="9"/>
      <c r="G54" s="9"/>
      <c r="H54" s="10"/>
      <c r="I54" s="10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</row>
    <row r="55" spans="3:33" x14ac:dyDescent="0.25"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</row>
    <row r="56" spans="3:33" x14ac:dyDescent="0.25"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</row>
    <row r="57" spans="3:33" x14ac:dyDescent="0.25"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</row>
    <row r="58" spans="3:33" x14ac:dyDescent="0.25"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</row>
    <row r="59" spans="3:33" x14ac:dyDescent="0.25"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</row>
    <row r="60" spans="3:33" x14ac:dyDescent="0.25"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</row>
    <row r="61" spans="3:33" x14ac:dyDescent="0.25"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</row>
    <row r="62" spans="3:33" x14ac:dyDescent="0.25"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</row>
    <row r="63" spans="3:33" x14ac:dyDescent="0.25"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</row>
    <row r="64" spans="3:33" x14ac:dyDescent="0.25"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3:33" x14ac:dyDescent="0.25"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</row>
    <row r="66" spans="3:33" x14ac:dyDescent="0.25"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</row>
    <row r="67" spans="3:33" x14ac:dyDescent="0.25"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</row>
    <row r="68" spans="3:33" x14ac:dyDescent="0.25"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</row>
    <row r="69" spans="3:33" x14ac:dyDescent="0.25"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</row>
    <row r="70" spans="3:33" x14ac:dyDescent="0.25"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</row>
    <row r="130" spans="17:17" x14ac:dyDescent="0.25">
      <c r="Q130" s="3" t="s">
        <v>49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S8:U8"/>
    <mergeCell ref="AB8:AF8"/>
    <mergeCell ref="D8:E8"/>
    <mergeCell ref="H8:I8"/>
    <mergeCell ref="M8:P8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ED98FFD-6ECA-A84E-A42B-B3DAA72B6077}">
          <x14:formula1>
            <xm:f>Systemblatt!$E$5:$E$12</xm:f>
          </x14:formula1>
          <xm:sqref>I16:I17 AE10:AE24 N12:P13 AC10:AC24 T10:T15</xm:sqref>
        </x14:dataValidation>
        <x14:dataValidation type="list" allowBlank="1" showInputMessage="1" showErrorMessage="1" xr:uid="{6F74F862-B59F-4844-8AF4-D4955908F9D7}">
          <x14:formula1>
            <xm:f>DataBank!$A$3:$A$5</xm:f>
          </x14:formula1>
          <xm:sqref>I15 N11:P11</xm:sqref>
        </x14:dataValidation>
        <x14:dataValidation type="list" allowBlank="1" showInputMessage="1" showErrorMessage="1" xr:uid="{209ACB34-9951-B241-9B64-596551D1B8CF}">
          <x14:formula1>
            <xm:f>DataBank!$A$3:$A$4</xm:f>
          </x14:formula1>
          <xm:sqref>AB10 AD10</xm:sqref>
        </x14:dataValidation>
        <x14:dataValidation type="whole" allowBlank="1" showInputMessage="1" showErrorMessage="1" xr:uid="{3C8A7076-113C-024F-890F-CF00B64677DA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21C74-7D94-4493-9A88-9DECA93AE897}">
  <sheetPr codeName="Tabelle19"/>
  <dimension ref="A1:AG130"/>
  <sheetViews>
    <sheetView topLeftCell="E1" zoomScale="75" zoomScaleNormal="75" workbookViewId="0">
      <selection activeCell="P39" sqref="P3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1.28515625" style="3" customWidth="1"/>
    <col min="5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4" width="15.28515625" style="3" customWidth="1"/>
    <col min="15" max="15" width="33.28515625" style="3" customWidth="1"/>
    <col min="16" max="16" width="32" style="3" customWidth="1"/>
    <col min="17" max="18" width="15.28515625" style="3" customWidth="1"/>
    <col min="19" max="19" width="20.28515625" style="3" bestFit="1" customWidth="1"/>
    <col min="20" max="20" width="21.140625" style="3" customWidth="1"/>
    <col min="21" max="21" width="24.42578125" style="3" customWidth="1"/>
    <col min="22" max="22" width="10.85546875" style="3"/>
    <col min="23" max="23" width="22.42578125" style="3" customWidth="1"/>
    <col min="24" max="24" width="22.7109375" style="3" customWidth="1"/>
    <col min="25" max="25" width="20.7109375" style="3" customWidth="1"/>
    <col min="26" max="26" width="27.7109375" style="3" customWidth="1"/>
    <col min="27" max="28" width="10.85546875" style="3"/>
    <col min="29" max="29" width="24.7109375" style="3" customWidth="1"/>
    <col min="30" max="31" width="10.85546875" style="3"/>
    <col min="32" max="32" width="67.140625" style="3" customWidth="1"/>
    <col min="33" max="16384" width="10.85546875" style="3"/>
  </cols>
  <sheetData>
    <row r="1" spans="1:33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pans="1:33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24"/>
    </row>
    <row r="3" spans="1:33" x14ac:dyDescent="0.25">
      <c r="C3" s="102"/>
      <c r="D3" s="7"/>
      <c r="E3" s="7"/>
      <c r="F3" s="7"/>
      <c r="G3" s="7"/>
      <c r="H3" s="7"/>
      <c r="I3" s="7"/>
      <c r="J3" s="7" t="s">
        <v>44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03"/>
    </row>
    <row r="4" spans="1:33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03"/>
    </row>
    <row r="5" spans="1:3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03"/>
    </row>
    <row r="6" spans="1:3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03"/>
    </row>
    <row r="7" spans="1:3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03"/>
    </row>
    <row r="8" spans="1:3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03"/>
    </row>
    <row r="9" spans="1:33" ht="21.75" thickBot="1" x14ac:dyDescent="0.4">
      <c r="C9" s="102"/>
      <c r="D9" s="148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03"/>
    </row>
    <row r="10" spans="1:33" ht="18.75" x14ac:dyDescent="0.3">
      <c r="C10" s="102"/>
      <c r="D10" s="73" t="s">
        <v>2</v>
      </c>
      <c r="E10" s="150" t="s">
        <v>63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153">
        <v>0.25</v>
      </c>
      <c r="O10" s="153">
        <v>1.75</v>
      </c>
      <c r="P10" s="76"/>
      <c r="Q10" s="88"/>
      <c r="R10" s="163"/>
      <c r="S10" s="152">
        <v>1110</v>
      </c>
      <c r="T10" s="153" t="s">
        <v>31</v>
      </c>
      <c r="U10" s="154">
        <v>0.8</v>
      </c>
      <c r="V10" s="155"/>
      <c r="W10" s="152">
        <v>110</v>
      </c>
      <c r="X10" s="83">
        <v>1110</v>
      </c>
      <c r="Y10" s="153"/>
      <c r="Z10" s="154"/>
      <c r="AA10" s="83"/>
      <c r="AB10" s="156"/>
      <c r="AC10" s="83"/>
      <c r="AD10" s="155"/>
      <c r="AE10" s="83"/>
      <c r="AF10" s="157"/>
      <c r="AG10" s="103"/>
    </row>
    <row r="11" spans="1:33" ht="18.75" x14ac:dyDescent="0.3">
      <c r="C11" s="102"/>
      <c r="D11" s="75" t="s">
        <v>4</v>
      </c>
      <c r="E11" s="154">
        <v>1400</v>
      </c>
      <c r="F11" s="88"/>
      <c r="G11" s="88"/>
      <c r="H11" s="75" t="s">
        <v>113</v>
      </c>
      <c r="I11" s="154">
        <v>1.1890000000000001</v>
      </c>
      <c r="J11" s="88"/>
      <c r="K11" s="88"/>
      <c r="L11" s="88"/>
      <c r="M11" s="84" t="s">
        <v>122</v>
      </c>
      <c r="N11" s="153" t="s">
        <v>26</v>
      </c>
      <c r="O11" s="153" t="s">
        <v>26</v>
      </c>
      <c r="P11" s="76"/>
      <c r="Q11" s="88"/>
      <c r="R11" s="163"/>
      <c r="S11" s="152">
        <v>1410</v>
      </c>
      <c r="T11" s="153" t="s">
        <v>30</v>
      </c>
      <c r="U11" s="154">
        <v>0.17</v>
      </c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103"/>
    </row>
    <row r="12" spans="1:33" ht="18.75" x14ac:dyDescent="0.3">
      <c r="C12" s="102"/>
      <c r="D12" s="75" t="s">
        <v>90</v>
      </c>
      <c r="E12" s="154"/>
      <c r="F12" s="88"/>
      <c r="G12" s="88"/>
      <c r="H12" s="75" t="s">
        <v>114</v>
      </c>
      <c r="I12" s="154">
        <v>0.52500000000000002</v>
      </c>
      <c r="J12" s="88"/>
      <c r="K12" s="88"/>
      <c r="L12" s="88"/>
      <c r="M12" s="84" t="s">
        <v>123</v>
      </c>
      <c r="N12" s="153" t="s">
        <v>31</v>
      </c>
      <c r="O12" s="153" t="s">
        <v>31</v>
      </c>
      <c r="P12" s="76"/>
      <c r="Q12" s="88"/>
      <c r="R12" s="163"/>
      <c r="S12" s="156"/>
      <c r="T12" s="83"/>
      <c r="U12" s="157"/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03"/>
    </row>
    <row r="13" spans="1:33" ht="18.75" x14ac:dyDescent="0.3">
      <c r="C13" s="102"/>
      <c r="D13" s="75" t="s">
        <v>102</v>
      </c>
      <c r="E13" s="154" t="s">
        <v>276</v>
      </c>
      <c r="F13" s="88"/>
      <c r="G13" s="88"/>
      <c r="H13" s="75" t="s">
        <v>115</v>
      </c>
      <c r="I13" s="154">
        <v>0.94</v>
      </c>
      <c r="J13" s="88"/>
      <c r="K13" s="88"/>
      <c r="L13" s="88"/>
      <c r="M13" s="84"/>
      <c r="N13" s="153"/>
      <c r="O13" s="153"/>
      <c r="P13" s="76"/>
      <c r="Q13" s="88"/>
      <c r="R13" s="163"/>
      <c r="S13" s="56"/>
      <c r="T13" s="83"/>
      <c r="U13" s="34"/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03"/>
    </row>
    <row r="14" spans="1:33" ht="18.75" x14ac:dyDescent="0.3">
      <c r="C14" s="102"/>
      <c r="D14" s="75" t="s">
        <v>103</v>
      </c>
      <c r="E14" s="154">
        <v>25</v>
      </c>
      <c r="F14" s="88"/>
      <c r="G14" s="88"/>
      <c r="H14" s="75" t="s">
        <v>116</v>
      </c>
      <c r="I14" s="154">
        <v>2015</v>
      </c>
      <c r="J14" s="88"/>
      <c r="K14" s="88"/>
      <c r="L14" s="88"/>
      <c r="M14" s="85"/>
      <c r="N14" s="153"/>
      <c r="O14" s="153"/>
      <c r="P14" s="76"/>
      <c r="Q14" s="88"/>
      <c r="R14" s="163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03"/>
    </row>
    <row r="15" spans="1:33" ht="18.75" x14ac:dyDescent="0.3">
      <c r="C15" s="102"/>
      <c r="D15" s="75" t="s">
        <v>104</v>
      </c>
      <c r="E15" s="154">
        <v>2.6</v>
      </c>
      <c r="F15" s="88"/>
      <c r="G15" s="88"/>
      <c r="H15" s="84" t="s">
        <v>117</v>
      </c>
      <c r="I15" s="76" t="s">
        <v>26</v>
      </c>
      <c r="J15" s="88"/>
      <c r="K15" s="88"/>
      <c r="L15" s="88"/>
      <c r="M15" s="85"/>
      <c r="N15" s="153"/>
      <c r="O15" s="153"/>
      <c r="P15" s="76"/>
      <c r="Q15" s="88"/>
      <c r="R15" s="163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03"/>
    </row>
    <row r="16" spans="1:33" ht="18.75" x14ac:dyDescent="0.3">
      <c r="C16" s="102"/>
      <c r="D16" s="75" t="s">
        <v>105</v>
      </c>
      <c r="E16" s="154">
        <v>1.44</v>
      </c>
      <c r="F16" s="88"/>
      <c r="G16" s="88"/>
      <c r="H16" s="84" t="s">
        <v>101</v>
      </c>
      <c r="I16" s="76" t="s">
        <v>31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03"/>
    </row>
    <row r="17" spans="3:33" ht="18.75" x14ac:dyDescent="0.3">
      <c r="C17" s="102"/>
      <c r="D17" s="75" t="s">
        <v>106</v>
      </c>
      <c r="E17" s="76">
        <v>100</v>
      </c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03"/>
    </row>
    <row r="18" spans="3:33" ht="18.75" x14ac:dyDescent="0.3">
      <c r="C18" s="102"/>
      <c r="D18" s="77" t="s">
        <v>107</v>
      </c>
      <c r="E18" s="76">
        <v>100</v>
      </c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03"/>
    </row>
    <row r="19" spans="3:33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03"/>
    </row>
    <row r="20" spans="3:33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03"/>
    </row>
    <row r="21" spans="3:33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8"/>
      <c r="O21" s="88"/>
      <c r="P21" s="8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03"/>
    </row>
    <row r="22" spans="3:33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8"/>
      <c r="O22" s="88"/>
      <c r="P22" s="8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03"/>
    </row>
    <row r="23" spans="3:33" ht="18.75" x14ac:dyDescent="0.3">
      <c r="C23" s="102"/>
      <c r="D23" s="77" t="s">
        <v>112</v>
      </c>
      <c r="E23" s="86"/>
      <c r="F23" s="88"/>
      <c r="G23" s="88"/>
      <c r="H23" s="159"/>
      <c r="I23" s="86"/>
      <c r="J23" s="88"/>
      <c r="K23" s="88"/>
      <c r="L23" s="88"/>
      <c r="M23" s="159"/>
      <c r="N23" s="88"/>
      <c r="O23" s="88"/>
      <c r="P23" s="8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03"/>
    </row>
    <row r="24" spans="3:33" ht="18.75" x14ac:dyDescent="0.3">
      <c r="C24" s="117"/>
      <c r="D24" s="193" t="s">
        <v>135</v>
      </c>
      <c r="E24" s="176"/>
      <c r="F24" s="163"/>
      <c r="G24" s="163"/>
      <c r="H24" s="175"/>
      <c r="I24" s="176"/>
      <c r="J24" s="163"/>
      <c r="K24" s="163"/>
      <c r="L24" s="163"/>
      <c r="M24" s="175"/>
      <c r="N24" s="163"/>
      <c r="O24" s="163"/>
      <c r="P24" s="176"/>
      <c r="Q24" s="163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03"/>
    </row>
    <row r="25" spans="3:33" ht="18.75" x14ac:dyDescent="0.3">
      <c r="C25" s="117"/>
      <c r="D25" s="193" t="s">
        <v>136</v>
      </c>
      <c r="E25" s="176"/>
      <c r="F25" s="163"/>
      <c r="G25" s="163"/>
      <c r="H25" s="175"/>
      <c r="I25" s="176"/>
      <c r="J25" s="163"/>
      <c r="K25" s="163"/>
      <c r="L25" s="163"/>
      <c r="M25" s="175"/>
      <c r="N25" s="163"/>
      <c r="O25" s="163"/>
      <c r="P25" s="176"/>
      <c r="Q25" s="163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03"/>
    </row>
    <row r="26" spans="3:33" ht="19.5" thickBot="1" x14ac:dyDescent="0.35">
      <c r="C26" s="117"/>
      <c r="D26" s="195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8"/>
      <c r="O26" s="88"/>
      <c r="P26" s="8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03"/>
    </row>
    <row r="27" spans="3:33" ht="19.5" thickBot="1" x14ac:dyDescent="0.35">
      <c r="C27" s="117"/>
      <c r="D27" s="160"/>
      <c r="E27" s="90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03"/>
    </row>
    <row r="28" spans="3:33" x14ac:dyDescent="0.25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03"/>
    </row>
    <row r="29" spans="3:33" x14ac:dyDescent="0.25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03"/>
    </row>
    <row r="30" spans="3:33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03"/>
    </row>
    <row r="31" spans="3:3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03"/>
    </row>
    <row r="32" spans="3:33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03"/>
    </row>
    <row r="33" spans="3:33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03"/>
    </row>
    <row r="34" spans="3:33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03"/>
    </row>
    <row r="35" spans="3:3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03"/>
    </row>
    <row r="36" spans="3:3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03"/>
    </row>
    <row r="37" spans="3:33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03"/>
    </row>
    <row r="38" spans="3:33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03"/>
    </row>
    <row r="39" spans="3:3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03"/>
    </row>
    <row r="40" spans="3:3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03"/>
    </row>
    <row r="41" spans="3:3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03"/>
    </row>
    <row r="42" spans="3:3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03"/>
    </row>
    <row r="43" spans="3:3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03"/>
    </row>
    <row r="44" spans="3:3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03"/>
    </row>
    <row r="45" spans="3:3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03"/>
    </row>
    <row r="46" spans="3:3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03"/>
    </row>
    <row r="47" spans="3:33" ht="18.75" x14ac:dyDescent="0.25">
      <c r="C47" s="102"/>
      <c r="D47" s="528"/>
      <c r="E47" s="528"/>
      <c r="F47" s="528"/>
      <c r="G47" s="126"/>
      <c r="H47" s="528"/>
      <c r="I47" s="528"/>
      <c r="J47" s="52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03"/>
    </row>
    <row r="48" spans="3:33" ht="15.75" x14ac:dyDescent="0.25">
      <c r="C48" s="102"/>
      <c r="D48" s="125"/>
      <c r="E48" s="125"/>
      <c r="F48" s="125"/>
      <c r="G48" s="125"/>
      <c r="H48" s="125"/>
      <c r="I48" s="125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03"/>
    </row>
    <row r="49" spans="3:33" ht="15.75" x14ac:dyDescent="0.25">
      <c r="C49" s="102"/>
      <c r="D49" s="11"/>
      <c r="E49" s="11"/>
      <c r="F49" s="9"/>
      <c r="G49" s="9"/>
      <c r="H49" s="11"/>
      <c r="I49" s="12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03"/>
    </row>
    <row r="50" spans="3:33" ht="15.75" x14ac:dyDescent="0.25">
      <c r="C50" s="102"/>
      <c r="D50" s="11"/>
      <c r="E50" s="11"/>
      <c r="F50" s="9"/>
      <c r="G50" s="9"/>
      <c r="H50" s="11"/>
      <c r="I50" s="12"/>
      <c r="J50" s="12"/>
      <c r="K50" s="12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03"/>
    </row>
    <row r="51" spans="3:33" ht="15.75" x14ac:dyDescent="0.25">
      <c r="C51" s="102"/>
      <c r="D51" s="11"/>
      <c r="E51" s="11"/>
      <c r="F51" s="9"/>
      <c r="G51" s="9"/>
      <c r="H51" s="11"/>
      <c r="I51" s="12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03"/>
    </row>
    <row r="52" spans="3:33" ht="15.75" x14ac:dyDescent="0.25">
      <c r="C52" s="102"/>
      <c r="D52" s="11"/>
      <c r="E52" s="11"/>
      <c r="F52" s="9"/>
      <c r="G52" s="9"/>
      <c r="H52" s="10"/>
      <c r="I52" s="10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03"/>
    </row>
    <row r="53" spans="3:33" ht="15.75" x14ac:dyDescent="0.25">
      <c r="C53" s="102"/>
      <c r="D53" s="11"/>
      <c r="E53" s="11"/>
      <c r="F53" s="9"/>
      <c r="G53" s="9"/>
      <c r="H53" s="10"/>
      <c r="I53" s="10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03"/>
    </row>
    <row r="54" spans="3:33" ht="15.75" x14ac:dyDescent="0.25">
      <c r="C54" s="102"/>
      <c r="D54" s="11"/>
      <c r="E54" s="11"/>
      <c r="F54" s="9"/>
      <c r="G54" s="9"/>
      <c r="H54" s="10"/>
      <c r="I54" s="10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03"/>
    </row>
    <row r="55" spans="3:33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03"/>
    </row>
    <row r="56" spans="3:33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03"/>
    </row>
    <row r="57" spans="3:33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03"/>
    </row>
    <row r="58" spans="3:33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03"/>
    </row>
    <row r="59" spans="3:33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03"/>
    </row>
    <row r="60" spans="3:33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03"/>
    </row>
    <row r="61" spans="3:33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03"/>
    </row>
    <row r="62" spans="3:33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03"/>
    </row>
    <row r="63" spans="3:33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03"/>
    </row>
    <row r="64" spans="3:33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03"/>
    </row>
    <row r="65" spans="3:33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03"/>
    </row>
    <row r="66" spans="3:33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03"/>
    </row>
    <row r="67" spans="3:33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03"/>
    </row>
    <row r="68" spans="3:33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03"/>
    </row>
    <row r="69" spans="3:33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03"/>
    </row>
    <row r="70" spans="3:33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70"/>
    </row>
    <row r="71" spans="3:33" x14ac:dyDescent="0.25"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</row>
    <row r="130" spans="17:17" x14ac:dyDescent="0.25">
      <c r="Q130" s="3" t="s">
        <v>49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S8:U8"/>
    <mergeCell ref="AB8:AF8"/>
    <mergeCell ref="D8:E8"/>
    <mergeCell ref="H8:I8"/>
    <mergeCell ref="M8:P8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51CFFA7-1717-41E3-A6D6-000244645510}">
          <x14:formula1>
            <xm:f>DataBank!$A$3:$A$4</xm:f>
          </x14:formula1>
          <xm:sqref>AB10 AD10</xm:sqref>
        </x14:dataValidation>
        <x14:dataValidation type="list" allowBlank="1" showInputMessage="1" showErrorMessage="1" xr:uid="{7DC6175E-01B6-48F8-9E33-8EA46F4F809B}">
          <x14:formula1>
            <xm:f>DataBank!$A$3:$A$5</xm:f>
          </x14:formula1>
          <xm:sqref>I15 N11:P11</xm:sqref>
        </x14:dataValidation>
        <x14:dataValidation type="list" allowBlank="1" showInputMessage="1" showErrorMessage="1" xr:uid="{04838D3A-5BAE-4C9E-9D24-92A0CE499385}">
          <x14:formula1>
            <xm:f>Systemblatt!$E$5:$E$12</xm:f>
          </x14:formula1>
          <xm:sqref>I16:I17 T10:T15 N12:P13 AC10:AC24 AE10:AE24</xm:sqref>
        </x14:dataValidation>
        <x14:dataValidation type="whole" allowBlank="1" showInputMessage="1" showErrorMessage="1" xr:uid="{821AC5FB-866B-4D4D-8048-93A95F13390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F0829-DF63-2342-AB0F-FF9885D8FBA1}">
  <sheetPr codeName="Tabelle21"/>
  <dimension ref="A1:AG130"/>
  <sheetViews>
    <sheetView topLeftCell="K1" zoomScale="75" zoomScaleNormal="75" workbookViewId="0">
      <selection activeCell="Y18" sqref="Y1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1.28515625" style="3" customWidth="1"/>
    <col min="5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4" width="15.28515625" style="3" customWidth="1"/>
    <col min="15" max="15" width="33.28515625" style="3" customWidth="1"/>
    <col min="16" max="16" width="32" style="3" customWidth="1"/>
    <col min="17" max="18" width="15.28515625" style="3" customWidth="1"/>
    <col min="19" max="19" width="20.28515625" style="3" bestFit="1" customWidth="1"/>
    <col min="20" max="20" width="21.140625" style="3" customWidth="1"/>
    <col min="21" max="21" width="24.42578125" style="3" customWidth="1"/>
    <col min="22" max="22" width="10.85546875" style="3"/>
    <col min="23" max="23" width="22.42578125" style="3" customWidth="1"/>
    <col min="24" max="24" width="22.7109375" style="3" customWidth="1"/>
    <col min="25" max="25" width="20.7109375" style="3" customWidth="1"/>
    <col min="26" max="26" width="27.7109375" style="3" customWidth="1"/>
    <col min="27" max="28" width="10.85546875" style="3"/>
    <col min="29" max="29" width="24.7109375" style="3" customWidth="1"/>
    <col min="30" max="31" width="10.85546875" style="3"/>
    <col min="32" max="32" width="67.140625" style="3" customWidth="1"/>
    <col min="33" max="16384" width="10.85546875" style="3"/>
  </cols>
  <sheetData>
    <row r="1" spans="1:33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pans="1:33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24"/>
    </row>
    <row r="3" spans="1:33" x14ac:dyDescent="0.25">
      <c r="C3" s="102"/>
      <c r="D3" s="7"/>
      <c r="E3" s="7"/>
      <c r="F3" s="7"/>
      <c r="G3" s="7"/>
      <c r="H3" s="7"/>
      <c r="I3" s="7"/>
      <c r="J3" s="7" t="s">
        <v>44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03"/>
    </row>
    <row r="4" spans="1:33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03"/>
    </row>
    <row r="5" spans="1:3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03"/>
    </row>
    <row r="6" spans="1:3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03"/>
    </row>
    <row r="7" spans="1:3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03"/>
    </row>
    <row r="8" spans="1:3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03"/>
    </row>
    <row r="9" spans="1:33" ht="21.75" thickBot="1" x14ac:dyDescent="0.4">
      <c r="C9" s="102"/>
      <c r="D9" s="148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03"/>
    </row>
    <row r="10" spans="1:33" ht="18.75" x14ac:dyDescent="0.3">
      <c r="C10" s="102"/>
      <c r="D10" s="73" t="s">
        <v>2</v>
      </c>
      <c r="E10" s="150" t="s">
        <v>215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153"/>
      <c r="O10" s="153"/>
      <c r="P10" s="76"/>
      <c r="Q10" s="88"/>
      <c r="R10" s="163"/>
      <c r="S10" s="152">
        <v>555</v>
      </c>
      <c r="T10" s="153" t="s">
        <v>30</v>
      </c>
      <c r="U10" s="154">
        <v>1</v>
      </c>
      <c r="V10" s="155"/>
      <c r="W10" s="152"/>
      <c r="X10" s="152">
        <v>555</v>
      </c>
      <c r="Y10" s="153"/>
      <c r="Z10" s="154"/>
      <c r="AA10" s="83"/>
      <c r="AB10" s="156"/>
      <c r="AC10" s="83"/>
      <c r="AD10" s="155"/>
      <c r="AE10" s="83"/>
      <c r="AF10" s="157"/>
      <c r="AG10" s="103"/>
    </row>
    <row r="11" spans="1:33" ht="18.75" x14ac:dyDescent="0.3">
      <c r="C11" s="102"/>
      <c r="D11" s="75" t="s">
        <v>4</v>
      </c>
      <c r="E11" s="154">
        <v>1410</v>
      </c>
      <c r="F11" s="88"/>
      <c r="G11" s="88"/>
      <c r="H11" s="75" t="s">
        <v>113</v>
      </c>
      <c r="I11" s="154">
        <v>0</v>
      </c>
      <c r="J11" s="88"/>
      <c r="K11" s="88"/>
      <c r="L11" s="88"/>
      <c r="M11" s="84" t="s">
        <v>122</v>
      </c>
      <c r="N11" s="153"/>
      <c r="O11" s="153"/>
      <c r="P11" s="76"/>
      <c r="Q11" s="88"/>
      <c r="R11" s="163"/>
      <c r="S11" s="156"/>
      <c r="T11" s="83"/>
      <c r="U11" s="157"/>
      <c r="V11" s="155"/>
      <c r="W11" s="158"/>
      <c r="X11" s="156"/>
      <c r="Y11" s="155"/>
      <c r="Z11" s="157"/>
      <c r="AA11" s="83"/>
      <c r="AB11" s="156"/>
      <c r="AC11" s="83"/>
      <c r="AD11" s="155"/>
      <c r="AE11" s="83"/>
      <c r="AF11" s="157"/>
      <c r="AG11" s="103"/>
    </row>
    <row r="12" spans="1:33" ht="18.75" x14ac:dyDescent="0.3">
      <c r="C12" s="102"/>
      <c r="D12" s="75" t="s">
        <v>90</v>
      </c>
      <c r="E12" s="154"/>
      <c r="F12" s="88"/>
      <c r="G12" s="88"/>
      <c r="H12" s="75" t="s">
        <v>114</v>
      </c>
      <c r="I12" s="154">
        <v>1</v>
      </c>
      <c r="J12" s="88"/>
      <c r="K12" s="88"/>
      <c r="L12" s="88"/>
      <c r="M12" s="84" t="s">
        <v>123</v>
      </c>
      <c r="N12" s="153"/>
      <c r="O12" s="153"/>
      <c r="P12" s="76"/>
      <c r="Q12" s="88"/>
      <c r="R12" s="163"/>
      <c r="S12" s="56"/>
      <c r="T12" s="83"/>
      <c r="U12" s="34"/>
      <c r="V12" s="155"/>
      <c r="W12" s="158"/>
      <c r="X12" s="56"/>
      <c r="Y12" s="49"/>
      <c r="Z12" s="34"/>
      <c r="AA12" s="49"/>
      <c r="AB12" s="56"/>
      <c r="AC12" s="83"/>
      <c r="AD12" s="49"/>
      <c r="AE12" s="83"/>
      <c r="AF12" s="157"/>
      <c r="AG12" s="103"/>
    </row>
    <row r="13" spans="1:33" ht="18.75" x14ac:dyDescent="0.3">
      <c r="C13" s="102"/>
      <c r="D13" s="75" t="s">
        <v>102</v>
      </c>
      <c r="E13" s="154" t="s">
        <v>276</v>
      </c>
      <c r="F13" s="88"/>
      <c r="G13" s="88"/>
      <c r="H13" s="75" t="s">
        <v>115</v>
      </c>
      <c r="I13" s="154">
        <v>1</v>
      </c>
      <c r="J13" s="88"/>
      <c r="K13" s="88"/>
      <c r="L13" s="88"/>
      <c r="M13" s="84"/>
      <c r="N13" s="153"/>
      <c r="O13" s="153"/>
      <c r="P13" s="76"/>
      <c r="Q13" s="88"/>
      <c r="R13" s="163"/>
      <c r="S13" s="56"/>
      <c r="T13" s="83"/>
      <c r="U13" s="34"/>
      <c r="V13" s="49"/>
      <c r="W13" s="158"/>
      <c r="X13" s="56"/>
      <c r="Y13" s="49"/>
      <c r="Z13" s="34"/>
      <c r="AA13" s="49"/>
      <c r="AB13" s="56"/>
      <c r="AC13" s="83"/>
      <c r="AD13" s="49"/>
      <c r="AE13" s="83"/>
      <c r="AF13" s="157"/>
      <c r="AG13" s="103"/>
    </row>
    <row r="14" spans="1:33" ht="18.75" x14ac:dyDescent="0.3">
      <c r="C14" s="102"/>
      <c r="D14" s="75" t="s">
        <v>103</v>
      </c>
      <c r="E14" s="154">
        <v>25</v>
      </c>
      <c r="F14" s="88"/>
      <c r="G14" s="88"/>
      <c r="H14" s="75" t="s">
        <v>116</v>
      </c>
      <c r="I14" s="154">
        <v>2015</v>
      </c>
      <c r="J14" s="88"/>
      <c r="K14" s="88"/>
      <c r="L14" s="88"/>
      <c r="M14" s="85"/>
      <c r="N14" s="153"/>
      <c r="O14" s="153"/>
      <c r="P14" s="76"/>
      <c r="Q14" s="88"/>
      <c r="R14" s="163"/>
      <c r="S14" s="56"/>
      <c r="T14" s="83"/>
      <c r="U14" s="34"/>
      <c r="V14" s="49"/>
      <c r="W14" s="158"/>
      <c r="X14" s="56"/>
      <c r="Y14" s="49"/>
      <c r="Z14" s="34"/>
      <c r="AA14" s="49"/>
      <c r="AB14" s="56"/>
      <c r="AC14" s="83"/>
      <c r="AD14" s="49"/>
      <c r="AE14" s="83"/>
      <c r="AF14" s="157"/>
      <c r="AG14" s="103"/>
    </row>
    <row r="15" spans="1:33" ht="18.75" x14ac:dyDescent="0.3">
      <c r="C15" s="102"/>
      <c r="D15" s="75" t="s">
        <v>104</v>
      </c>
      <c r="E15" s="154">
        <v>2.6</v>
      </c>
      <c r="F15" s="88"/>
      <c r="G15" s="88"/>
      <c r="H15" s="84" t="s">
        <v>117</v>
      </c>
      <c r="I15" s="76" t="s">
        <v>26</v>
      </c>
      <c r="J15" s="88"/>
      <c r="K15" s="88"/>
      <c r="L15" s="88"/>
      <c r="M15" s="85"/>
      <c r="N15" s="153"/>
      <c r="O15" s="153"/>
      <c r="P15" s="76"/>
      <c r="Q15" s="88"/>
      <c r="R15" s="163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03"/>
    </row>
    <row r="16" spans="1:33" ht="18.75" x14ac:dyDescent="0.3">
      <c r="C16" s="102"/>
      <c r="D16" s="75" t="s">
        <v>105</v>
      </c>
      <c r="E16" s="154">
        <v>1.44</v>
      </c>
      <c r="F16" s="88"/>
      <c r="G16" s="88"/>
      <c r="H16" s="84" t="s">
        <v>101</v>
      </c>
      <c r="I16" s="76" t="s">
        <v>30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03"/>
    </row>
    <row r="17" spans="3:33" ht="18.75" x14ac:dyDescent="0.3">
      <c r="C17" s="102"/>
      <c r="D17" s="75" t="s">
        <v>106</v>
      </c>
      <c r="E17" s="76"/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03"/>
    </row>
    <row r="18" spans="3:33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03"/>
    </row>
    <row r="19" spans="3:33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03"/>
    </row>
    <row r="20" spans="3:33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03"/>
    </row>
    <row r="21" spans="3:33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8"/>
      <c r="O21" s="88"/>
      <c r="P21" s="8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03"/>
    </row>
    <row r="22" spans="3:33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8"/>
      <c r="O22" s="88"/>
      <c r="P22" s="8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03"/>
    </row>
    <row r="23" spans="3:33" ht="18.75" x14ac:dyDescent="0.3">
      <c r="C23" s="102"/>
      <c r="D23" s="77" t="s">
        <v>112</v>
      </c>
      <c r="E23" s="86"/>
      <c r="F23" s="88"/>
      <c r="G23" s="88"/>
      <c r="H23" s="159"/>
      <c r="I23" s="86"/>
      <c r="J23" s="88"/>
      <c r="K23" s="88"/>
      <c r="L23" s="88"/>
      <c r="M23" s="159"/>
      <c r="N23" s="88"/>
      <c r="O23" s="88"/>
      <c r="P23" s="8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03"/>
    </row>
    <row r="24" spans="3:33" ht="18.75" x14ac:dyDescent="0.3">
      <c r="C24" s="117"/>
      <c r="D24" s="193" t="s">
        <v>135</v>
      </c>
      <c r="E24" s="176"/>
      <c r="F24" s="163"/>
      <c r="G24" s="163"/>
      <c r="H24" s="175"/>
      <c r="I24" s="176"/>
      <c r="J24" s="163"/>
      <c r="K24" s="163"/>
      <c r="L24" s="163"/>
      <c r="M24" s="175"/>
      <c r="N24" s="163"/>
      <c r="O24" s="163"/>
      <c r="P24" s="176"/>
      <c r="Q24" s="163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03"/>
    </row>
    <row r="25" spans="3:33" ht="18.75" x14ac:dyDescent="0.3">
      <c r="C25" s="117"/>
      <c r="D25" s="193" t="s">
        <v>136</v>
      </c>
      <c r="E25" s="176"/>
      <c r="F25" s="163"/>
      <c r="G25" s="163"/>
      <c r="H25" s="175"/>
      <c r="I25" s="176"/>
      <c r="J25" s="163"/>
      <c r="K25" s="163"/>
      <c r="L25" s="163"/>
      <c r="M25" s="175"/>
      <c r="N25" s="163"/>
      <c r="O25" s="163"/>
      <c r="P25" s="176"/>
      <c r="Q25" s="163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03"/>
    </row>
    <row r="26" spans="3:33" ht="19.5" thickBot="1" x14ac:dyDescent="0.35">
      <c r="C26" s="117"/>
      <c r="D26" s="195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8"/>
      <c r="O26" s="88"/>
      <c r="P26" s="8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03"/>
    </row>
    <row r="27" spans="3:33" ht="19.5" thickBot="1" x14ac:dyDescent="0.35">
      <c r="C27" s="117"/>
      <c r="D27" s="160"/>
      <c r="E27" s="90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03"/>
    </row>
    <row r="28" spans="3:33" x14ac:dyDescent="0.25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03"/>
    </row>
    <row r="29" spans="3:33" x14ac:dyDescent="0.25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03"/>
    </row>
    <row r="30" spans="3:33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03"/>
    </row>
    <row r="31" spans="3:3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03"/>
    </row>
    <row r="32" spans="3:33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03"/>
    </row>
    <row r="33" spans="3:33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03"/>
    </row>
    <row r="34" spans="3:33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03"/>
    </row>
    <row r="35" spans="3:3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03"/>
    </row>
    <row r="36" spans="3:3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03"/>
    </row>
    <row r="37" spans="3:33" x14ac:dyDescent="0.25">
      <c r="C37" s="102"/>
      <c r="D37" s="7"/>
      <c r="E37" s="7"/>
      <c r="F37" s="7"/>
      <c r="G37" s="7"/>
      <c r="H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03"/>
    </row>
    <row r="38" spans="3:33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03"/>
    </row>
    <row r="39" spans="3:3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03"/>
    </row>
    <row r="40" spans="3:3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03"/>
    </row>
    <row r="41" spans="3:3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03"/>
    </row>
    <row r="42" spans="3:3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03"/>
    </row>
    <row r="43" spans="3:3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03"/>
    </row>
    <row r="44" spans="3:3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03"/>
    </row>
    <row r="45" spans="3:3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03"/>
    </row>
    <row r="46" spans="3:3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03"/>
    </row>
    <row r="47" spans="3:33" ht="18.75" x14ac:dyDescent="0.25">
      <c r="C47" s="102"/>
      <c r="D47" s="528"/>
      <c r="E47" s="528"/>
      <c r="F47" s="528"/>
      <c r="G47" s="126"/>
      <c r="H47" s="528"/>
      <c r="I47" s="528"/>
      <c r="J47" s="52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03"/>
    </row>
    <row r="48" spans="3:33" ht="15.75" x14ac:dyDescent="0.25">
      <c r="C48" s="102"/>
      <c r="D48" s="125"/>
      <c r="E48" s="125"/>
      <c r="F48" s="125"/>
      <c r="G48" s="125"/>
      <c r="H48" s="125"/>
      <c r="I48" s="125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03"/>
    </row>
    <row r="49" spans="3:33" ht="15.75" x14ac:dyDescent="0.25">
      <c r="C49" s="102"/>
      <c r="D49" s="11"/>
      <c r="E49" s="11"/>
      <c r="F49" s="9"/>
      <c r="G49" s="9"/>
      <c r="H49" s="11"/>
      <c r="I49" s="12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03"/>
    </row>
    <row r="50" spans="3:33" ht="15.75" x14ac:dyDescent="0.25">
      <c r="C50" s="102"/>
      <c r="D50" s="11"/>
      <c r="E50" s="11"/>
      <c r="F50" s="9"/>
      <c r="G50" s="9"/>
      <c r="H50" s="11"/>
      <c r="I50" s="12"/>
      <c r="J50" s="12"/>
      <c r="K50" s="12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03"/>
    </row>
    <row r="51" spans="3:33" ht="15.75" x14ac:dyDescent="0.25">
      <c r="C51" s="102"/>
      <c r="D51" s="11"/>
      <c r="E51" s="11"/>
      <c r="F51" s="9"/>
      <c r="G51" s="9"/>
      <c r="H51" s="11"/>
      <c r="I51" s="12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03"/>
    </row>
    <row r="52" spans="3:33" ht="15.75" x14ac:dyDescent="0.25">
      <c r="C52" s="102"/>
      <c r="D52" s="11"/>
      <c r="E52" s="11"/>
      <c r="F52" s="9"/>
      <c r="G52" s="9"/>
      <c r="H52" s="10"/>
      <c r="I52" s="10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03"/>
    </row>
    <row r="53" spans="3:33" ht="15.75" x14ac:dyDescent="0.25">
      <c r="C53" s="102"/>
      <c r="D53" s="11"/>
      <c r="E53" s="11"/>
      <c r="F53" s="9"/>
      <c r="G53" s="9"/>
      <c r="H53" s="10"/>
      <c r="I53" s="10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03"/>
    </row>
    <row r="54" spans="3:33" ht="15.75" x14ac:dyDescent="0.25">
      <c r="C54" s="102"/>
      <c r="D54" s="11"/>
      <c r="E54" s="11"/>
      <c r="F54" s="9"/>
      <c r="G54" s="9"/>
      <c r="H54" s="10"/>
      <c r="I54" s="10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03"/>
    </row>
    <row r="55" spans="3:33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03"/>
    </row>
    <row r="56" spans="3:33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03"/>
    </row>
    <row r="57" spans="3:33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03"/>
    </row>
    <row r="58" spans="3:33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03"/>
    </row>
    <row r="59" spans="3:33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03"/>
    </row>
    <row r="60" spans="3:33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03"/>
    </row>
    <row r="61" spans="3:33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03"/>
    </row>
    <row r="62" spans="3:33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03"/>
    </row>
    <row r="63" spans="3:33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03"/>
    </row>
    <row r="64" spans="3:33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03"/>
    </row>
    <row r="65" spans="3:33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03"/>
    </row>
    <row r="66" spans="3:33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03"/>
    </row>
    <row r="67" spans="3:33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03"/>
    </row>
    <row r="68" spans="3:33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03"/>
    </row>
    <row r="69" spans="3:33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03"/>
    </row>
    <row r="70" spans="3:33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70"/>
    </row>
    <row r="71" spans="3:33" x14ac:dyDescent="0.25"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</row>
    <row r="130" spans="17:17" x14ac:dyDescent="0.25">
      <c r="Q130" s="3" t="s">
        <v>49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054D8449-A884-7740-B95F-30A2C198A272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CE94B721-F972-A642-BAA2-F7E791EE26AC}">
          <x14:formula1>
            <xm:f>Systemblatt!$E$5:$E$12</xm:f>
          </x14:formula1>
          <xm:sqref>I16:I17 N12:P13 AC10:AC24 AE10:AE24 T10:T15</xm:sqref>
        </x14:dataValidation>
        <x14:dataValidation type="list" allowBlank="1" showInputMessage="1" showErrorMessage="1" xr:uid="{A433267A-C4EB-D143-829E-B243D2B67CEA}">
          <x14:formula1>
            <xm:f>DataBank!$A$3:$A$5</xm:f>
          </x14:formula1>
          <xm:sqref>I15 N11:P11</xm:sqref>
        </x14:dataValidation>
        <x14:dataValidation type="list" allowBlank="1" showInputMessage="1" showErrorMessage="1" xr:uid="{942C2FD2-3E0B-A447-918B-930ADF555A0E}">
          <x14:formula1>
            <xm:f>DataBank!$A$3:$A$4</xm:f>
          </x14:formula1>
          <xm:sqref>AB10 AD10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50110-EC3C-4E89-BD20-F2CEA9EDAB09}">
  <sheetPr codeName="Tabelle13"/>
  <dimension ref="C1:AG134"/>
  <sheetViews>
    <sheetView topLeftCell="O1" zoomScale="80" zoomScaleNormal="80" workbookViewId="0">
      <selection activeCell="Y11" sqref="Y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28515625" style="3" customWidth="1"/>
    <col min="5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3" width="26.42578125" style="3" customWidth="1"/>
    <col min="14" max="14" width="15.28515625" style="3" customWidth="1"/>
    <col min="15" max="15" width="28.42578125" style="3" customWidth="1"/>
    <col min="16" max="16" width="28.140625" style="3" customWidth="1"/>
    <col min="17" max="18" width="15.28515625" style="3" customWidth="1"/>
    <col min="19" max="19" width="24.42578125" style="3" customWidth="1"/>
    <col min="20" max="20" width="16.7109375" style="3" customWidth="1"/>
    <col min="21" max="22" width="10.85546875" style="3"/>
    <col min="23" max="23" width="28.42578125" style="3" customWidth="1"/>
    <col min="24" max="24" width="27.28515625" style="3" customWidth="1"/>
    <col min="25" max="25" width="31.7109375" style="3" customWidth="1"/>
    <col min="26" max="26" width="22.140625" style="3" customWidth="1"/>
    <col min="27" max="28" width="10.85546875" style="3"/>
    <col min="29" max="29" width="24.28515625" style="3" customWidth="1"/>
    <col min="30" max="31" width="10.85546875" style="3"/>
    <col min="32" max="32" width="103.85546875" style="3" customWidth="1"/>
    <col min="33" max="16384" width="10.85546875" style="3"/>
  </cols>
  <sheetData>
    <row r="1" spans="3:33" ht="10.5" customHeight="1" thickBot="1" x14ac:dyDescent="0.3"/>
    <row r="2" spans="3:33" ht="26.1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46"/>
    </row>
    <row r="3" spans="3:33" x14ac:dyDescent="0.25">
      <c r="C3" s="102"/>
      <c r="D3" s="7"/>
      <c r="E3" s="7"/>
      <c r="F3" s="7"/>
      <c r="G3" s="7"/>
      <c r="H3" s="7"/>
      <c r="I3" s="7"/>
      <c r="J3" s="7" t="s">
        <v>44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16"/>
    </row>
    <row r="4" spans="3:33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16"/>
    </row>
    <row r="5" spans="3:3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16"/>
    </row>
    <row r="6" spans="3:3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16"/>
    </row>
    <row r="7" spans="3:3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16"/>
    </row>
    <row r="8" spans="3:3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16"/>
    </row>
    <row r="9" spans="3:33" ht="21.75" thickBot="1" x14ac:dyDescent="0.4">
      <c r="C9" s="102"/>
      <c r="D9" s="81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16"/>
    </row>
    <row r="10" spans="3:33" ht="18.75" x14ac:dyDescent="0.3">
      <c r="C10" s="102"/>
      <c r="D10" s="73" t="s">
        <v>2</v>
      </c>
      <c r="E10" s="74" t="s">
        <v>64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153">
        <v>8.9399999999999993E-2</v>
      </c>
      <c r="O10" s="153">
        <v>-0.81899999999999995</v>
      </c>
      <c r="P10" s="76"/>
      <c r="Q10" s="88"/>
      <c r="R10" s="163"/>
      <c r="S10" s="156">
        <v>3100</v>
      </c>
      <c r="T10" s="83" t="s">
        <v>31</v>
      </c>
      <c r="U10" s="157">
        <v>0.999</v>
      </c>
      <c r="V10" s="155"/>
      <c r="W10" s="152"/>
      <c r="X10" s="83">
        <v>3100</v>
      </c>
      <c r="Y10" s="153">
        <v>7100</v>
      </c>
      <c r="Z10" s="154"/>
      <c r="AA10" s="83"/>
      <c r="AB10" s="156"/>
      <c r="AC10" s="83"/>
      <c r="AD10" s="155"/>
      <c r="AE10" s="83"/>
      <c r="AF10" s="157"/>
      <c r="AG10" s="116"/>
    </row>
    <row r="11" spans="3:33" ht="18.75" x14ac:dyDescent="0.3">
      <c r="C11" s="102"/>
      <c r="D11" s="75" t="s">
        <v>4</v>
      </c>
      <c r="E11" s="76">
        <v>1110</v>
      </c>
      <c r="F11" s="88"/>
      <c r="G11" s="88"/>
      <c r="H11" s="75" t="s">
        <v>113</v>
      </c>
      <c r="I11" s="76">
        <v>6.0339999999999998</v>
      </c>
      <c r="J11" s="88"/>
      <c r="K11" s="88"/>
      <c r="L11" s="88"/>
      <c r="M11" s="84" t="s">
        <v>122</v>
      </c>
      <c r="N11" s="153" t="s">
        <v>26</v>
      </c>
      <c r="O11" s="153" t="s">
        <v>26</v>
      </c>
      <c r="P11" s="76"/>
      <c r="Q11" s="88"/>
      <c r="R11" s="163"/>
      <c r="S11" s="156">
        <v>3100</v>
      </c>
      <c r="T11" s="83" t="s">
        <v>30</v>
      </c>
      <c r="U11" s="157">
        <v>5.5399999999999998E-2</v>
      </c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116"/>
    </row>
    <row r="12" spans="3:33" ht="18.75" x14ac:dyDescent="0.3">
      <c r="C12" s="102"/>
      <c r="D12" s="75" t="s">
        <v>90</v>
      </c>
      <c r="E12" s="76"/>
      <c r="F12" s="88"/>
      <c r="G12" s="88"/>
      <c r="H12" s="75" t="s">
        <v>114</v>
      </c>
      <c r="I12" s="76">
        <v>72.623999999999995</v>
      </c>
      <c r="J12" s="88"/>
      <c r="K12" s="88"/>
      <c r="L12" s="88"/>
      <c r="M12" s="84" t="s">
        <v>123</v>
      </c>
      <c r="N12" s="153" t="s">
        <v>31</v>
      </c>
      <c r="O12" s="153" t="s">
        <v>31</v>
      </c>
      <c r="P12" s="76"/>
      <c r="Q12" s="88"/>
      <c r="R12" s="163"/>
      <c r="S12" s="156">
        <v>7100</v>
      </c>
      <c r="T12" s="83" t="s">
        <v>31</v>
      </c>
      <c r="U12" s="157">
        <v>1E-3</v>
      </c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16"/>
    </row>
    <row r="13" spans="3:33" ht="18.75" x14ac:dyDescent="0.3">
      <c r="C13" s="102"/>
      <c r="D13" s="75" t="s">
        <v>102</v>
      </c>
      <c r="E13" s="76"/>
      <c r="F13" s="88"/>
      <c r="G13" s="88"/>
      <c r="H13" s="75" t="s">
        <v>115</v>
      </c>
      <c r="I13" s="76">
        <v>0.66</v>
      </c>
      <c r="J13" s="88"/>
      <c r="K13" s="88"/>
      <c r="L13" s="88"/>
      <c r="M13" s="84"/>
      <c r="N13" s="153" t="s">
        <v>30</v>
      </c>
      <c r="O13" s="153" t="s">
        <v>30</v>
      </c>
      <c r="P13" s="76"/>
      <c r="Q13" s="88"/>
      <c r="R13" s="163"/>
      <c r="S13" s="56">
        <v>7100</v>
      </c>
      <c r="T13" s="83" t="s">
        <v>30</v>
      </c>
      <c r="U13" s="34">
        <v>0.9446</v>
      </c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16"/>
    </row>
    <row r="14" spans="3:33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76">
        <v>2020</v>
      </c>
      <c r="J14" s="88"/>
      <c r="K14" s="88"/>
      <c r="L14" s="88"/>
      <c r="M14" s="85"/>
      <c r="N14" s="83"/>
      <c r="O14" s="83"/>
      <c r="P14" s="76"/>
      <c r="Q14" s="88"/>
      <c r="R14" s="163"/>
      <c r="S14" s="156"/>
      <c r="T14" s="83"/>
      <c r="U14" s="157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16"/>
    </row>
    <row r="15" spans="3:33" ht="18.75" x14ac:dyDescent="0.3">
      <c r="C15" s="102"/>
      <c r="D15" s="75" t="s">
        <v>104</v>
      </c>
      <c r="E15" s="154">
        <v>2.6</v>
      </c>
      <c r="F15" s="88"/>
      <c r="G15" s="88"/>
      <c r="H15" s="84" t="s">
        <v>117</v>
      </c>
      <c r="I15" s="76" t="s">
        <v>26</v>
      </c>
      <c r="J15" s="88"/>
      <c r="K15" s="88"/>
      <c r="L15" s="88"/>
      <c r="M15" s="85"/>
      <c r="N15" s="88"/>
      <c r="O15" s="88"/>
      <c r="P15" s="86"/>
      <c r="Q15" s="88"/>
      <c r="R15" s="163"/>
      <c r="S15" s="1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16"/>
    </row>
    <row r="16" spans="3:33" ht="18.75" x14ac:dyDescent="0.3">
      <c r="C16" s="102"/>
      <c r="D16" s="75" t="s">
        <v>105</v>
      </c>
      <c r="E16" s="154">
        <v>1.44</v>
      </c>
      <c r="F16" s="88"/>
      <c r="G16" s="88"/>
      <c r="H16" s="84" t="s">
        <v>101</v>
      </c>
      <c r="I16" s="76" t="s">
        <v>31</v>
      </c>
      <c r="J16" s="88"/>
      <c r="K16" s="88"/>
      <c r="L16" s="88"/>
      <c r="M16" s="85"/>
      <c r="N16" s="88"/>
      <c r="O16" s="88"/>
      <c r="P16" s="8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16"/>
    </row>
    <row r="17" spans="3:33" ht="18.75" x14ac:dyDescent="0.3">
      <c r="C17" s="102"/>
      <c r="D17" s="75" t="s">
        <v>106</v>
      </c>
      <c r="E17" s="76">
        <v>120</v>
      </c>
      <c r="F17" s="88"/>
      <c r="G17" s="88"/>
      <c r="H17" s="84"/>
      <c r="I17" s="76" t="s">
        <v>30</v>
      </c>
      <c r="J17" s="88"/>
      <c r="K17" s="88"/>
      <c r="L17" s="88"/>
      <c r="M17" s="85"/>
      <c r="N17" s="88"/>
      <c r="O17" s="88"/>
      <c r="P17" s="8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16"/>
    </row>
    <row r="18" spans="3:33" ht="18.75" x14ac:dyDescent="0.3">
      <c r="C18" s="102"/>
      <c r="D18" s="77" t="s">
        <v>107</v>
      </c>
      <c r="E18" s="76">
        <v>25</v>
      </c>
      <c r="F18" s="88"/>
      <c r="G18" s="88"/>
      <c r="H18" s="85"/>
      <c r="I18" s="76"/>
      <c r="J18" s="88"/>
      <c r="K18" s="88"/>
      <c r="L18" s="88"/>
      <c r="M18" s="85"/>
      <c r="N18" s="88"/>
      <c r="O18" s="88"/>
      <c r="P18" s="8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16"/>
    </row>
    <row r="19" spans="3:33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8"/>
      <c r="O19" s="88"/>
      <c r="P19" s="8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16"/>
    </row>
    <row r="20" spans="3:33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8"/>
      <c r="O20" s="88"/>
      <c r="P20" s="8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16"/>
    </row>
    <row r="21" spans="3:33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8"/>
      <c r="O21" s="88"/>
      <c r="P21" s="8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16"/>
    </row>
    <row r="22" spans="3:33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8"/>
      <c r="O22" s="88"/>
      <c r="P22" s="8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16"/>
    </row>
    <row r="23" spans="3:33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8"/>
      <c r="O23" s="88"/>
      <c r="P23" s="8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16"/>
    </row>
    <row r="24" spans="3:33" ht="18.75" x14ac:dyDescent="0.3">
      <c r="C24" s="117"/>
      <c r="D24" s="193" t="s">
        <v>135</v>
      </c>
      <c r="E24" s="176"/>
      <c r="F24" s="163"/>
      <c r="G24" s="163"/>
      <c r="H24" s="175"/>
      <c r="I24" s="176"/>
      <c r="J24" s="163"/>
      <c r="K24" s="163"/>
      <c r="L24" s="163"/>
      <c r="M24" s="175"/>
      <c r="N24" s="163"/>
      <c r="O24" s="163"/>
      <c r="P24" s="176"/>
      <c r="Q24" s="163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16"/>
    </row>
    <row r="25" spans="3:33" ht="18.75" x14ac:dyDescent="0.3">
      <c r="C25" s="117"/>
      <c r="D25" s="193" t="s">
        <v>136</v>
      </c>
      <c r="E25" s="176"/>
      <c r="F25" s="163"/>
      <c r="G25" s="163"/>
      <c r="H25" s="175"/>
      <c r="I25" s="176"/>
      <c r="J25" s="163"/>
      <c r="K25" s="163"/>
      <c r="L25" s="163"/>
      <c r="M25" s="175"/>
      <c r="N25" s="163"/>
      <c r="O25" s="163"/>
      <c r="P25" s="176"/>
      <c r="Q25" s="163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16"/>
    </row>
    <row r="26" spans="3:33" ht="19.5" thickBot="1" x14ac:dyDescent="0.35">
      <c r="C26" s="117"/>
      <c r="D26" s="195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8"/>
      <c r="O26" s="88"/>
      <c r="P26" s="8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16"/>
    </row>
    <row r="27" spans="3:33" ht="19.5" thickBot="1" x14ac:dyDescent="0.35">
      <c r="C27" s="117"/>
      <c r="D27" s="160"/>
      <c r="E27" s="90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16"/>
    </row>
    <row r="28" spans="3:33" x14ac:dyDescent="0.25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16"/>
    </row>
    <row r="29" spans="3:33" x14ac:dyDescent="0.25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16"/>
    </row>
    <row r="30" spans="3:33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16"/>
    </row>
    <row r="31" spans="3:3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16"/>
    </row>
    <row r="32" spans="3:33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16"/>
    </row>
    <row r="33" spans="3:33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16"/>
    </row>
    <row r="34" spans="3:33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16"/>
    </row>
    <row r="35" spans="3:3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16"/>
    </row>
    <row r="36" spans="3:3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16"/>
    </row>
    <row r="37" spans="3:33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16"/>
    </row>
    <row r="38" spans="3:33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16"/>
    </row>
    <row r="39" spans="3:3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16"/>
    </row>
    <row r="40" spans="3:3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16"/>
    </row>
    <row r="41" spans="3:3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16"/>
    </row>
    <row r="42" spans="3:3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16"/>
    </row>
    <row r="43" spans="3:3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16"/>
    </row>
    <row r="44" spans="3:3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16"/>
    </row>
    <row r="45" spans="3:3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16"/>
    </row>
    <row r="46" spans="3:3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16"/>
    </row>
    <row r="47" spans="3:33" ht="18.75" x14ac:dyDescent="0.25">
      <c r="C47" s="102"/>
      <c r="D47" s="528"/>
      <c r="E47" s="528"/>
      <c r="F47" s="528"/>
      <c r="G47" s="126"/>
      <c r="H47" s="528"/>
      <c r="I47" s="528"/>
      <c r="J47" s="52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16"/>
    </row>
    <row r="48" spans="3:33" ht="15.75" x14ac:dyDescent="0.25">
      <c r="C48" s="102"/>
      <c r="D48" s="125"/>
      <c r="E48" s="125"/>
      <c r="F48" s="125"/>
      <c r="G48" s="125"/>
      <c r="H48" s="125"/>
      <c r="I48" s="125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16"/>
    </row>
    <row r="49" spans="3:33" ht="15.75" x14ac:dyDescent="0.25">
      <c r="C49" s="102"/>
      <c r="D49" s="11"/>
      <c r="E49" s="11"/>
      <c r="F49" s="9"/>
      <c r="G49" s="9"/>
      <c r="H49" s="11"/>
      <c r="I49" s="12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16"/>
    </row>
    <row r="50" spans="3:33" ht="15.75" x14ac:dyDescent="0.25">
      <c r="C50" s="102"/>
      <c r="D50" s="11"/>
      <c r="E50" s="11"/>
      <c r="F50" s="9"/>
      <c r="G50" s="9"/>
      <c r="H50" s="11"/>
      <c r="I50" s="12"/>
      <c r="J50" s="12"/>
      <c r="K50" s="12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16"/>
    </row>
    <row r="51" spans="3:33" ht="15.75" x14ac:dyDescent="0.25">
      <c r="C51" s="102"/>
      <c r="D51" s="11"/>
      <c r="E51" s="11"/>
      <c r="F51" s="9"/>
      <c r="G51" s="9"/>
      <c r="H51" s="11"/>
      <c r="I51" s="12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16"/>
    </row>
    <row r="52" spans="3:33" ht="15.75" x14ac:dyDescent="0.25">
      <c r="C52" s="102"/>
      <c r="D52" s="11"/>
      <c r="E52" s="11"/>
      <c r="F52" s="9"/>
      <c r="G52" s="9"/>
      <c r="H52" s="10"/>
      <c r="I52" s="10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16"/>
    </row>
    <row r="53" spans="3:33" ht="15.75" x14ac:dyDescent="0.25">
      <c r="C53" s="102"/>
      <c r="D53" s="11"/>
      <c r="E53" s="11"/>
      <c r="F53" s="9"/>
      <c r="G53" s="9"/>
      <c r="H53" s="10"/>
      <c r="I53" s="10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16"/>
    </row>
    <row r="54" spans="3:33" ht="15.75" x14ac:dyDescent="0.25">
      <c r="C54" s="102"/>
      <c r="D54" s="11"/>
      <c r="E54" s="11"/>
      <c r="F54" s="9"/>
      <c r="G54" s="9"/>
      <c r="H54" s="10"/>
      <c r="I54" s="10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16"/>
    </row>
    <row r="55" spans="3:33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16"/>
    </row>
    <row r="56" spans="3:33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16"/>
    </row>
    <row r="57" spans="3:33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16"/>
    </row>
    <row r="58" spans="3:33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16"/>
    </row>
    <row r="59" spans="3:33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16"/>
    </row>
    <row r="60" spans="3:33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16"/>
    </row>
    <row r="61" spans="3:33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16"/>
    </row>
    <row r="62" spans="3:33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16"/>
    </row>
    <row r="63" spans="3:33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16"/>
    </row>
    <row r="64" spans="3:33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16"/>
    </row>
    <row r="65" spans="3:33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16"/>
    </row>
    <row r="66" spans="3:33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16"/>
    </row>
    <row r="67" spans="3:33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16"/>
    </row>
    <row r="68" spans="3:33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16"/>
    </row>
    <row r="69" spans="3:33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16"/>
    </row>
    <row r="70" spans="3:33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2"/>
    </row>
    <row r="134" spans="17:17" x14ac:dyDescent="0.25">
      <c r="Q134" s="3" t="s">
        <v>49</v>
      </c>
    </row>
  </sheetData>
  <mergeCells count="13">
    <mergeCell ref="X9:Z9"/>
    <mergeCell ref="D47:F47"/>
    <mergeCell ref="H47:J47"/>
    <mergeCell ref="D6:E6"/>
    <mergeCell ref="H6:I6"/>
    <mergeCell ref="M6:P6"/>
    <mergeCell ref="S6:AF6"/>
    <mergeCell ref="S8:U8"/>
    <mergeCell ref="AB8:AF8"/>
    <mergeCell ref="D8:E8"/>
    <mergeCell ref="H8:I8"/>
    <mergeCell ref="M8:P8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FEF790A-72F3-46BC-87B3-8D333AF1DEDE}">
          <x14:formula1>
            <xm:f>DataBank!$A$3:$A$4</xm:f>
          </x14:formula1>
          <xm:sqref>AB10 AD10</xm:sqref>
        </x14:dataValidation>
        <x14:dataValidation type="list" allowBlank="1" showInputMessage="1" showErrorMessage="1" xr:uid="{FDBB2F6E-39C6-484D-B95E-FC0016216E09}">
          <x14:formula1>
            <xm:f>DataBank!$A$3:$A$5</xm:f>
          </x14:formula1>
          <xm:sqref>I15 N11:P11</xm:sqref>
        </x14:dataValidation>
        <x14:dataValidation type="list" allowBlank="1" showInputMessage="1" showErrorMessage="1" xr:uid="{5FC85429-99AC-44D2-95C9-4367E29E2995}">
          <x14:formula1>
            <xm:f>Systemblatt!$E$5:$E$12</xm:f>
          </x14:formula1>
          <xm:sqref>I16:I17 AE10:AE24 N12:P13 AC10:AC24 T10:T15</xm:sqref>
        </x14:dataValidation>
        <x14:dataValidation type="whole" allowBlank="1" showInputMessage="1" showErrorMessage="1" xr:uid="{FF69A9F0-4B3B-4A7A-9B4A-906F0EA07765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K1" zoomScale="93" zoomScaleNormal="78" workbookViewId="0">
      <selection activeCell="P44" sqref="P4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5.42578125" style="3" customWidth="1"/>
    <col min="5" max="5" width="18.7109375" style="3" customWidth="1"/>
    <col min="6" max="6" width="15.28515625" style="3" customWidth="1"/>
    <col min="7" max="7" width="6.28515625" style="3" customWidth="1"/>
    <col min="8" max="11" width="15.28515625" style="3" customWidth="1"/>
    <col min="12" max="12" width="6.7109375" style="3" bestFit="1" customWidth="1"/>
    <col min="13" max="13" width="27.28515625" style="3" customWidth="1"/>
    <col min="14" max="14" width="15.28515625" style="3" customWidth="1"/>
    <col min="15" max="15" width="27.42578125" style="3" customWidth="1"/>
    <col min="16" max="16" width="33.85546875" style="3" customWidth="1"/>
    <col min="17" max="18" width="15.28515625" style="3" customWidth="1"/>
    <col min="19" max="19" width="19" style="3" customWidth="1"/>
    <col min="20" max="20" width="26.140625" style="3" customWidth="1"/>
    <col min="21" max="22" width="10.85546875" style="3"/>
    <col min="23" max="23" width="21.42578125" style="3" customWidth="1"/>
    <col min="24" max="24" width="35.140625" style="3" customWidth="1"/>
    <col min="25" max="25" width="21.42578125" style="3" customWidth="1"/>
    <col min="26" max="26" width="19.28515625" style="3" customWidth="1"/>
    <col min="27" max="27" width="10.85546875" style="3"/>
    <col min="28" max="28" width="10.85546875" style="3" customWidth="1"/>
    <col min="29" max="29" width="27" style="3" customWidth="1"/>
    <col min="30" max="31" width="10.85546875" style="3"/>
    <col min="32" max="32" width="61.42578125" style="3" customWidth="1"/>
    <col min="33" max="33" width="10.85546875" style="3"/>
    <col min="34" max="34" width="18" style="3" bestFit="1" customWidth="1"/>
    <col min="35" max="35" width="14.140625" style="3" bestFit="1" customWidth="1"/>
    <col min="36" max="36" width="9" style="3" bestFit="1" customWidth="1"/>
    <col min="37" max="38" width="10.85546875" style="3"/>
    <col min="39" max="39" width="18.28515625" style="3" customWidth="1"/>
    <col min="40" max="40" width="21.85546875" style="3" customWidth="1"/>
    <col min="41" max="16384" width="10.85546875" style="3"/>
  </cols>
  <sheetData>
    <row r="1" spans="3:43" ht="10.5" customHeight="1" thickBot="1" x14ac:dyDescent="0.3"/>
    <row r="2" spans="3:43" ht="17.100000000000001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13"/>
      <c r="AI2" s="113"/>
      <c r="AJ2" s="113"/>
      <c r="AK2" s="113"/>
      <c r="AL2" s="113"/>
      <c r="AM2" s="113"/>
      <c r="AN2" s="113"/>
      <c r="AO2" s="113"/>
      <c r="AP2" s="113"/>
      <c r="AQ2" s="124"/>
    </row>
    <row r="3" spans="3:43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7"/>
      <c r="AI3" s="7"/>
      <c r="AJ3" s="7"/>
      <c r="AK3" s="7"/>
      <c r="AL3" s="7"/>
      <c r="AM3" s="7"/>
      <c r="AN3" s="7"/>
      <c r="AO3" s="7"/>
      <c r="AP3" s="7"/>
      <c r="AQ3" s="103"/>
    </row>
    <row r="4" spans="3:43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7"/>
      <c r="AI4" s="7"/>
      <c r="AJ4" s="7"/>
      <c r="AK4" s="7"/>
      <c r="AL4" s="7"/>
      <c r="AM4" s="7"/>
      <c r="AN4" s="7"/>
      <c r="AO4" s="7"/>
      <c r="AP4" s="7"/>
      <c r="AQ4" s="103"/>
    </row>
    <row r="5" spans="3:4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7"/>
      <c r="AI5" s="7"/>
      <c r="AJ5" s="7"/>
      <c r="AK5" s="7"/>
      <c r="AL5" s="7"/>
      <c r="AM5" s="7"/>
      <c r="AN5" s="7"/>
      <c r="AO5" s="7"/>
      <c r="AP5" s="7"/>
      <c r="AQ5" s="103"/>
    </row>
    <row r="6" spans="3:4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27"/>
      <c r="AK6" s="127"/>
      <c r="AL6" s="127"/>
      <c r="AM6" s="127"/>
      <c r="AN6" s="127"/>
      <c r="AO6" s="7"/>
      <c r="AP6" s="7"/>
      <c r="AQ6" s="103"/>
    </row>
    <row r="7" spans="3:4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7"/>
      <c r="AI7" s="7"/>
      <c r="AJ7" s="7"/>
      <c r="AK7" s="7"/>
      <c r="AL7" s="7"/>
      <c r="AM7" s="7"/>
      <c r="AN7" s="7"/>
      <c r="AO7" s="7"/>
      <c r="AP7" s="7"/>
      <c r="AQ7" s="103"/>
    </row>
    <row r="8" spans="3:4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3"/>
      <c r="AH8" s="550" t="s">
        <v>11</v>
      </c>
      <c r="AI8" s="551"/>
      <c r="AJ8" s="552"/>
      <c r="AK8" s="126"/>
      <c r="AL8" s="550" t="s">
        <v>12</v>
      </c>
      <c r="AM8" s="551"/>
      <c r="AN8" s="552"/>
      <c r="AO8" s="7"/>
      <c r="AP8" s="7"/>
      <c r="AQ8" s="103"/>
    </row>
    <row r="9" spans="3:43" ht="21.75" thickBot="1" x14ac:dyDescent="0.4">
      <c r="C9" s="102"/>
      <c r="D9" s="148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247" t="s">
        <v>13</v>
      </c>
      <c r="AI9" s="248" t="s">
        <v>14</v>
      </c>
      <c r="AJ9" s="249" t="s">
        <v>1</v>
      </c>
      <c r="AK9" s="125"/>
      <c r="AL9" s="247" t="s">
        <v>15</v>
      </c>
      <c r="AM9" s="248" t="s">
        <v>16</v>
      </c>
      <c r="AN9" s="249" t="s">
        <v>17</v>
      </c>
      <c r="AO9" s="7"/>
      <c r="AP9" s="7"/>
      <c r="AQ9" s="103"/>
    </row>
    <row r="10" spans="3:43" ht="18.75" x14ac:dyDescent="0.3">
      <c r="C10" s="102"/>
      <c r="D10" s="73" t="s">
        <v>2</v>
      </c>
      <c r="E10" s="74" t="s">
        <v>48</v>
      </c>
      <c r="F10" s="88"/>
      <c r="G10" s="88"/>
      <c r="H10" s="75" t="s">
        <v>3</v>
      </c>
      <c r="I10" s="76"/>
      <c r="J10" s="88"/>
      <c r="K10" s="88"/>
      <c r="L10" s="88"/>
      <c r="M10" s="73" t="s">
        <v>121</v>
      </c>
      <c r="N10" s="153">
        <v>51.7</v>
      </c>
      <c r="O10" s="153">
        <v>-9.57</v>
      </c>
      <c r="P10" s="76"/>
      <c r="Q10" s="88"/>
      <c r="R10" s="163"/>
      <c r="S10" s="152">
        <v>2110</v>
      </c>
      <c r="T10" s="153" t="s">
        <v>32</v>
      </c>
      <c r="U10" s="154">
        <v>0.999</v>
      </c>
      <c r="V10" s="155"/>
      <c r="W10" s="152">
        <v>111</v>
      </c>
      <c r="X10" s="83">
        <v>2110</v>
      </c>
      <c r="Y10" s="153">
        <v>999</v>
      </c>
      <c r="Z10" s="154"/>
      <c r="AA10" s="83"/>
      <c r="AB10" s="152"/>
      <c r="AC10" s="153"/>
      <c r="AD10" s="153"/>
      <c r="AE10" s="153"/>
      <c r="AF10" s="154"/>
      <c r="AG10" s="181"/>
      <c r="AH10" s="152" t="s">
        <v>9</v>
      </c>
      <c r="AI10" s="153">
        <v>1</v>
      </c>
      <c r="AJ10" s="154">
        <v>0.89</v>
      </c>
      <c r="AK10" s="155"/>
      <c r="AL10" s="152">
        <v>1</v>
      </c>
      <c r="AM10" s="153" t="s">
        <v>30</v>
      </c>
      <c r="AN10" s="154">
        <v>1</v>
      </c>
      <c r="AO10" s="7"/>
      <c r="AP10" s="7"/>
      <c r="AQ10" s="103"/>
    </row>
    <row r="11" spans="3:43" ht="18.75" x14ac:dyDescent="0.3">
      <c r="C11" s="102"/>
      <c r="D11" s="75" t="s">
        <v>4</v>
      </c>
      <c r="E11" s="154">
        <v>2200</v>
      </c>
      <c r="F11" s="88"/>
      <c r="G11" s="88"/>
      <c r="H11" s="75" t="s">
        <v>113</v>
      </c>
      <c r="I11" s="154">
        <v>0.70520000000000005</v>
      </c>
      <c r="J11" s="88"/>
      <c r="K11" s="88"/>
      <c r="L11" s="88"/>
      <c r="M11" s="84" t="s">
        <v>122</v>
      </c>
      <c r="N11" s="153" t="s">
        <v>27</v>
      </c>
      <c r="O11" s="153" t="s">
        <v>27</v>
      </c>
      <c r="P11" s="76"/>
      <c r="Q11" s="88"/>
      <c r="R11" s="163"/>
      <c r="S11" s="187">
        <v>2110</v>
      </c>
      <c r="T11" s="186" t="s">
        <v>9</v>
      </c>
      <c r="U11" s="188">
        <v>2E-3</v>
      </c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181"/>
      <c r="AH11" s="152" t="s">
        <v>30</v>
      </c>
      <c r="AI11" s="153">
        <v>1</v>
      </c>
      <c r="AJ11" s="154">
        <v>-1</v>
      </c>
      <c r="AK11" s="155"/>
      <c r="AL11" s="156"/>
      <c r="AM11" s="126"/>
      <c r="AN11" s="137"/>
      <c r="AO11" s="7"/>
      <c r="AP11" s="7"/>
      <c r="AQ11" s="103"/>
    </row>
    <row r="12" spans="3:43" ht="18.75" x14ac:dyDescent="0.3">
      <c r="C12" s="102"/>
      <c r="D12" s="75" t="s">
        <v>90</v>
      </c>
      <c r="E12" s="154" t="s">
        <v>47</v>
      </c>
      <c r="F12" s="88"/>
      <c r="G12" s="88"/>
      <c r="H12" s="75" t="s">
        <v>114</v>
      </c>
      <c r="I12" s="154">
        <v>1</v>
      </c>
      <c r="J12" s="88"/>
      <c r="K12" s="88"/>
      <c r="L12" s="88"/>
      <c r="M12" s="84" t="s">
        <v>123</v>
      </c>
      <c r="N12" s="153" t="s">
        <v>32</v>
      </c>
      <c r="O12" s="153" t="s">
        <v>32</v>
      </c>
      <c r="P12" s="76"/>
      <c r="Q12" s="88"/>
      <c r="R12" s="163"/>
      <c r="S12" s="187">
        <v>999</v>
      </c>
      <c r="T12" s="153" t="s">
        <v>9</v>
      </c>
      <c r="U12" s="188">
        <v>0.998</v>
      </c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81"/>
      <c r="AH12" s="152" t="s">
        <v>32</v>
      </c>
      <c r="AI12" s="153">
        <v>1</v>
      </c>
      <c r="AJ12" s="154">
        <v>0.11</v>
      </c>
      <c r="AK12" s="155"/>
      <c r="AL12" s="156"/>
      <c r="AM12" s="126"/>
      <c r="AN12" s="137"/>
      <c r="AO12" s="7"/>
      <c r="AP12" s="7"/>
      <c r="AQ12" s="103"/>
    </row>
    <row r="13" spans="3:43" ht="18.75" x14ac:dyDescent="0.3">
      <c r="C13" s="102"/>
      <c r="D13" s="75" t="s">
        <v>102</v>
      </c>
      <c r="E13" s="154"/>
      <c r="F13" s="88"/>
      <c r="G13" s="88"/>
      <c r="H13" s="75" t="s">
        <v>115</v>
      </c>
      <c r="I13" s="154">
        <v>0.92410000000000003</v>
      </c>
      <c r="J13" s="88"/>
      <c r="K13" s="88"/>
      <c r="L13" s="88"/>
      <c r="M13" s="84"/>
      <c r="N13" s="83"/>
      <c r="O13" s="83"/>
      <c r="P13" s="76"/>
      <c r="Q13" s="88"/>
      <c r="R13" s="163"/>
      <c r="S13" s="180">
        <v>999</v>
      </c>
      <c r="T13" s="181" t="s">
        <v>32</v>
      </c>
      <c r="U13" s="182">
        <v>1E-3</v>
      </c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81"/>
      <c r="AH13" s="156"/>
      <c r="AI13" s="155"/>
      <c r="AJ13" s="157"/>
      <c r="AK13" s="155"/>
      <c r="AL13" s="56"/>
      <c r="AM13" s="126"/>
      <c r="AN13" s="34"/>
      <c r="AO13" s="7"/>
      <c r="AP13" s="7"/>
      <c r="AQ13" s="103"/>
    </row>
    <row r="14" spans="3:43" ht="18.75" x14ac:dyDescent="0.3">
      <c r="C14" s="102"/>
      <c r="D14" s="75" t="s">
        <v>103</v>
      </c>
      <c r="E14" s="154">
        <v>20</v>
      </c>
      <c r="F14" s="88"/>
      <c r="G14" s="88"/>
      <c r="H14" s="75" t="s">
        <v>116</v>
      </c>
      <c r="I14" s="154">
        <v>2018</v>
      </c>
      <c r="J14" s="88"/>
      <c r="K14" s="88"/>
      <c r="L14" s="88"/>
      <c r="M14" s="85"/>
      <c r="N14" s="83"/>
      <c r="O14" s="83"/>
      <c r="P14" s="76"/>
      <c r="Q14" s="88"/>
      <c r="R14" s="163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81"/>
      <c r="AH14" s="156"/>
      <c r="AI14" s="155"/>
      <c r="AJ14" s="157"/>
      <c r="AK14" s="155"/>
      <c r="AL14" s="56"/>
      <c r="AM14" s="126"/>
      <c r="AN14" s="34"/>
      <c r="AO14" s="7"/>
      <c r="AP14" s="7"/>
      <c r="AQ14" s="103"/>
    </row>
    <row r="15" spans="3:43" ht="18.75" x14ac:dyDescent="0.3">
      <c r="C15" s="102"/>
      <c r="D15" s="75" t="s">
        <v>104</v>
      </c>
      <c r="E15" s="154">
        <v>0.56999999999999995</v>
      </c>
      <c r="F15" s="88"/>
      <c r="G15" s="88"/>
      <c r="H15" s="84" t="s">
        <v>117</v>
      </c>
      <c r="I15" s="76" t="s">
        <v>54</v>
      </c>
      <c r="J15" s="88"/>
      <c r="K15" s="88"/>
      <c r="L15" s="88"/>
      <c r="M15" s="85"/>
      <c r="N15" s="83"/>
      <c r="O15" s="83"/>
      <c r="P15" s="76"/>
      <c r="Q15" s="88"/>
      <c r="R15" s="163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81"/>
      <c r="AH15" s="156"/>
      <c r="AI15" s="155"/>
      <c r="AJ15" s="157"/>
      <c r="AK15" s="155"/>
      <c r="AL15" s="56"/>
      <c r="AM15" s="126"/>
      <c r="AN15" s="34"/>
      <c r="AO15" s="7"/>
      <c r="AP15" s="7"/>
      <c r="AQ15" s="103"/>
    </row>
    <row r="16" spans="3:43" ht="18.75" x14ac:dyDescent="0.3">
      <c r="C16" s="102"/>
      <c r="D16" s="75" t="s">
        <v>105</v>
      </c>
      <c r="E16" s="154">
        <v>0.7</v>
      </c>
      <c r="F16" s="88"/>
      <c r="G16" s="88"/>
      <c r="H16" s="84" t="s">
        <v>101</v>
      </c>
      <c r="I16" s="76" t="s">
        <v>32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6"/>
      <c r="AI16" s="83"/>
      <c r="AJ16" s="76"/>
      <c r="AK16" s="83"/>
      <c r="AL16" s="158"/>
      <c r="AM16" s="126"/>
      <c r="AN16" s="76"/>
      <c r="AO16" s="7"/>
      <c r="AP16" s="7"/>
      <c r="AQ16" s="103"/>
    </row>
    <row r="17" spans="3:43" ht="18.75" x14ac:dyDescent="0.3">
      <c r="C17" s="102"/>
      <c r="D17" s="75" t="s">
        <v>106</v>
      </c>
      <c r="E17" s="76">
        <v>75</v>
      </c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6"/>
      <c r="AI17" s="83"/>
      <c r="AJ17" s="76"/>
      <c r="AK17" s="83"/>
      <c r="AL17" s="158"/>
      <c r="AM17" s="126"/>
      <c r="AN17" s="76"/>
      <c r="AO17" s="7"/>
      <c r="AP17" s="7"/>
      <c r="AQ17" s="103"/>
    </row>
    <row r="18" spans="3:43" ht="18.75" x14ac:dyDescent="0.3">
      <c r="C18" s="102"/>
      <c r="D18" s="77" t="s">
        <v>107</v>
      </c>
      <c r="E18" s="76">
        <v>75</v>
      </c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6"/>
      <c r="AI18" s="83"/>
      <c r="AJ18" s="76"/>
      <c r="AK18" s="83"/>
      <c r="AL18" s="158"/>
      <c r="AM18" s="126"/>
      <c r="AN18" s="76"/>
      <c r="AO18" s="7"/>
      <c r="AP18" s="7"/>
      <c r="AQ18" s="103"/>
    </row>
    <row r="19" spans="3:43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6"/>
      <c r="AI19" s="83"/>
      <c r="AJ19" s="76"/>
      <c r="AK19" s="83"/>
      <c r="AL19" s="158"/>
      <c r="AM19" s="126"/>
      <c r="AN19" s="76"/>
      <c r="AO19" s="7"/>
      <c r="AP19" s="7"/>
      <c r="AQ19" s="103"/>
    </row>
    <row r="20" spans="3:43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6"/>
      <c r="AI20" s="83"/>
      <c r="AJ20" s="76"/>
      <c r="AK20" s="83"/>
      <c r="AL20" s="158"/>
      <c r="AM20" s="126"/>
      <c r="AN20" s="76"/>
      <c r="AO20" s="7"/>
      <c r="AP20" s="7"/>
      <c r="AQ20" s="103"/>
    </row>
    <row r="21" spans="3:43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6"/>
      <c r="AI21" s="83"/>
      <c r="AJ21" s="76"/>
      <c r="AK21" s="83"/>
      <c r="AL21" s="158"/>
      <c r="AM21" s="126"/>
      <c r="AN21" s="76"/>
      <c r="AO21" s="7"/>
      <c r="AP21" s="7"/>
      <c r="AQ21" s="103"/>
    </row>
    <row r="22" spans="3:43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6"/>
      <c r="AI22" s="83"/>
      <c r="AJ22" s="76"/>
      <c r="AK22" s="83"/>
      <c r="AL22" s="158"/>
      <c r="AM22" s="126"/>
      <c r="AN22" s="76"/>
      <c r="AO22" s="7"/>
      <c r="AP22" s="7"/>
      <c r="AQ22" s="103"/>
    </row>
    <row r="23" spans="3:43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6"/>
      <c r="AI23" s="83"/>
      <c r="AJ23" s="76"/>
      <c r="AK23" s="83"/>
      <c r="AL23" s="158"/>
      <c r="AM23" s="126"/>
      <c r="AN23" s="76"/>
      <c r="AO23" s="7"/>
      <c r="AP23" s="7"/>
      <c r="AQ23" s="103"/>
    </row>
    <row r="24" spans="3:43" ht="18.75" x14ac:dyDescent="0.3">
      <c r="C24" s="102"/>
      <c r="D24" s="193" t="s">
        <v>135</v>
      </c>
      <c r="E24" s="76">
        <v>0.46</v>
      </c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6"/>
      <c r="AI24" s="83"/>
      <c r="AJ24" s="76"/>
      <c r="AK24" s="83"/>
      <c r="AL24" s="158"/>
      <c r="AM24" s="126"/>
      <c r="AN24" s="76"/>
      <c r="AO24" s="7"/>
      <c r="AP24" s="7"/>
      <c r="AQ24" s="103"/>
    </row>
    <row r="25" spans="3:43" ht="18.75" x14ac:dyDescent="0.3">
      <c r="C25" s="102"/>
      <c r="D25" s="193" t="s">
        <v>136</v>
      </c>
      <c r="E25" s="76">
        <v>60000</v>
      </c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156"/>
      <c r="AI25" s="83"/>
      <c r="AJ25" s="76"/>
      <c r="AK25" s="83"/>
      <c r="AL25" s="158"/>
      <c r="AM25" s="126"/>
      <c r="AN25" s="76"/>
      <c r="AO25" s="7"/>
      <c r="AP25" s="7"/>
      <c r="AQ25" s="103"/>
    </row>
    <row r="26" spans="3:43" ht="19.5" thickBot="1" x14ac:dyDescent="0.35">
      <c r="C26" s="102"/>
      <c r="D26" s="194" t="s">
        <v>139</v>
      </c>
      <c r="E26" s="76" t="s">
        <v>138</v>
      </c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3"/>
      <c r="AC26" s="184"/>
      <c r="AD26" s="184"/>
      <c r="AE26" s="184"/>
      <c r="AF26" s="185"/>
      <c r="AG26" s="181"/>
      <c r="AH26" s="156"/>
      <c r="AI26" s="83"/>
      <c r="AJ26" s="76"/>
      <c r="AK26" s="83"/>
      <c r="AL26" s="158"/>
      <c r="AM26" s="126"/>
      <c r="AN26" s="76"/>
      <c r="AO26" s="7"/>
      <c r="AP26" s="7"/>
      <c r="AQ26" s="103"/>
    </row>
    <row r="27" spans="3:43" ht="19.5" thickBot="1" x14ac:dyDescent="0.35">
      <c r="C27" s="102"/>
      <c r="D27" s="195"/>
      <c r="E27" s="79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1"/>
      <c r="AC27" s="181"/>
      <c r="AD27" s="181"/>
      <c r="AE27" s="181"/>
      <c r="AF27" s="181"/>
      <c r="AG27" s="181"/>
      <c r="AH27" s="196"/>
      <c r="AI27" s="162"/>
      <c r="AJ27" s="79"/>
      <c r="AK27" s="83"/>
      <c r="AL27" s="161"/>
      <c r="AM27" s="198"/>
      <c r="AN27" s="79"/>
      <c r="AO27" s="7"/>
      <c r="AP27" s="7"/>
      <c r="AQ27" s="103"/>
    </row>
    <row r="28" spans="3:43" ht="15.75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1"/>
      <c r="AI28" s="7"/>
      <c r="AJ28" s="7"/>
      <c r="AK28" s="7"/>
      <c r="AL28" s="7"/>
      <c r="AM28" s="12"/>
      <c r="AN28" s="7"/>
      <c r="AO28" s="7"/>
      <c r="AP28" s="7"/>
      <c r="AQ28" s="103"/>
    </row>
    <row r="29" spans="3:43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1"/>
      <c r="AI29" s="7"/>
      <c r="AJ29" s="7"/>
      <c r="AK29" s="7"/>
      <c r="AL29" s="7"/>
      <c r="AM29" s="12"/>
      <c r="AN29" s="7"/>
      <c r="AO29" s="7"/>
      <c r="AP29" s="7"/>
      <c r="AQ29" s="103"/>
    </row>
    <row r="30" spans="3:43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1"/>
      <c r="AI30" s="7"/>
      <c r="AJ30" s="7"/>
      <c r="AK30" s="7"/>
      <c r="AL30" s="7"/>
      <c r="AM30" s="12"/>
      <c r="AN30" s="7"/>
      <c r="AO30" s="7"/>
      <c r="AP30" s="7"/>
      <c r="AQ30" s="103"/>
    </row>
    <row r="31" spans="3:4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7"/>
      <c r="AI31" s="7"/>
      <c r="AJ31" s="7"/>
      <c r="AK31" s="7"/>
      <c r="AL31" s="7"/>
      <c r="AM31" s="7"/>
      <c r="AN31" s="7"/>
      <c r="AO31" s="7"/>
      <c r="AP31" s="7"/>
      <c r="AQ31" s="103"/>
    </row>
    <row r="32" spans="3:43" x14ac:dyDescent="0.25">
      <c r="C32" s="102"/>
      <c r="D32" s="7"/>
      <c r="E32" s="7"/>
      <c r="F32" s="13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7"/>
      <c r="AI32" s="7"/>
      <c r="AJ32" s="7"/>
      <c r="AK32" s="7"/>
      <c r="AL32" s="7"/>
      <c r="AM32" s="7"/>
      <c r="AN32" s="7"/>
      <c r="AO32" s="7"/>
      <c r="AP32" s="7"/>
      <c r="AQ32" s="103"/>
    </row>
    <row r="33" spans="3:43" x14ac:dyDescent="0.25">
      <c r="C33" s="102"/>
      <c r="D33" s="7"/>
      <c r="E33" s="7"/>
      <c r="F33" s="7"/>
      <c r="G33" s="7"/>
      <c r="H33" s="131"/>
      <c r="I33" s="7"/>
      <c r="J33" s="7"/>
      <c r="K33" s="7"/>
      <c r="L33" s="48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7"/>
      <c r="AI33" s="7"/>
      <c r="AJ33" s="7"/>
      <c r="AK33" s="7"/>
      <c r="AL33" s="7"/>
      <c r="AM33" s="7"/>
      <c r="AN33" s="7"/>
      <c r="AO33" s="7"/>
      <c r="AP33" s="7"/>
      <c r="AQ33" s="103"/>
    </row>
    <row r="34" spans="3:43" x14ac:dyDescent="0.25">
      <c r="C34" s="102"/>
      <c r="D34" s="7"/>
      <c r="E34" s="7"/>
      <c r="F34" s="134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7"/>
      <c r="AI34" s="7"/>
      <c r="AJ34" s="7"/>
      <c r="AK34" s="7"/>
      <c r="AL34" s="7"/>
      <c r="AM34" s="7"/>
      <c r="AN34" s="7"/>
      <c r="AO34" s="7"/>
      <c r="AP34" s="7"/>
      <c r="AQ34" s="103"/>
    </row>
    <row r="35" spans="3:4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7"/>
      <c r="AI35" s="7"/>
      <c r="AJ35" s="7"/>
      <c r="AK35" s="7"/>
      <c r="AL35" s="7"/>
      <c r="AM35" s="7"/>
      <c r="AN35" s="7"/>
      <c r="AO35" s="7"/>
      <c r="AP35" s="7"/>
      <c r="AQ35" s="103"/>
    </row>
    <row r="36" spans="3:4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7"/>
      <c r="AI36" s="7"/>
      <c r="AJ36" s="7"/>
      <c r="AK36" s="7"/>
      <c r="AL36" s="7"/>
      <c r="AM36" s="7"/>
      <c r="AN36" s="7"/>
      <c r="AO36" s="7"/>
      <c r="AP36" s="7"/>
      <c r="AQ36" s="103"/>
    </row>
    <row r="37" spans="3:43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7"/>
      <c r="AI37" s="7"/>
      <c r="AJ37" s="7"/>
      <c r="AK37" s="7"/>
      <c r="AL37" s="7"/>
      <c r="AM37" s="7"/>
      <c r="AN37" s="7"/>
      <c r="AO37" s="7"/>
      <c r="AP37" s="7"/>
      <c r="AQ37" s="103"/>
    </row>
    <row r="38" spans="3:43" x14ac:dyDescent="0.25">
      <c r="C38" s="102"/>
      <c r="D38" s="7"/>
      <c r="E38" s="7"/>
      <c r="F38" s="7"/>
      <c r="G38" s="7"/>
      <c r="H38" s="7"/>
      <c r="I38" s="7"/>
      <c r="J38" s="7"/>
      <c r="K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7"/>
      <c r="AI38" s="7"/>
      <c r="AJ38" s="7"/>
      <c r="AK38" s="7"/>
      <c r="AL38" s="7"/>
      <c r="AM38" s="7"/>
      <c r="AN38" s="7"/>
      <c r="AO38" s="7"/>
      <c r="AP38" s="7"/>
      <c r="AQ38" s="103"/>
    </row>
    <row r="39" spans="3:4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7"/>
      <c r="AI39" s="7"/>
      <c r="AJ39" s="7"/>
      <c r="AK39" s="7"/>
      <c r="AL39" s="7"/>
      <c r="AM39" s="7"/>
      <c r="AN39" s="7"/>
      <c r="AO39" s="7"/>
      <c r="AP39" s="7"/>
      <c r="AQ39" s="103"/>
    </row>
    <row r="40" spans="3:4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7"/>
      <c r="AI40" s="7"/>
      <c r="AJ40" s="7"/>
      <c r="AK40" s="7"/>
      <c r="AL40" s="7"/>
      <c r="AM40" s="7"/>
      <c r="AN40" s="7"/>
      <c r="AO40" s="7"/>
      <c r="AP40" s="7"/>
      <c r="AQ40" s="103"/>
    </row>
    <row r="41" spans="3:4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7"/>
      <c r="AI41" s="7"/>
      <c r="AJ41" s="7"/>
      <c r="AK41" s="7"/>
      <c r="AL41" s="7"/>
      <c r="AM41" s="7"/>
      <c r="AN41" s="7"/>
      <c r="AO41" s="7"/>
      <c r="AP41" s="7"/>
      <c r="AQ41" s="103"/>
    </row>
    <row r="42" spans="3:4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7"/>
      <c r="AI42" s="7"/>
      <c r="AJ42" s="7"/>
      <c r="AK42" s="7"/>
      <c r="AL42" s="7"/>
      <c r="AM42" s="7"/>
      <c r="AN42" s="7"/>
      <c r="AO42" s="7"/>
      <c r="AP42" s="7"/>
      <c r="AQ42" s="103"/>
    </row>
    <row r="43" spans="3:4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7"/>
      <c r="AI43" s="7"/>
      <c r="AJ43" s="7"/>
      <c r="AK43" s="7"/>
      <c r="AL43" s="7"/>
      <c r="AM43" s="7"/>
      <c r="AN43" s="7"/>
      <c r="AO43" s="7"/>
      <c r="AP43" s="7"/>
      <c r="AQ43" s="103"/>
    </row>
    <row r="44" spans="3:4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7"/>
      <c r="AI44" s="7"/>
      <c r="AJ44" s="7"/>
      <c r="AK44" s="7"/>
      <c r="AL44" s="7"/>
      <c r="AM44" s="7"/>
      <c r="AN44" s="7"/>
      <c r="AO44" s="7"/>
      <c r="AP44" s="7"/>
      <c r="AQ44" s="103"/>
    </row>
    <row r="45" spans="3:4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7"/>
      <c r="AI45" s="7"/>
      <c r="AJ45" s="7"/>
      <c r="AK45" s="7"/>
      <c r="AL45" s="7"/>
      <c r="AM45" s="7"/>
      <c r="AN45" s="7"/>
      <c r="AO45" s="7"/>
      <c r="AP45" s="7"/>
      <c r="AQ45" s="103"/>
    </row>
    <row r="46" spans="3:4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7"/>
      <c r="AI46" s="7"/>
      <c r="AJ46" s="7"/>
      <c r="AK46" s="7"/>
      <c r="AL46" s="7"/>
      <c r="AM46" s="7"/>
      <c r="AN46" s="7"/>
      <c r="AO46" s="7"/>
      <c r="AP46" s="7"/>
      <c r="AQ46" s="103"/>
    </row>
    <row r="47" spans="3:43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7"/>
      <c r="AI47" s="7"/>
      <c r="AJ47" s="7"/>
      <c r="AK47" s="7"/>
      <c r="AL47" s="7"/>
      <c r="AM47" s="7"/>
      <c r="AN47" s="7"/>
      <c r="AO47" s="7"/>
      <c r="AP47" s="7"/>
      <c r="AQ47" s="103"/>
    </row>
    <row r="48" spans="3:43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7"/>
      <c r="AI48" s="7"/>
      <c r="AJ48" s="7"/>
      <c r="AK48" s="7"/>
      <c r="AL48" s="7"/>
      <c r="AM48" s="7"/>
      <c r="AN48" s="7"/>
      <c r="AO48" s="7"/>
      <c r="AP48" s="7"/>
      <c r="AQ48" s="103"/>
    </row>
    <row r="49" spans="3:43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7"/>
      <c r="AI49" s="7"/>
      <c r="AJ49" s="7"/>
      <c r="AK49" s="7"/>
      <c r="AL49" s="7"/>
      <c r="AM49" s="7"/>
      <c r="AN49" s="7"/>
      <c r="AO49" s="7"/>
      <c r="AP49" s="7"/>
      <c r="AQ49" s="103"/>
    </row>
    <row r="50" spans="3:43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7"/>
      <c r="AI50" s="7"/>
      <c r="AJ50" s="7"/>
      <c r="AK50" s="7"/>
      <c r="AL50" s="7"/>
      <c r="AM50" s="7"/>
      <c r="AN50" s="7"/>
      <c r="AO50" s="7"/>
      <c r="AP50" s="7"/>
      <c r="AQ50" s="103"/>
    </row>
    <row r="51" spans="3:43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7"/>
      <c r="AI51" s="7"/>
      <c r="AJ51" s="7"/>
      <c r="AK51" s="7"/>
      <c r="AL51" s="7"/>
      <c r="AM51" s="7"/>
      <c r="AN51" s="7"/>
      <c r="AO51" s="7"/>
      <c r="AP51" s="7"/>
      <c r="AQ51" s="103"/>
    </row>
    <row r="52" spans="3:43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7"/>
      <c r="AI52" s="7"/>
      <c r="AJ52" s="7"/>
      <c r="AK52" s="7"/>
      <c r="AL52" s="7"/>
      <c r="AM52" s="7"/>
      <c r="AN52" s="7"/>
      <c r="AO52" s="7"/>
      <c r="AP52" s="7"/>
      <c r="AQ52" s="103"/>
    </row>
    <row r="53" spans="3:43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7"/>
      <c r="AI53" s="7"/>
      <c r="AJ53" s="7"/>
      <c r="AK53" s="7"/>
      <c r="AL53" s="7"/>
      <c r="AM53" s="7"/>
      <c r="AN53" s="7"/>
      <c r="AO53" s="7"/>
      <c r="AP53" s="7"/>
      <c r="AQ53" s="103"/>
    </row>
    <row r="54" spans="3:43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7"/>
      <c r="AI54" s="7"/>
      <c r="AJ54" s="7"/>
      <c r="AK54" s="7"/>
      <c r="AL54" s="7"/>
      <c r="AM54" s="7"/>
      <c r="AN54" s="7"/>
      <c r="AO54" s="7"/>
      <c r="AP54" s="7"/>
      <c r="AQ54" s="103"/>
    </row>
    <row r="55" spans="3:43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7"/>
      <c r="AI55" s="7"/>
      <c r="AJ55" s="7"/>
      <c r="AK55" s="7"/>
      <c r="AL55" s="7"/>
      <c r="AM55" s="7"/>
      <c r="AN55" s="7"/>
      <c r="AO55" s="7"/>
      <c r="AP55" s="7"/>
      <c r="AQ55" s="103"/>
    </row>
    <row r="56" spans="3:43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7"/>
      <c r="AI56" s="7"/>
      <c r="AJ56" s="7"/>
      <c r="AK56" s="7"/>
      <c r="AL56" s="7"/>
      <c r="AM56" s="7"/>
      <c r="AN56" s="7"/>
      <c r="AO56" s="7"/>
      <c r="AP56" s="7"/>
      <c r="AQ56" s="103"/>
    </row>
    <row r="57" spans="3:43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7"/>
      <c r="AI57" s="7"/>
      <c r="AJ57" s="7"/>
      <c r="AK57" s="7"/>
      <c r="AL57" s="7"/>
      <c r="AM57" s="7"/>
      <c r="AN57" s="7"/>
      <c r="AO57" s="7"/>
      <c r="AP57" s="7"/>
      <c r="AQ57" s="103"/>
    </row>
    <row r="58" spans="3:43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7"/>
      <c r="AI58" s="7"/>
      <c r="AJ58" s="7"/>
      <c r="AK58" s="7"/>
      <c r="AL58" s="7"/>
      <c r="AM58" s="7"/>
      <c r="AN58" s="7"/>
      <c r="AO58" s="7"/>
      <c r="AP58" s="7"/>
      <c r="AQ58" s="103"/>
    </row>
    <row r="59" spans="3:43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7"/>
      <c r="AI59" s="7"/>
      <c r="AJ59" s="7"/>
      <c r="AK59" s="7"/>
      <c r="AL59" s="7"/>
      <c r="AM59" s="7"/>
      <c r="AN59" s="7"/>
      <c r="AO59" s="7"/>
      <c r="AP59" s="7"/>
      <c r="AQ59" s="103"/>
    </row>
    <row r="60" spans="3:43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7"/>
      <c r="AI60" s="7"/>
      <c r="AJ60" s="7"/>
      <c r="AK60" s="7"/>
      <c r="AL60" s="7"/>
      <c r="AM60" s="7"/>
      <c r="AN60" s="7"/>
      <c r="AO60" s="7"/>
      <c r="AP60" s="7"/>
      <c r="AQ60" s="103"/>
    </row>
    <row r="61" spans="3:43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7"/>
      <c r="AI61" s="7"/>
      <c r="AJ61" s="7"/>
      <c r="AK61" s="7"/>
      <c r="AL61" s="7"/>
      <c r="AM61" s="7"/>
      <c r="AN61" s="7"/>
      <c r="AO61" s="7"/>
      <c r="AP61" s="7"/>
      <c r="AQ61" s="103"/>
    </row>
    <row r="62" spans="3:43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7"/>
      <c r="AI62" s="7"/>
      <c r="AJ62" s="7"/>
      <c r="AK62" s="7"/>
      <c r="AL62" s="7"/>
      <c r="AM62" s="7"/>
      <c r="AN62" s="7"/>
      <c r="AO62" s="7"/>
      <c r="AP62" s="7"/>
      <c r="AQ62" s="103"/>
    </row>
    <row r="63" spans="3:43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7"/>
      <c r="AI63" s="7"/>
      <c r="AJ63" s="7"/>
      <c r="AK63" s="7"/>
      <c r="AL63" s="7"/>
      <c r="AM63" s="7"/>
      <c r="AN63" s="7"/>
      <c r="AO63" s="7"/>
      <c r="AP63" s="7"/>
      <c r="AQ63" s="103"/>
    </row>
    <row r="64" spans="3:43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7"/>
      <c r="AI64" s="7"/>
      <c r="AJ64" s="7"/>
      <c r="AK64" s="7"/>
      <c r="AL64" s="7"/>
      <c r="AM64" s="7"/>
      <c r="AN64" s="7"/>
      <c r="AO64" s="7"/>
      <c r="AP64" s="7"/>
      <c r="AQ64" s="103"/>
    </row>
    <row r="65" spans="3:43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7"/>
      <c r="AI65" s="7"/>
      <c r="AJ65" s="7"/>
      <c r="AK65" s="7"/>
      <c r="AL65" s="7"/>
      <c r="AM65" s="7"/>
      <c r="AN65" s="7"/>
      <c r="AO65" s="7"/>
      <c r="AP65" s="7"/>
      <c r="AQ65" s="103"/>
    </row>
    <row r="66" spans="3:43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7"/>
      <c r="AI66" s="7"/>
      <c r="AJ66" s="7"/>
      <c r="AK66" s="7"/>
      <c r="AL66" s="7"/>
      <c r="AM66" s="7"/>
      <c r="AN66" s="7"/>
      <c r="AO66" s="7"/>
      <c r="AP66" s="7"/>
      <c r="AQ66" s="103"/>
    </row>
    <row r="67" spans="3:43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7"/>
      <c r="AI67" s="7"/>
      <c r="AJ67" s="7"/>
      <c r="AK67" s="7"/>
      <c r="AL67" s="7"/>
      <c r="AM67" s="7"/>
      <c r="AN67" s="7"/>
      <c r="AO67" s="7"/>
      <c r="AP67" s="7"/>
      <c r="AQ67" s="103"/>
    </row>
    <row r="68" spans="3:43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7"/>
      <c r="AI68" s="7"/>
      <c r="AJ68" s="7"/>
      <c r="AK68" s="7"/>
      <c r="AL68" s="7"/>
      <c r="AM68" s="7"/>
      <c r="AN68" s="7"/>
      <c r="AO68" s="7"/>
      <c r="AP68" s="7"/>
      <c r="AQ68" s="103"/>
    </row>
    <row r="69" spans="3:43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7"/>
      <c r="AI69" s="7"/>
      <c r="AJ69" s="7"/>
      <c r="AK69" s="7"/>
      <c r="AL69" s="7"/>
      <c r="AM69" s="7"/>
      <c r="AN69" s="7"/>
      <c r="AO69" s="7"/>
      <c r="AP69" s="7"/>
      <c r="AQ69" s="103"/>
    </row>
    <row r="70" spans="3:43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04"/>
      <c r="AI70" s="104"/>
      <c r="AJ70" s="104"/>
      <c r="AK70" s="104"/>
      <c r="AL70" s="104"/>
      <c r="AM70" s="104"/>
      <c r="AN70" s="104"/>
      <c r="AO70" s="104"/>
      <c r="AP70" s="104"/>
      <c r="AQ70" s="70"/>
    </row>
    <row r="71" spans="3:43" x14ac:dyDescent="0.25">
      <c r="AM71" s="7"/>
      <c r="AN71" s="7"/>
    </row>
    <row r="95" spans="4:4" x14ac:dyDescent="0.25">
      <c r="D95" s="3" t="s">
        <v>49</v>
      </c>
    </row>
    <row r="119" spans="18:18" x14ac:dyDescent="0.25">
      <c r="R119" s="3" t="s">
        <v>49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T12 AC10:AC24 AE10:AE24 T10 T14:T24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Q1" zoomScale="75" zoomScaleNormal="42" workbookViewId="0">
      <selection activeCell="Y38" sqref="Y3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4.140625" style="3" customWidth="1"/>
    <col min="5" max="5" width="21" style="3" customWidth="1"/>
    <col min="6" max="6" width="15.28515625" style="3" customWidth="1"/>
    <col min="7" max="7" width="6.28515625" style="3" customWidth="1"/>
    <col min="8" max="8" width="24.7109375" style="3" customWidth="1"/>
    <col min="9" max="11" width="15.28515625" style="3" customWidth="1"/>
    <col min="12" max="12" width="4.28515625" style="3" customWidth="1"/>
    <col min="13" max="13" width="27.85546875" style="3" customWidth="1"/>
    <col min="14" max="14" width="15.28515625" style="3" customWidth="1"/>
    <col min="15" max="15" width="31.28515625" style="3" customWidth="1"/>
    <col min="16" max="16" width="33.85546875" style="3" customWidth="1"/>
    <col min="17" max="18" width="15.28515625" style="3" customWidth="1"/>
    <col min="19" max="19" width="22.42578125" style="3" customWidth="1"/>
    <col min="20" max="20" width="24.28515625" style="3" customWidth="1"/>
    <col min="21" max="22" width="10.85546875" style="3"/>
    <col min="23" max="23" width="17.28515625" style="3" customWidth="1"/>
    <col min="24" max="24" width="29.42578125" style="3" customWidth="1"/>
    <col min="25" max="25" width="25.28515625" style="3" customWidth="1"/>
    <col min="26" max="26" width="29.85546875" style="3" customWidth="1"/>
    <col min="27" max="28" width="10.85546875" style="3"/>
    <col min="29" max="29" width="34.140625" style="3" customWidth="1"/>
    <col min="30" max="30" width="24.7109375" style="3" customWidth="1"/>
    <col min="31" max="31" width="30.85546875" style="3" customWidth="1"/>
    <col min="32" max="32" width="73.28515625" style="3" customWidth="1"/>
    <col min="33" max="33" width="10.85546875" style="3"/>
    <col min="34" max="34" width="22" style="3" customWidth="1"/>
    <col min="35" max="36" width="22.7109375" style="3" customWidth="1"/>
    <col min="37" max="37" width="10.85546875" style="3"/>
    <col min="38" max="38" width="27" style="3" customWidth="1"/>
    <col min="39" max="39" width="21.85546875" style="3" customWidth="1"/>
    <col min="40" max="40" width="26.140625" style="3" customWidth="1"/>
    <col min="41" max="16384" width="10.85546875" style="3"/>
  </cols>
  <sheetData>
    <row r="1" spans="3:45" ht="10.5" customHeight="1" thickBot="1" x14ac:dyDescent="0.3">
      <c r="AH1" s="7"/>
      <c r="AI1" s="7"/>
      <c r="AJ1" s="7"/>
      <c r="AK1" s="7"/>
      <c r="AL1" s="7"/>
      <c r="AM1" s="7"/>
      <c r="AN1" s="7"/>
      <c r="AO1" s="7"/>
      <c r="AP1" s="7"/>
    </row>
    <row r="2" spans="3:45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13"/>
      <c r="AJ2" s="113"/>
      <c r="AK2" s="113"/>
      <c r="AL2" s="113"/>
      <c r="AM2" s="113"/>
      <c r="AN2" s="113"/>
      <c r="AO2" s="113"/>
      <c r="AP2" s="124"/>
    </row>
    <row r="3" spans="3:45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7"/>
      <c r="AJ3" s="7"/>
      <c r="AK3" s="7"/>
      <c r="AL3" s="7"/>
      <c r="AM3" s="7"/>
      <c r="AN3" s="7"/>
      <c r="AO3" s="7"/>
      <c r="AP3" s="103"/>
    </row>
    <row r="4" spans="3:45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7"/>
      <c r="AJ4" s="7"/>
      <c r="AK4" s="7"/>
      <c r="AL4" s="7"/>
      <c r="AM4" s="7"/>
      <c r="AN4" s="7"/>
      <c r="AO4" s="7"/>
      <c r="AP4" s="103"/>
    </row>
    <row r="5" spans="3:45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7"/>
      <c r="AJ5" s="7"/>
      <c r="AK5" s="7"/>
      <c r="AL5" s="7"/>
      <c r="AM5" s="7"/>
      <c r="AN5" s="7"/>
      <c r="AO5" s="7"/>
      <c r="AP5" s="103"/>
    </row>
    <row r="6" spans="3:45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27"/>
      <c r="AK6" s="127"/>
      <c r="AL6" s="127"/>
      <c r="AM6" s="127"/>
      <c r="AN6" s="127"/>
      <c r="AO6" s="7"/>
      <c r="AP6" s="103"/>
    </row>
    <row r="7" spans="3:45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7"/>
      <c r="AI7" s="7"/>
      <c r="AJ7" s="7"/>
      <c r="AK7" s="7"/>
      <c r="AL7" s="7"/>
      <c r="AM7" s="7"/>
      <c r="AN7" s="7"/>
      <c r="AO7" s="7"/>
      <c r="AP7" s="103"/>
    </row>
    <row r="8" spans="3:45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3"/>
      <c r="AH8" s="550" t="s">
        <v>11</v>
      </c>
      <c r="AI8" s="551"/>
      <c r="AJ8" s="552"/>
      <c r="AK8" s="126"/>
      <c r="AL8" s="136" t="s">
        <v>12</v>
      </c>
      <c r="AM8" s="553"/>
      <c r="AN8" s="552"/>
      <c r="AO8" s="7"/>
      <c r="AP8" s="103"/>
    </row>
    <row r="9" spans="3:45" ht="21.75" thickBot="1" x14ac:dyDescent="0.4">
      <c r="C9" s="102"/>
      <c r="D9" s="148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247" t="s">
        <v>13</v>
      </c>
      <c r="AI9" s="248" t="s">
        <v>14</v>
      </c>
      <c r="AJ9" s="249" t="s">
        <v>1</v>
      </c>
      <c r="AK9" s="125"/>
      <c r="AL9" s="247" t="s">
        <v>15</v>
      </c>
      <c r="AM9" s="248" t="s">
        <v>16</v>
      </c>
      <c r="AN9" s="249" t="s">
        <v>17</v>
      </c>
      <c r="AO9" s="7"/>
      <c r="AP9" s="103"/>
    </row>
    <row r="10" spans="3:45" ht="18.75" x14ac:dyDescent="0.3">
      <c r="C10" s="102"/>
      <c r="D10" s="73" t="s">
        <v>2</v>
      </c>
      <c r="E10" s="150" t="s">
        <v>55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153">
        <v>25.5</v>
      </c>
      <c r="O10" s="153">
        <v>14.7</v>
      </c>
      <c r="P10" s="76"/>
      <c r="Q10" s="88"/>
      <c r="R10" s="163"/>
      <c r="S10" s="152">
        <v>2110</v>
      </c>
      <c r="T10" s="153" t="s">
        <v>32</v>
      </c>
      <c r="U10" s="154">
        <v>0.999</v>
      </c>
      <c r="V10" s="155"/>
      <c r="W10" s="152">
        <v>111</v>
      </c>
      <c r="X10" s="83">
        <v>2110</v>
      </c>
      <c r="Y10" s="153">
        <v>999</v>
      </c>
      <c r="Z10" s="154"/>
      <c r="AA10" s="83"/>
      <c r="AB10" s="187"/>
      <c r="AC10" s="186"/>
      <c r="AD10" s="186"/>
      <c r="AE10" s="186"/>
      <c r="AF10" s="188"/>
      <c r="AG10" s="181"/>
      <c r="AH10" s="152" t="s">
        <v>9</v>
      </c>
      <c r="AI10" s="153">
        <v>1</v>
      </c>
      <c r="AJ10" s="154">
        <v>0.89</v>
      </c>
      <c r="AK10" s="155"/>
      <c r="AL10" s="152">
        <v>1</v>
      </c>
      <c r="AM10" s="199" t="s">
        <v>30</v>
      </c>
      <c r="AN10" s="200">
        <v>1</v>
      </c>
      <c r="AO10" s="7"/>
      <c r="AP10" s="103"/>
      <c r="AQ10" s="7"/>
      <c r="AR10" s="7"/>
      <c r="AS10" s="7"/>
    </row>
    <row r="11" spans="3:45" ht="18.75" x14ac:dyDescent="0.3">
      <c r="C11" s="102"/>
      <c r="D11" s="75" t="s">
        <v>4</v>
      </c>
      <c r="E11" s="154">
        <v>2300</v>
      </c>
      <c r="F11" s="88"/>
      <c r="G11" s="88"/>
      <c r="H11" s="75" t="s">
        <v>113</v>
      </c>
      <c r="I11" s="154">
        <v>2.9359000000000002</v>
      </c>
      <c r="J11" s="88"/>
      <c r="K11" s="88"/>
      <c r="L11" s="88"/>
      <c r="M11" s="84" t="s">
        <v>122</v>
      </c>
      <c r="N11" s="153" t="s">
        <v>27</v>
      </c>
      <c r="O11" s="153" t="s">
        <v>27</v>
      </c>
      <c r="P11" s="76"/>
      <c r="Q11" s="88"/>
      <c r="R11" s="163"/>
      <c r="S11" s="152">
        <v>2110</v>
      </c>
      <c r="T11" s="153" t="s">
        <v>9</v>
      </c>
      <c r="U11" s="154">
        <v>2E-3</v>
      </c>
      <c r="V11" s="155"/>
      <c r="W11" s="158"/>
      <c r="X11" s="83"/>
      <c r="Y11" s="155"/>
      <c r="Z11" s="157"/>
      <c r="AA11" s="83"/>
      <c r="AB11" s="156"/>
      <c r="AC11" s="83"/>
      <c r="AD11" s="155"/>
      <c r="AE11" s="83"/>
      <c r="AF11" s="157"/>
      <c r="AG11" s="181"/>
      <c r="AH11" s="152" t="s">
        <v>30</v>
      </c>
      <c r="AI11" s="153">
        <v>1</v>
      </c>
      <c r="AJ11" s="154">
        <v>-1</v>
      </c>
      <c r="AK11" s="155"/>
      <c r="AL11" s="156"/>
      <c r="AM11" s="126"/>
      <c r="AN11" s="137"/>
      <c r="AO11" s="7"/>
      <c r="AP11" s="103"/>
      <c r="AQ11" s="7"/>
      <c r="AR11" s="7"/>
      <c r="AS11" s="7"/>
    </row>
    <row r="12" spans="3:45" ht="18.75" x14ac:dyDescent="0.3">
      <c r="C12" s="102"/>
      <c r="D12" s="75" t="s">
        <v>90</v>
      </c>
      <c r="E12" s="154" t="s">
        <v>47</v>
      </c>
      <c r="F12" s="88"/>
      <c r="G12" s="88"/>
      <c r="H12" s="75" t="s">
        <v>114</v>
      </c>
      <c r="I12" s="154">
        <v>1</v>
      </c>
      <c r="J12" s="88"/>
      <c r="K12" s="88"/>
      <c r="L12" s="88"/>
      <c r="M12" s="84" t="s">
        <v>123</v>
      </c>
      <c r="N12" s="153" t="s">
        <v>32</v>
      </c>
      <c r="O12" s="153" t="s">
        <v>32</v>
      </c>
      <c r="P12" s="76"/>
      <c r="Q12" s="88"/>
      <c r="R12" s="163"/>
      <c r="S12" s="187">
        <v>999</v>
      </c>
      <c r="T12" s="186" t="s">
        <v>9</v>
      </c>
      <c r="U12" s="188">
        <v>0.998</v>
      </c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81"/>
      <c r="AH12" s="152" t="s">
        <v>32</v>
      </c>
      <c r="AI12" s="153">
        <v>1</v>
      </c>
      <c r="AJ12" s="154">
        <v>0.11</v>
      </c>
      <c r="AK12" s="155"/>
      <c r="AL12" s="156"/>
      <c r="AM12" s="126"/>
      <c r="AN12" s="137"/>
      <c r="AO12" s="7"/>
      <c r="AP12" s="103"/>
      <c r="AQ12" s="7"/>
      <c r="AR12" s="7"/>
      <c r="AS12" s="7"/>
    </row>
    <row r="13" spans="3:45" ht="18.75" x14ac:dyDescent="0.3">
      <c r="C13" s="102"/>
      <c r="D13" s="75" t="s">
        <v>102</v>
      </c>
      <c r="E13" s="154"/>
      <c r="F13" s="88"/>
      <c r="G13" s="88"/>
      <c r="H13" s="75" t="s">
        <v>115</v>
      </c>
      <c r="I13" s="154">
        <v>0.89029999999999998</v>
      </c>
      <c r="J13" s="88"/>
      <c r="K13" s="88"/>
      <c r="L13" s="88"/>
      <c r="M13" s="84"/>
      <c r="N13" s="83"/>
      <c r="O13" s="83"/>
      <c r="P13" s="76"/>
      <c r="Q13" s="88"/>
      <c r="R13" s="163"/>
      <c r="S13" s="180">
        <v>999</v>
      </c>
      <c r="T13" s="181" t="s">
        <v>32</v>
      </c>
      <c r="U13" s="182">
        <v>1E-3</v>
      </c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81"/>
      <c r="AH13" s="156"/>
      <c r="AI13" s="155"/>
      <c r="AJ13" s="157"/>
      <c r="AK13" s="155"/>
      <c r="AL13" s="56"/>
      <c r="AM13" s="126"/>
      <c r="AN13" s="34"/>
      <c r="AO13" s="7"/>
      <c r="AP13" s="103"/>
      <c r="AQ13" s="7"/>
      <c r="AR13" s="7"/>
      <c r="AS13" s="7"/>
    </row>
    <row r="14" spans="3:45" ht="18.75" x14ac:dyDescent="0.3">
      <c r="C14" s="102"/>
      <c r="D14" s="75" t="s">
        <v>103</v>
      </c>
      <c r="E14" s="154">
        <v>20</v>
      </c>
      <c r="F14" s="88"/>
      <c r="G14" s="88"/>
      <c r="H14" s="75" t="s">
        <v>116</v>
      </c>
      <c r="I14" s="154">
        <v>2018</v>
      </c>
      <c r="J14" s="88"/>
      <c r="K14" s="88"/>
      <c r="L14" s="88"/>
      <c r="M14" s="85"/>
      <c r="N14" s="83"/>
      <c r="O14" s="83"/>
      <c r="P14" s="76"/>
      <c r="Q14" s="88"/>
      <c r="R14" s="163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81"/>
      <c r="AH14" s="156"/>
      <c r="AI14" s="155"/>
      <c r="AJ14" s="157"/>
      <c r="AK14" s="155"/>
      <c r="AL14" s="56"/>
      <c r="AM14" s="126"/>
      <c r="AN14" s="34"/>
      <c r="AO14" s="7"/>
      <c r="AP14" s="103"/>
      <c r="AQ14" s="7"/>
      <c r="AR14" s="7"/>
      <c r="AS14" s="7"/>
    </row>
    <row r="15" spans="3:45" ht="18.75" x14ac:dyDescent="0.3">
      <c r="C15" s="102"/>
      <c r="D15" s="75" t="s">
        <v>104</v>
      </c>
      <c r="E15" s="154">
        <v>0.56999999999999995</v>
      </c>
      <c r="F15" s="88"/>
      <c r="G15" s="88"/>
      <c r="H15" s="84" t="s">
        <v>117</v>
      </c>
      <c r="I15" s="76" t="s">
        <v>54</v>
      </c>
      <c r="J15" s="88"/>
      <c r="K15" s="88"/>
      <c r="L15" s="88"/>
      <c r="M15" s="85"/>
      <c r="N15" s="83"/>
      <c r="O15" s="83"/>
      <c r="P15" s="76"/>
      <c r="Q15" s="88"/>
      <c r="R15" s="163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81"/>
      <c r="AH15" s="156"/>
      <c r="AI15" s="155"/>
      <c r="AJ15" s="157"/>
      <c r="AK15" s="155"/>
      <c r="AL15" s="56"/>
      <c r="AM15" s="126"/>
      <c r="AN15" s="34"/>
      <c r="AO15" s="7"/>
      <c r="AP15" s="103"/>
      <c r="AQ15" s="7"/>
      <c r="AR15" s="7"/>
      <c r="AS15" s="7"/>
    </row>
    <row r="16" spans="3:45" ht="18.75" x14ac:dyDescent="0.3">
      <c r="C16" s="102"/>
      <c r="D16" s="75" t="s">
        <v>105</v>
      </c>
      <c r="E16" s="154">
        <v>0.7</v>
      </c>
      <c r="F16" s="88"/>
      <c r="G16" s="88"/>
      <c r="H16" s="84" t="s">
        <v>101</v>
      </c>
      <c r="I16" s="76" t="s">
        <v>32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6"/>
      <c r="AI16" s="83"/>
      <c r="AJ16" s="76"/>
      <c r="AK16" s="83"/>
      <c r="AL16" s="158"/>
      <c r="AM16" s="126"/>
      <c r="AN16" s="76"/>
      <c r="AO16" s="7"/>
      <c r="AP16" s="103"/>
      <c r="AQ16" s="7"/>
      <c r="AR16" s="7"/>
      <c r="AS16" s="7"/>
    </row>
    <row r="17" spans="3:45" ht="18.75" x14ac:dyDescent="0.3">
      <c r="C17" s="102"/>
      <c r="D17" s="75" t="s">
        <v>106</v>
      </c>
      <c r="E17" s="76">
        <v>550</v>
      </c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6"/>
      <c r="AI17" s="83"/>
      <c r="AJ17" s="76"/>
      <c r="AK17" s="83"/>
      <c r="AL17" s="158"/>
      <c r="AM17" s="126"/>
      <c r="AN17" s="76"/>
      <c r="AO17" s="7"/>
      <c r="AP17" s="103"/>
      <c r="AQ17" s="7"/>
      <c r="AR17" s="7"/>
      <c r="AS17" s="7"/>
    </row>
    <row r="18" spans="3:45" ht="18.75" x14ac:dyDescent="0.3">
      <c r="C18" s="102"/>
      <c r="D18" s="77" t="s">
        <v>107</v>
      </c>
      <c r="E18" s="76">
        <v>550</v>
      </c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6"/>
      <c r="AI18" s="83"/>
      <c r="AJ18" s="76"/>
      <c r="AK18" s="83"/>
      <c r="AL18" s="158"/>
      <c r="AM18" s="126"/>
      <c r="AN18" s="76"/>
      <c r="AO18" s="7"/>
      <c r="AP18" s="103"/>
      <c r="AQ18" s="7"/>
      <c r="AR18" s="7"/>
      <c r="AS18" s="7"/>
    </row>
    <row r="19" spans="3:45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6"/>
      <c r="AI19" s="83"/>
      <c r="AJ19" s="76"/>
      <c r="AK19" s="83"/>
      <c r="AL19" s="158"/>
      <c r="AM19" s="126"/>
      <c r="AN19" s="76"/>
      <c r="AO19" s="7"/>
      <c r="AP19" s="103"/>
      <c r="AQ19" s="7"/>
      <c r="AR19" s="7"/>
      <c r="AS19" s="7"/>
    </row>
    <row r="20" spans="3:45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6"/>
      <c r="AI20" s="83"/>
      <c r="AJ20" s="76"/>
      <c r="AK20" s="83"/>
      <c r="AL20" s="158"/>
      <c r="AM20" s="126"/>
      <c r="AN20" s="76"/>
      <c r="AO20" s="7"/>
      <c r="AP20" s="103"/>
      <c r="AQ20" s="7"/>
      <c r="AR20" s="7"/>
      <c r="AS20" s="7"/>
    </row>
    <row r="21" spans="3:45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6"/>
      <c r="AI21" s="83"/>
      <c r="AJ21" s="76"/>
      <c r="AK21" s="83"/>
      <c r="AL21" s="158"/>
      <c r="AM21" s="126"/>
      <c r="AN21" s="76"/>
      <c r="AO21" s="7"/>
      <c r="AP21" s="103"/>
      <c r="AQ21" s="7"/>
      <c r="AR21" s="7"/>
      <c r="AS21" s="7"/>
    </row>
    <row r="22" spans="3:45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6"/>
      <c r="AI22" s="83"/>
      <c r="AJ22" s="76"/>
      <c r="AK22" s="83"/>
      <c r="AL22" s="158"/>
      <c r="AM22" s="126"/>
      <c r="AN22" s="76"/>
      <c r="AO22" s="7"/>
      <c r="AP22" s="103"/>
      <c r="AQ22" s="7"/>
      <c r="AR22" s="7"/>
      <c r="AS22" s="7"/>
    </row>
    <row r="23" spans="3:45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6"/>
      <c r="AI23" s="83"/>
      <c r="AJ23" s="76"/>
      <c r="AK23" s="83"/>
      <c r="AL23" s="158"/>
      <c r="AM23" s="126"/>
      <c r="AN23" s="76"/>
      <c r="AO23" s="7"/>
      <c r="AP23" s="103"/>
      <c r="AQ23" s="7"/>
      <c r="AR23" s="7"/>
      <c r="AS23" s="7"/>
    </row>
    <row r="24" spans="3:45" ht="18.75" x14ac:dyDescent="0.3">
      <c r="C24" s="102"/>
      <c r="D24" s="193" t="s">
        <v>135</v>
      </c>
      <c r="E24" s="76">
        <v>0.4</v>
      </c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6"/>
      <c r="AI24" s="83"/>
      <c r="AJ24" s="76"/>
      <c r="AK24" s="83"/>
      <c r="AL24" s="158"/>
      <c r="AM24" s="126"/>
      <c r="AN24" s="76"/>
      <c r="AO24" s="7"/>
      <c r="AP24" s="103"/>
      <c r="AQ24" s="7"/>
      <c r="AR24" s="7"/>
      <c r="AS24" s="7"/>
    </row>
    <row r="25" spans="3:45" ht="18.75" x14ac:dyDescent="0.3">
      <c r="C25" s="102"/>
      <c r="D25" s="193" t="s">
        <v>136</v>
      </c>
      <c r="E25" s="76">
        <v>40000</v>
      </c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156"/>
      <c r="AI25" s="83"/>
      <c r="AJ25" s="76"/>
      <c r="AK25" s="83"/>
      <c r="AL25" s="158"/>
      <c r="AM25" s="126"/>
      <c r="AN25" s="76"/>
      <c r="AO25" s="7"/>
      <c r="AP25" s="103"/>
      <c r="AQ25" s="7"/>
      <c r="AR25" s="7"/>
      <c r="AS25" s="7"/>
    </row>
    <row r="26" spans="3:45" ht="18.75" x14ac:dyDescent="0.3">
      <c r="C26" s="102"/>
      <c r="D26" s="194" t="s">
        <v>139</v>
      </c>
      <c r="E26" s="76" t="s">
        <v>138</v>
      </c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81"/>
      <c r="AH26" s="156"/>
      <c r="AI26" s="83"/>
      <c r="AJ26" s="76"/>
      <c r="AK26" s="83"/>
      <c r="AL26" s="158"/>
      <c r="AM26" s="126"/>
      <c r="AN26" s="76"/>
      <c r="AO26" s="7"/>
      <c r="AP26" s="103"/>
      <c r="AQ26" s="7"/>
      <c r="AR26" s="7"/>
      <c r="AS26" s="7"/>
    </row>
    <row r="27" spans="3:45" ht="19.5" thickBot="1" x14ac:dyDescent="0.35">
      <c r="C27" s="102"/>
      <c r="D27" s="195"/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81"/>
      <c r="AH27" s="196"/>
      <c r="AI27" s="162"/>
      <c r="AJ27" s="79"/>
      <c r="AK27" s="83"/>
      <c r="AL27" s="161"/>
      <c r="AM27" s="198"/>
      <c r="AN27" s="79"/>
      <c r="AO27" s="7"/>
      <c r="AP27" s="103"/>
      <c r="AQ27" s="7"/>
      <c r="AR27" s="7"/>
      <c r="AS27" s="7"/>
    </row>
    <row r="28" spans="3:45" ht="18.75" x14ac:dyDescent="0.3">
      <c r="C28" s="102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8"/>
      <c r="AI28" s="88"/>
      <c r="AJ28" s="88"/>
      <c r="AK28" s="88"/>
      <c r="AL28" s="88"/>
      <c r="AM28" s="8"/>
      <c r="AN28" s="88"/>
      <c r="AO28" s="7"/>
      <c r="AP28" s="103"/>
      <c r="AQ28" s="7"/>
      <c r="AR28" s="7"/>
      <c r="AS28" s="7"/>
    </row>
    <row r="29" spans="3:45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1"/>
      <c r="AI29" s="7"/>
      <c r="AJ29" s="7"/>
      <c r="AK29" s="7"/>
      <c r="AL29" s="7"/>
      <c r="AM29" s="12"/>
      <c r="AN29" s="7"/>
      <c r="AO29" s="7"/>
      <c r="AP29" s="103"/>
      <c r="AQ29" s="7"/>
      <c r="AR29" s="7"/>
      <c r="AS29" s="7"/>
    </row>
    <row r="30" spans="3:45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1"/>
      <c r="AI30" s="7"/>
      <c r="AJ30" s="7"/>
      <c r="AK30" s="7"/>
      <c r="AL30" s="7"/>
      <c r="AM30" s="12"/>
      <c r="AN30" s="7"/>
      <c r="AO30" s="7"/>
      <c r="AP30" s="103"/>
      <c r="AQ30" s="7"/>
      <c r="AR30" s="7"/>
      <c r="AS30" s="7"/>
    </row>
    <row r="31" spans="3:45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7"/>
      <c r="AJ31" s="7"/>
      <c r="AK31" s="7"/>
      <c r="AL31" s="7"/>
      <c r="AM31" s="7"/>
      <c r="AN31" s="7"/>
      <c r="AO31" s="7"/>
      <c r="AP31" s="103"/>
      <c r="AQ31" s="7"/>
      <c r="AR31" s="7"/>
      <c r="AS31" s="7"/>
    </row>
    <row r="32" spans="3:45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7"/>
      <c r="AJ32" s="7"/>
      <c r="AK32" s="7"/>
      <c r="AL32" s="7"/>
      <c r="AM32" s="7"/>
      <c r="AN32" s="7"/>
      <c r="AO32" s="7"/>
      <c r="AP32" s="103"/>
      <c r="AQ32" s="7"/>
      <c r="AR32" s="7"/>
      <c r="AS32" s="7"/>
    </row>
    <row r="33" spans="3:45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7"/>
      <c r="AJ33" s="7"/>
      <c r="AK33" s="7"/>
      <c r="AL33" s="7"/>
      <c r="AM33" s="7"/>
      <c r="AN33" s="7"/>
      <c r="AO33" s="7"/>
      <c r="AP33" s="103"/>
      <c r="AQ33" s="7"/>
      <c r="AR33" s="7"/>
      <c r="AS33" s="7"/>
    </row>
    <row r="34" spans="3:45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7"/>
      <c r="AJ34" s="7"/>
      <c r="AK34" s="7"/>
      <c r="AL34" s="7"/>
      <c r="AM34" s="7"/>
      <c r="AN34" s="7"/>
      <c r="AO34" s="7"/>
      <c r="AP34" s="103"/>
      <c r="AQ34" s="7"/>
      <c r="AR34" s="7"/>
      <c r="AS34" s="7"/>
    </row>
    <row r="35" spans="3:45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7"/>
      <c r="AJ35" s="7"/>
      <c r="AK35" s="7"/>
      <c r="AL35" s="7"/>
      <c r="AM35" s="7"/>
      <c r="AN35" s="7"/>
      <c r="AO35" s="7"/>
      <c r="AP35" s="103"/>
      <c r="AQ35" s="7"/>
      <c r="AR35" s="7"/>
      <c r="AS35" s="7"/>
    </row>
    <row r="36" spans="3:45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7"/>
      <c r="AJ36" s="7"/>
      <c r="AK36" s="7"/>
      <c r="AL36" s="7"/>
      <c r="AM36" s="7"/>
      <c r="AN36" s="7"/>
      <c r="AO36" s="7"/>
      <c r="AP36" s="103"/>
      <c r="AQ36" s="7"/>
      <c r="AR36" s="7"/>
      <c r="AS36" s="7"/>
    </row>
    <row r="37" spans="3:45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7"/>
      <c r="AJ37" s="7"/>
      <c r="AK37" s="7"/>
      <c r="AL37" s="7"/>
      <c r="AM37" s="7"/>
      <c r="AN37" s="7"/>
      <c r="AO37" s="7"/>
      <c r="AP37" s="103"/>
      <c r="AQ37" s="7"/>
      <c r="AR37" s="7"/>
      <c r="AS37" s="7"/>
    </row>
    <row r="38" spans="3:45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7"/>
      <c r="AJ38" s="7"/>
      <c r="AK38" s="7"/>
      <c r="AL38" s="7"/>
      <c r="AM38" s="7"/>
      <c r="AN38" s="7"/>
      <c r="AO38" s="7"/>
      <c r="AP38" s="103"/>
      <c r="AQ38" s="7"/>
      <c r="AR38" s="7"/>
      <c r="AS38" s="7"/>
    </row>
    <row r="39" spans="3:45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7"/>
      <c r="AJ39" s="7"/>
      <c r="AK39" s="7"/>
      <c r="AL39" s="7"/>
      <c r="AM39" s="7"/>
      <c r="AN39" s="7"/>
      <c r="AO39" s="7"/>
      <c r="AP39" s="103"/>
      <c r="AQ39" s="7"/>
      <c r="AR39" s="7"/>
      <c r="AS39" s="7"/>
    </row>
    <row r="40" spans="3:45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7"/>
      <c r="AJ40" s="7"/>
      <c r="AK40" s="7"/>
      <c r="AL40" s="7"/>
      <c r="AM40" s="7"/>
      <c r="AN40" s="7"/>
      <c r="AO40" s="7"/>
      <c r="AP40" s="103"/>
      <c r="AQ40" s="7"/>
      <c r="AR40" s="7"/>
      <c r="AS40" s="7"/>
    </row>
    <row r="41" spans="3:45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7"/>
      <c r="AJ41" s="7"/>
      <c r="AK41" s="7"/>
      <c r="AL41" s="7"/>
      <c r="AM41" s="7"/>
      <c r="AN41" s="7"/>
      <c r="AO41" s="7"/>
      <c r="AP41" s="103"/>
      <c r="AQ41" s="7"/>
      <c r="AR41" s="7"/>
      <c r="AS41" s="7"/>
    </row>
    <row r="42" spans="3:45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7"/>
      <c r="AJ42" s="7"/>
      <c r="AK42" s="7"/>
      <c r="AL42" s="7"/>
      <c r="AM42" s="7"/>
      <c r="AN42" s="7"/>
      <c r="AO42" s="7"/>
      <c r="AP42" s="103"/>
      <c r="AQ42" s="7"/>
      <c r="AR42" s="7"/>
      <c r="AS42" s="7"/>
    </row>
    <row r="43" spans="3:45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7"/>
      <c r="AJ43" s="7"/>
      <c r="AK43" s="7"/>
      <c r="AL43" s="7"/>
      <c r="AM43" s="7"/>
      <c r="AN43" s="7"/>
      <c r="AO43" s="7"/>
      <c r="AP43" s="103"/>
      <c r="AQ43" s="7"/>
      <c r="AR43" s="7"/>
      <c r="AS43" s="7"/>
    </row>
    <row r="44" spans="3:45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7"/>
      <c r="AJ44" s="7"/>
      <c r="AK44" s="7"/>
      <c r="AL44" s="7"/>
      <c r="AM44" s="7"/>
      <c r="AN44" s="7"/>
      <c r="AO44" s="7"/>
      <c r="AP44" s="103"/>
      <c r="AQ44" s="7"/>
      <c r="AR44" s="7"/>
      <c r="AS44" s="7"/>
    </row>
    <row r="45" spans="3:45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7"/>
      <c r="AJ45" s="7"/>
      <c r="AK45" s="7"/>
      <c r="AL45" s="7"/>
      <c r="AM45" s="7"/>
      <c r="AN45" s="7"/>
      <c r="AO45" s="7"/>
      <c r="AP45" s="103"/>
      <c r="AQ45" s="7"/>
      <c r="AR45" s="7"/>
      <c r="AS45" s="7"/>
    </row>
    <row r="46" spans="3:45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7"/>
      <c r="AJ46" s="7"/>
      <c r="AK46" s="7"/>
      <c r="AL46" s="7"/>
      <c r="AM46" s="7"/>
      <c r="AN46" s="7"/>
      <c r="AO46" s="7"/>
      <c r="AP46" s="103"/>
      <c r="AQ46" s="7"/>
      <c r="AR46" s="7"/>
      <c r="AS46" s="7"/>
    </row>
    <row r="47" spans="3:45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7"/>
      <c r="AJ47" s="7"/>
      <c r="AK47" s="7"/>
      <c r="AL47" s="7"/>
      <c r="AM47" s="7"/>
      <c r="AN47" s="7"/>
      <c r="AO47" s="7"/>
      <c r="AP47" s="103"/>
      <c r="AQ47" s="7"/>
      <c r="AR47" s="7"/>
      <c r="AS47" s="7"/>
    </row>
    <row r="48" spans="3:45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7"/>
      <c r="AJ48" s="7"/>
      <c r="AK48" s="7"/>
      <c r="AL48" s="7"/>
      <c r="AM48" s="7"/>
      <c r="AN48" s="7"/>
      <c r="AO48" s="7"/>
      <c r="AP48" s="103"/>
      <c r="AQ48" s="7"/>
      <c r="AR48" s="7"/>
      <c r="AS48" s="7"/>
    </row>
    <row r="49" spans="3:45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7"/>
      <c r="AJ49" s="7"/>
      <c r="AK49" s="7"/>
      <c r="AL49" s="7"/>
      <c r="AM49" s="7"/>
      <c r="AN49" s="7"/>
      <c r="AO49" s="7"/>
      <c r="AP49" s="103"/>
      <c r="AQ49" s="7"/>
      <c r="AR49" s="7"/>
      <c r="AS49" s="7"/>
    </row>
    <row r="50" spans="3:45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7"/>
      <c r="AJ50" s="7"/>
      <c r="AK50" s="7"/>
      <c r="AL50" s="7"/>
      <c r="AM50" s="7"/>
      <c r="AN50" s="7"/>
      <c r="AO50" s="7"/>
      <c r="AP50" s="103"/>
      <c r="AQ50" s="7"/>
      <c r="AR50" s="7"/>
      <c r="AS50" s="7"/>
    </row>
    <row r="51" spans="3:45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7"/>
      <c r="AJ51" s="7"/>
      <c r="AK51" s="7"/>
      <c r="AL51" s="7"/>
      <c r="AM51" s="7"/>
      <c r="AN51" s="7"/>
      <c r="AO51" s="7"/>
      <c r="AP51" s="103"/>
      <c r="AQ51" s="7"/>
      <c r="AR51" s="7"/>
      <c r="AS51" s="7"/>
    </row>
    <row r="52" spans="3:45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7"/>
      <c r="AJ52" s="7"/>
      <c r="AK52" s="7"/>
      <c r="AL52" s="7"/>
      <c r="AM52" s="7"/>
      <c r="AN52" s="7"/>
      <c r="AO52" s="7"/>
      <c r="AP52" s="103"/>
      <c r="AQ52" s="7"/>
      <c r="AR52" s="7"/>
      <c r="AS52" s="7"/>
    </row>
    <row r="53" spans="3:45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7"/>
      <c r="AJ53" s="7"/>
      <c r="AK53" s="7"/>
      <c r="AL53" s="7"/>
      <c r="AM53" s="7"/>
      <c r="AN53" s="7"/>
      <c r="AO53" s="7"/>
      <c r="AP53" s="103"/>
      <c r="AQ53" s="7"/>
      <c r="AR53" s="7"/>
      <c r="AS53" s="7"/>
    </row>
    <row r="54" spans="3:45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7"/>
      <c r="AJ54" s="7"/>
      <c r="AK54" s="7"/>
      <c r="AL54" s="7"/>
      <c r="AM54" s="7"/>
      <c r="AN54" s="7"/>
      <c r="AO54" s="7"/>
      <c r="AP54" s="103"/>
      <c r="AQ54" s="7"/>
      <c r="AR54" s="7"/>
      <c r="AS54" s="7"/>
    </row>
    <row r="55" spans="3:45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7"/>
      <c r="AJ55" s="7"/>
      <c r="AK55" s="7"/>
      <c r="AL55" s="7"/>
      <c r="AM55" s="7"/>
      <c r="AN55" s="7"/>
      <c r="AO55" s="7"/>
      <c r="AP55" s="103"/>
      <c r="AQ55" s="7"/>
      <c r="AR55" s="7"/>
      <c r="AS55" s="7"/>
    </row>
    <row r="56" spans="3:45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7"/>
      <c r="AJ56" s="7"/>
      <c r="AK56" s="7"/>
      <c r="AL56" s="7"/>
      <c r="AM56" s="7"/>
      <c r="AN56" s="7"/>
      <c r="AO56" s="7"/>
      <c r="AP56" s="103"/>
      <c r="AQ56" s="7"/>
      <c r="AR56" s="7"/>
      <c r="AS56" s="7"/>
    </row>
    <row r="57" spans="3:45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7"/>
      <c r="AJ57" s="7"/>
      <c r="AK57" s="7"/>
      <c r="AL57" s="7"/>
      <c r="AM57" s="7"/>
      <c r="AN57" s="7"/>
      <c r="AO57" s="7"/>
      <c r="AP57" s="103"/>
      <c r="AQ57" s="7"/>
      <c r="AR57" s="7"/>
      <c r="AS57" s="7"/>
    </row>
    <row r="58" spans="3:45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7"/>
      <c r="AJ58" s="7"/>
      <c r="AK58" s="7"/>
      <c r="AL58" s="7"/>
      <c r="AM58" s="7"/>
      <c r="AN58" s="7"/>
      <c r="AO58" s="7"/>
      <c r="AP58" s="103"/>
      <c r="AQ58" s="7"/>
      <c r="AR58" s="7"/>
      <c r="AS58" s="7"/>
    </row>
    <row r="59" spans="3:45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7"/>
      <c r="AJ59" s="7"/>
      <c r="AK59" s="7"/>
      <c r="AL59" s="7"/>
      <c r="AM59" s="7"/>
      <c r="AN59" s="7"/>
      <c r="AO59" s="7"/>
      <c r="AP59" s="103"/>
      <c r="AQ59" s="7"/>
      <c r="AR59" s="7"/>
      <c r="AS59" s="7"/>
    </row>
    <row r="60" spans="3:45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7"/>
      <c r="AJ60" s="7"/>
      <c r="AK60" s="7"/>
      <c r="AL60" s="7"/>
      <c r="AM60" s="7"/>
      <c r="AN60" s="7"/>
      <c r="AO60" s="7"/>
      <c r="AP60" s="103"/>
      <c r="AQ60" s="7"/>
      <c r="AR60" s="7"/>
      <c r="AS60" s="7"/>
    </row>
    <row r="61" spans="3:45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7"/>
      <c r="AJ61" s="7"/>
      <c r="AK61" s="7"/>
      <c r="AL61" s="7"/>
      <c r="AM61" s="7"/>
      <c r="AN61" s="7"/>
      <c r="AO61" s="7"/>
      <c r="AP61" s="103"/>
      <c r="AQ61" s="7"/>
      <c r="AR61" s="7"/>
      <c r="AS61" s="7"/>
    </row>
    <row r="62" spans="3:45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7"/>
      <c r="AJ62" s="7"/>
      <c r="AK62" s="7"/>
      <c r="AL62" s="7"/>
      <c r="AM62" s="7"/>
      <c r="AN62" s="7"/>
      <c r="AO62" s="7"/>
      <c r="AP62" s="103"/>
      <c r="AQ62" s="7"/>
      <c r="AR62" s="7"/>
      <c r="AS62" s="7"/>
    </row>
    <row r="63" spans="3:45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7"/>
      <c r="AJ63" s="7"/>
      <c r="AK63" s="7"/>
      <c r="AL63" s="7"/>
      <c r="AM63" s="7"/>
      <c r="AN63" s="7"/>
      <c r="AO63" s="7"/>
      <c r="AP63" s="103"/>
      <c r="AQ63" s="7"/>
      <c r="AR63" s="7"/>
      <c r="AS63" s="7"/>
    </row>
    <row r="64" spans="3:45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7"/>
      <c r="AJ64" s="7"/>
      <c r="AK64" s="7"/>
      <c r="AL64" s="7"/>
      <c r="AM64" s="7"/>
      <c r="AN64" s="7"/>
      <c r="AO64" s="7"/>
      <c r="AP64" s="103"/>
      <c r="AQ64" s="7"/>
      <c r="AR64" s="7"/>
      <c r="AS64" s="7"/>
    </row>
    <row r="65" spans="3:45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7"/>
      <c r="AJ65" s="7"/>
      <c r="AK65" s="7"/>
      <c r="AL65" s="7"/>
      <c r="AM65" s="7"/>
      <c r="AN65" s="7"/>
      <c r="AO65" s="7"/>
      <c r="AP65" s="103"/>
      <c r="AQ65" s="7"/>
      <c r="AR65" s="7"/>
      <c r="AS65" s="7"/>
    </row>
    <row r="66" spans="3:45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7"/>
      <c r="AJ66" s="7"/>
      <c r="AK66" s="7"/>
      <c r="AL66" s="7"/>
      <c r="AM66" s="7"/>
      <c r="AN66" s="7"/>
      <c r="AO66" s="7"/>
      <c r="AP66" s="103"/>
      <c r="AQ66" s="7"/>
      <c r="AR66" s="7"/>
      <c r="AS66" s="7"/>
    </row>
    <row r="67" spans="3:45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7"/>
      <c r="AJ67" s="7"/>
      <c r="AK67" s="7"/>
      <c r="AL67" s="7"/>
      <c r="AM67" s="7"/>
      <c r="AN67" s="7"/>
      <c r="AO67" s="7"/>
      <c r="AP67" s="103"/>
      <c r="AQ67" s="7"/>
      <c r="AR67" s="7"/>
      <c r="AS67" s="7"/>
    </row>
    <row r="68" spans="3:45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7"/>
      <c r="AJ68" s="7"/>
      <c r="AK68" s="7"/>
      <c r="AL68" s="7"/>
      <c r="AM68" s="7"/>
      <c r="AN68" s="7"/>
      <c r="AO68" s="7"/>
      <c r="AP68" s="103"/>
      <c r="AQ68" s="7"/>
      <c r="AR68" s="7"/>
      <c r="AS68" s="7"/>
    </row>
    <row r="69" spans="3:45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7"/>
      <c r="AJ69" s="7"/>
      <c r="AK69" s="7"/>
      <c r="AL69" s="7"/>
      <c r="AM69" s="7"/>
      <c r="AN69" s="7"/>
      <c r="AO69" s="7"/>
      <c r="AP69" s="103"/>
      <c r="AQ69" s="7"/>
      <c r="AR69" s="7"/>
      <c r="AS69" s="7"/>
    </row>
    <row r="70" spans="3:45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04"/>
      <c r="AJ70" s="104"/>
      <c r="AK70" s="104"/>
      <c r="AL70" s="104"/>
      <c r="AM70" s="104"/>
      <c r="AN70" s="104"/>
      <c r="AO70" s="104"/>
      <c r="AP70" s="70"/>
      <c r="AQ70" s="7"/>
      <c r="AR70" s="7"/>
      <c r="AS70" s="7"/>
    </row>
    <row r="108" spans="4:4" x14ac:dyDescent="0.25">
      <c r="D108" s="3" t="s">
        <v>49</v>
      </c>
    </row>
    <row r="133" spans="18:18" x14ac:dyDescent="0.25">
      <c r="R133" s="3" t="s">
        <v>49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AC11:AC24 AE11:AE24 T14:T24 T10:T11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1DDE0-4680-B448-8ED4-0357255BB94A}">
  <sheetPr codeName="Tabelle12"/>
  <dimension ref="C1:AP147"/>
  <sheetViews>
    <sheetView topLeftCell="L1" zoomScale="80" zoomScaleNormal="80" workbookViewId="0">
      <selection activeCell="X11" sqref="X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4.28515625" style="3" bestFit="1" customWidth="1"/>
    <col min="5" max="5" width="21" style="3" bestFit="1" customWidth="1"/>
    <col min="6" max="6" width="15.28515625" style="3" customWidth="1"/>
    <col min="7" max="7" width="6.28515625" style="3" customWidth="1"/>
    <col min="8" max="11" width="15.28515625" style="3" customWidth="1"/>
    <col min="12" max="12" width="4.28515625" style="3" customWidth="1"/>
    <col min="13" max="18" width="15.28515625" style="3" customWidth="1"/>
    <col min="19" max="19" width="11.42578125" style="3" bestFit="1" customWidth="1"/>
    <col min="20" max="20" width="15.28515625" style="3" bestFit="1" customWidth="1"/>
    <col min="21" max="21" width="10.7109375" style="3" customWidth="1"/>
    <col min="22" max="22" width="10.85546875" style="3"/>
    <col min="23" max="23" width="12.28515625" style="3" customWidth="1"/>
    <col min="24" max="27" width="10.85546875" style="3"/>
    <col min="28" max="32" width="15.85546875" style="3" customWidth="1"/>
    <col min="33" max="33" width="10.85546875" style="3"/>
    <col min="34" max="36" width="15.42578125" style="3" customWidth="1"/>
    <col min="37" max="37" width="10.85546875" style="3"/>
    <col min="38" max="40" width="19.42578125" style="3" customWidth="1"/>
    <col min="41" max="16384" width="10.85546875" style="3"/>
  </cols>
  <sheetData>
    <row r="1" spans="3:42" ht="10.5" customHeight="1" thickBot="1" x14ac:dyDescent="0.3"/>
    <row r="2" spans="3:42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3"/>
      <c r="AK2" s="113"/>
      <c r="AL2" s="113"/>
      <c r="AM2" s="113"/>
      <c r="AN2" s="113"/>
      <c r="AO2" s="113"/>
      <c r="AP2" s="124"/>
    </row>
    <row r="3" spans="3:42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7"/>
      <c r="AK3" s="7"/>
      <c r="AL3" s="7"/>
      <c r="AM3" s="7"/>
      <c r="AN3" s="7"/>
      <c r="AO3" s="7"/>
      <c r="AP3" s="103"/>
    </row>
    <row r="4" spans="3:42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7"/>
      <c r="AK4" s="7"/>
      <c r="AL4" s="7"/>
      <c r="AM4" s="7"/>
      <c r="AN4" s="7"/>
      <c r="AO4" s="7"/>
      <c r="AP4" s="103"/>
    </row>
    <row r="5" spans="3:42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7"/>
      <c r="AK5" s="7"/>
      <c r="AL5" s="7"/>
      <c r="AM5" s="7"/>
      <c r="AN5" s="7"/>
      <c r="AO5" s="7"/>
      <c r="AP5" s="103"/>
    </row>
    <row r="6" spans="3:42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7"/>
      <c r="K6" s="7"/>
      <c r="L6" s="7"/>
      <c r="M6" s="549" t="s">
        <v>7</v>
      </c>
      <c r="N6" s="549"/>
      <c r="O6" s="549"/>
      <c r="P6" s="549"/>
      <c r="Q6" s="7"/>
      <c r="R6" s="13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7"/>
      <c r="AP6" s="103"/>
    </row>
    <row r="7" spans="3:42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7"/>
      <c r="AK7" s="7"/>
      <c r="AL7" s="7"/>
      <c r="AM7" s="7"/>
      <c r="AN7" s="7"/>
      <c r="AO7" s="7"/>
      <c r="AP7" s="103"/>
    </row>
    <row r="8" spans="3:42" ht="24" thickBot="1" x14ac:dyDescent="0.35">
      <c r="C8" s="102"/>
      <c r="D8" s="560" t="s">
        <v>147</v>
      </c>
      <c r="E8" s="561"/>
      <c r="F8" s="7"/>
      <c r="G8" s="7"/>
      <c r="H8" s="562" t="s">
        <v>148</v>
      </c>
      <c r="I8" s="563"/>
      <c r="J8" s="7"/>
      <c r="K8" s="7"/>
      <c r="L8" s="7"/>
      <c r="M8" s="564" t="s">
        <v>149</v>
      </c>
      <c r="N8" s="565"/>
      <c r="O8" s="565"/>
      <c r="P8" s="566"/>
      <c r="Q8" s="7"/>
      <c r="R8" s="13"/>
      <c r="S8" s="567" t="s">
        <v>150</v>
      </c>
      <c r="T8" s="568"/>
      <c r="U8" s="569"/>
      <c r="V8" s="217"/>
      <c r="W8" s="525" t="s">
        <v>197</v>
      </c>
      <c r="X8" s="526"/>
      <c r="Y8" s="526"/>
      <c r="Z8" s="527"/>
      <c r="AA8" s="13"/>
      <c r="AB8" s="567" t="s">
        <v>151</v>
      </c>
      <c r="AC8" s="568"/>
      <c r="AD8" s="568"/>
      <c r="AE8" s="568"/>
      <c r="AF8" s="569"/>
      <c r="AG8" s="13"/>
      <c r="AH8" s="554" t="s">
        <v>11</v>
      </c>
      <c r="AI8" s="555"/>
      <c r="AJ8" s="556"/>
      <c r="AK8" s="244"/>
      <c r="AL8" s="557" t="s">
        <v>12</v>
      </c>
      <c r="AM8" s="558"/>
      <c r="AN8" s="559"/>
      <c r="AO8" s="7"/>
      <c r="AP8" s="103"/>
    </row>
    <row r="9" spans="3:42" ht="21.75" thickBot="1" x14ac:dyDescent="0.3">
      <c r="C9" s="102"/>
      <c r="D9" s="253" t="s">
        <v>0</v>
      </c>
      <c r="E9" s="253" t="s">
        <v>199</v>
      </c>
      <c r="F9" s="7"/>
      <c r="G9" s="7"/>
      <c r="H9" s="257" t="s">
        <v>0</v>
      </c>
      <c r="I9" s="258" t="s">
        <v>1</v>
      </c>
      <c r="J9" s="7"/>
      <c r="K9" s="7"/>
      <c r="L9" s="7"/>
      <c r="M9" s="259" t="s">
        <v>0</v>
      </c>
      <c r="N9" s="260" t="s">
        <v>152</v>
      </c>
      <c r="O9" s="260" t="s">
        <v>153</v>
      </c>
      <c r="P9" s="260" t="s">
        <v>154</v>
      </c>
      <c r="Q9" s="7"/>
      <c r="R9" s="13"/>
      <c r="S9" s="264" t="s">
        <v>155</v>
      </c>
      <c r="T9" s="264" t="s">
        <v>156</v>
      </c>
      <c r="U9" s="264" t="s">
        <v>1</v>
      </c>
      <c r="V9" s="220"/>
      <c r="W9" s="100" t="s">
        <v>188</v>
      </c>
      <c r="X9" s="507"/>
      <c r="Y9" s="508"/>
      <c r="Z9" s="509"/>
      <c r="AA9" s="13"/>
      <c r="AB9" s="264" t="s">
        <v>158</v>
      </c>
      <c r="AC9" s="264" t="s">
        <v>159</v>
      </c>
      <c r="AD9" s="264" t="s">
        <v>8</v>
      </c>
      <c r="AE9" s="264" t="s">
        <v>160</v>
      </c>
      <c r="AF9" s="264" t="s">
        <v>161</v>
      </c>
      <c r="AG9" s="13"/>
      <c r="AH9" s="272" t="s">
        <v>13</v>
      </c>
      <c r="AI9" s="272" t="s">
        <v>14</v>
      </c>
      <c r="AJ9" s="272" t="s">
        <v>1</v>
      </c>
      <c r="AK9" s="241"/>
      <c r="AL9" s="272" t="s">
        <v>15</v>
      </c>
      <c r="AM9" s="272" t="s">
        <v>16</v>
      </c>
      <c r="AN9" s="272" t="s">
        <v>17</v>
      </c>
      <c r="AO9" s="7"/>
      <c r="AP9" s="103"/>
    </row>
    <row r="10" spans="3:42" ht="18.75" x14ac:dyDescent="0.3">
      <c r="C10" s="102"/>
      <c r="D10" s="250" t="s">
        <v>2</v>
      </c>
      <c r="E10" s="111" t="s">
        <v>248</v>
      </c>
      <c r="F10" s="7"/>
      <c r="G10" s="7"/>
      <c r="H10" s="251" t="s">
        <v>3</v>
      </c>
      <c r="I10" s="142"/>
      <c r="J10" s="7"/>
      <c r="K10" s="7"/>
      <c r="L10" s="7"/>
      <c r="M10" s="251" t="s">
        <v>162</v>
      </c>
      <c r="N10" s="141">
        <v>2.4012600000000002</v>
      </c>
      <c r="O10" s="141">
        <v>-2.1324999999999998</v>
      </c>
      <c r="P10" s="142"/>
      <c r="Q10" s="7"/>
      <c r="R10" s="13"/>
      <c r="S10" s="266">
        <v>3100</v>
      </c>
      <c r="T10" s="268" t="s">
        <v>32</v>
      </c>
      <c r="U10" s="265">
        <v>1</v>
      </c>
      <c r="V10" s="224"/>
      <c r="W10" s="152"/>
      <c r="X10" s="83">
        <v>3100</v>
      </c>
      <c r="Y10" s="153"/>
      <c r="Z10" s="154"/>
      <c r="AA10" s="7"/>
      <c r="AB10" s="270"/>
      <c r="AC10" s="7"/>
      <c r="AD10" s="240"/>
      <c r="AE10" s="7"/>
      <c r="AF10" s="271"/>
      <c r="AG10" s="13"/>
      <c r="AH10" s="273"/>
      <c r="AI10" s="230"/>
      <c r="AJ10" s="228"/>
      <c r="AK10" s="224"/>
      <c r="AL10" s="273"/>
      <c r="AM10" s="241"/>
      <c r="AN10" s="278"/>
      <c r="AO10" s="7"/>
      <c r="AP10" s="103"/>
    </row>
    <row r="11" spans="3:42" ht="18.75" x14ac:dyDescent="0.3">
      <c r="C11" s="102"/>
      <c r="D11" s="251" t="s">
        <v>4</v>
      </c>
      <c r="E11" s="142">
        <v>2110</v>
      </c>
      <c r="F11" s="7"/>
      <c r="G11" s="7"/>
      <c r="H11" s="251" t="s">
        <v>163</v>
      </c>
      <c r="I11" s="142">
        <v>17.0245</v>
      </c>
      <c r="J11" s="7"/>
      <c r="K11" s="7"/>
      <c r="L11" s="7"/>
      <c r="M11" s="251" t="s">
        <v>164</v>
      </c>
      <c r="N11" s="141" t="s">
        <v>26</v>
      </c>
      <c r="O11" s="141" t="s">
        <v>26</v>
      </c>
      <c r="P11" s="142"/>
      <c r="Q11" s="7"/>
      <c r="R11" s="13"/>
      <c r="S11" s="267">
        <v>3100</v>
      </c>
      <c r="T11" s="269" t="s">
        <v>9</v>
      </c>
      <c r="U11" s="147">
        <v>1</v>
      </c>
      <c r="V11" s="224"/>
      <c r="W11" s="158"/>
      <c r="X11" s="83"/>
      <c r="Y11" s="155"/>
      <c r="Z11" s="157"/>
      <c r="AA11" s="7"/>
      <c r="AB11" s="270"/>
      <c r="AC11" s="7"/>
      <c r="AD11" s="240"/>
      <c r="AE11" s="7"/>
      <c r="AF11" s="271"/>
      <c r="AG11" s="13"/>
      <c r="AH11" s="273"/>
      <c r="AI11" s="230"/>
      <c r="AJ11" s="228"/>
      <c r="AK11" s="224"/>
      <c r="AL11" s="273"/>
      <c r="AM11" s="241"/>
      <c r="AN11" s="278"/>
      <c r="AO11" s="7"/>
      <c r="AP11" s="103"/>
    </row>
    <row r="12" spans="3:42" ht="18.75" x14ac:dyDescent="0.3">
      <c r="C12" s="102"/>
      <c r="D12" s="251" t="s">
        <v>5</v>
      </c>
      <c r="E12" s="142"/>
      <c r="F12" s="7"/>
      <c r="G12" s="7"/>
      <c r="H12" s="251" t="s">
        <v>165</v>
      </c>
      <c r="I12" s="142">
        <v>4.09</v>
      </c>
      <c r="J12" s="7"/>
      <c r="K12" s="7"/>
      <c r="L12" s="7"/>
      <c r="M12" s="251" t="s">
        <v>157</v>
      </c>
      <c r="N12" s="141" t="s">
        <v>32</v>
      </c>
      <c r="O12" s="141" t="s">
        <v>32</v>
      </c>
      <c r="P12" s="142"/>
      <c r="Q12" s="7"/>
      <c r="R12" s="13"/>
      <c r="S12" s="266"/>
      <c r="T12" s="268"/>
      <c r="U12" s="265"/>
      <c r="V12" s="224"/>
      <c r="W12" s="158"/>
      <c r="X12" s="83"/>
      <c r="Y12" s="49"/>
      <c r="Z12" s="34"/>
      <c r="AA12" s="234"/>
      <c r="AB12" s="261"/>
      <c r="AC12" s="7"/>
      <c r="AD12" s="234"/>
      <c r="AE12" s="7"/>
      <c r="AF12" s="271"/>
      <c r="AG12" s="13"/>
      <c r="AH12" s="273"/>
      <c r="AI12" s="230"/>
      <c r="AJ12" s="228"/>
      <c r="AK12" s="224"/>
      <c r="AL12" s="273"/>
      <c r="AM12" s="241"/>
      <c r="AN12" s="278"/>
      <c r="AO12" s="7"/>
      <c r="AP12" s="103"/>
    </row>
    <row r="13" spans="3:42" ht="18.75" x14ac:dyDescent="0.3">
      <c r="C13" s="102"/>
      <c r="D13" s="251" t="s">
        <v>6</v>
      </c>
      <c r="E13" s="142"/>
      <c r="F13" s="7"/>
      <c r="G13" s="7"/>
      <c r="H13" s="251" t="s">
        <v>166</v>
      </c>
      <c r="I13" s="142">
        <v>0.67</v>
      </c>
      <c r="J13" s="7"/>
      <c r="K13" s="7"/>
      <c r="L13" s="7"/>
      <c r="M13" s="251" t="s">
        <v>157</v>
      </c>
      <c r="N13" s="141" t="s">
        <v>9</v>
      </c>
      <c r="O13" s="141" t="s">
        <v>9</v>
      </c>
      <c r="P13" s="142"/>
      <c r="Q13" s="7"/>
      <c r="R13" s="13"/>
      <c r="S13" s="267"/>
      <c r="T13" s="269"/>
      <c r="U13" s="147"/>
      <c r="V13" s="237"/>
      <c r="W13" s="158"/>
      <c r="X13" s="83"/>
      <c r="Y13" s="49"/>
      <c r="Z13" s="34"/>
      <c r="AA13" s="234"/>
      <c r="AB13" s="261"/>
      <c r="AC13" s="7"/>
      <c r="AD13" s="234"/>
      <c r="AE13" s="7"/>
      <c r="AF13" s="271"/>
      <c r="AG13" s="13"/>
      <c r="AH13" s="273"/>
      <c r="AI13" s="230"/>
      <c r="AJ13" s="228"/>
      <c r="AK13" s="224"/>
      <c r="AL13" s="273"/>
      <c r="AM13" s="241"/>
      <c r="AN13" s="228"/>
      <c r="AO13" s="7"/>
      <c r="AP13" s="103"/>
    </row>
    <row r="14" spans="3:42" ht="18.75" x14ac:dyDescent="0.3">
      <c r="C14" s="102"/>
      <c r="D14" s="251" t="s">
        <v>167</v>
      </c>
      <c r="E14" s="142">
        <v>25</v>
      </c>
      <c r="F14" s="7"/>
      <c r="G14" s="7"/>
      <c r="H14" s="251" t="s">
        <v>168</v>
      </c>
      <c r="I14" s="142">
        <v>2020</v>
      </c>
      <c r="J14" s="7"/>
      <c r="K14" s="7"/>
      <c r="L14" s="7"/>
      <c r="M14" s="102"/>
      <c r="N14" s="7"/>
      <c r="O14" s="7"/>
      <c r="P14" s="103"/>
      <c r="Q14" s="7"/>
      <c r="R14" s="13"/>
      <c r="S14" s="261"/>
      <c r="T14" s="7"/>
      <c r="U14" s="262"/>
      <c r="V14" s="237"/>
      <c r="W14" s="158"/>
      <c r="X14" s="83"/>
      <c r="Y14" s="49"/>
      <c r="Z14" s="34"/>
      <c r="AA14" s="234"/>
      <c r="AB14" s="261"/>
      <c r="AC14" s="7"/>
      <c r="AD14" s="234"/>
      <c r="AE14" s="7"/>
      <c r="AF14" s="271"/>
      <c r="AG14" s="13"/>
      <c r="AH14" s="273"/>
      <c r="AI14" s="230"/>
      <c r="AJ14" s="228"/>
      <c r="AK14" s="224"/>
      <c r="AL14" s="273"/>
      <c r="AM14" s="241"/>
      <c r="AN14" s="228"/>
      <c r="AO14" s="7"/>
      <c r="AP14" s="103"/>
    </row>
    <row r="15" spans="3:42" ht="18.75" x14ac:dyDescent="0.3">
      <c r="C15" s="102"/>
      <c r="D15" s="251" t="s">
        <v>169</v>
      </c>
      <c r="E15" s="142">
        <v>0.56999999999999995</v>
      </c>
      <c r="F15" s="7"/>
      <c r="G15" s="7"/>
      <c r="H15" s="251" t="s">
        <v>170</v>
      </c>
      <c r="I15" s="142" t="s">
        <v>26</v>
      </c>
      <c r="J15" s="7"/>
      <c r="K15" s="7"/>
      <c r="L15" s="7"/>
      <c r="M15" s="102"/>
      <c r="N15" s="7"/>
      <c r="O15" s="7"/>
      <c r="P15" s="103"/>
      <c r="Q15" s="7"/>
      <c r="R15" s="13"/>
      <c r="S15" s="261"/>
      <c r="T15" s="7"/>
      <c r="U15" s="263"/>
      <c r="V15" s="234"/>
      <c r="W15" s="158"/>
      <c r="X15" s="83"/>
      <c r="Y15" s="83"/>
      <c r="Z15" s="76"/>
      <c r="AA15" s="7"/>
      <c r="AB15" s="102"/>
      <c r="AC15" s="7"/>
      <c r="AD15" s="7"/>
      <c r="AE15" s="7"/>
      <c r="AF15" s="271"/>
      <c r="AG15" s="13"/>
      <c r="AH15" s="273"/>
      <c r="AI15" s="230"/>
      <c r="AJ15" s="228"/>
      <c r="AK15" s="224"/>
      <c r="AL15" s="273"/>
      <c r="AM15" s="241"/>
      <c r="AN15" s="228"/>
      <c r="AO15" s="7"/>
      <c r="AP15" s="103"/>
    </row>
    <row r="16" spans="3:42" ht="18.75" x14ac:dyDescent="0.3">
      <c r="C16" s="102"/>
      <c r="D16" s="251" t="s">
        <v>171</v>
      </c>
      <c r="E16" s="142">
        <v>0.7</v>
      </c>
      <c r="F16" s="7"/>
      <c r="G16" s="7"/>
      <c r="H16" s="251" t="s">
        <v>159</v>
      </c>
      <c r="I16" s="142" t="s">
        <v>32</v>
      </c>
      <c r="J16" s="7"/>
      <c r="K16" s="7"/>
      <c r="L16" s="7"/>
      <c r="M16" s="102"/>
      <c r="N16" s="7"/>
      <c r="O16" s="7"/>
      <c r="P16" s="103"/>
      <c r="Q16" s="7"/>
      <c r="R16" s="13"/>
      <c r="S16" s="102"/>
      <c r="T16" s="7"/>
      <c r="U16" s="103"/>
      <c r="V16" s="7"/>
      <c r="W16" s="158"/>
      <c r="X16" s="83"/>
      <c r="Y16" s="83"/>
      <c r="Z16" s="76"/>
      <c r="AA16" s="7"/>
      <c r="AB16" s="102"/>
      <c r="AC16" s="7"/>
      <c r="AD16" s="7"/>
      <c r="AE16" s="7"/>
      <c r="AF16" s="103"/>
      <c r="AG16" s="13"/>
      <c r="AH16" s="273"/>
      <c r="AI16" s="141"/>
      <c r="AJ16" s="142"/>
      <c r="AK16" s="7"/>
      <c r="AL16" s="276"/>
      <c r="AM16" s="241"/>
      <c r="AN16" s="142"/>
      <c r="AO16" s="7"/>
      <c r="AP16" s="103"/>
    </row>
    <row r="17" spans="3:42" ht="18.75" x14ac:dyDescent="0.3">
      <c r="C17" s="102"/>
      <c r="D17" s="251" t="s">
        <v>172</v>
      </c>
      <c r="E17" s="142">
        <v>170</v>
      </c>
      <c r="F17" s="7"/>
      <c r="G17" s="7"/>
      <c r="H17" s="251" t="s">
        <v>160</v>
      </c>
      <c r="I17" s="142" t="s">
        <v>9</v>
      </c>
      <c r="J17" s="7"/>
      <c r="K17" s="7"/>
      <c r="L17" s="7"/>
      <c r="M17" s="102"/>
      <c r="N17" s="7"/>
      <c r="O17" s="7"/>
      <c r="P17" s="103"/>
      <c r="Q17" s="7"/>
      <c r="R17" s="13"/>
      <c r="S17" s="102"/>
      <c r="T17" s="7"/>
      <c r="U17" s="103"/>
      <c r="V17" s="7"/>
      <c r="W17" s="158"/>
      <c r="X17" s="83"/>
      <c r="Y17" s="83"/>
      <c r="Z17" s="76"/>
      <c r="AA17" s="7"/>
      <c r="AB17" s="102"/>
      <c r="AC17" s="7"/>
      <c r="AD17" s="7"/>
      <c r="AE17" s="7"/>
      <c r="AF17" s="103"/>
      <c r="AG17" s="13"/>
      <c r="AH17" s="273"/>
      <c r="AI17" s="141"/>
      <c r="AJ17" s="142"/>
      <c r="AK17" s="7"/>
      <c r="AL17" s="276"/>
      <c r="AM17" s="241"/>
      <c r="AN17" s="142"/>
      <c r="AO17" s="7"/>
      <c r="AP17" s="103"/>
    </row>
    <row r="18" spans="3:42" ht="18.75" x14ac:dyDescent="0.3">
      <c r="C18" s="102"/>
      <c r="D18" s="138" t="s">
        <v>173</v>
      </c>
      <c r="E18" s="142">
        <v>35</v>
      </c>
      <c r="F18" s="7"/>
      <c r="G18" s="7"/>
      <c r="H18" s="255"/>
      <c r="I18" s="142"/>
      <c r="J18" s="7"/>
      <c r="K18" s="7"/>
      <c r="L18" s="7"/>
      <c r="M18" s="102"/>
      <c r="N18" s="7"/>
      <c r="O18" s="7"/>
      <c r="P18" s="103"/>
      <c r="Q18" s="7"/>
      <c r="R18" s="13"/>
      <c r="S18" s="102"/>
      <c r="T18" s="7"/>
      <c r="U18" s="103"/>
      <c r="V18" s="7"/>
      <c r="W18" s="158"/>
      <c r="X18" s="83"/>
      <c r="Y18" s="83"/>
      <c r="Z18" s="76"/>
      <c r="AA18" s="7"/>
      <c r="AB18" s="102"/>
      <c r="AC18" s="7"/>
      <c r="AD18" s="7"/>
      <c r="AE18" s="7"/>
      <c r="AF18" s="103"/>
      <c r="AG18" s="13"/>
      <c r="AH18" s="273"/>
      <c r="AI18" s="141"/>
      <c r="AJ18" s="142"/>
      <c r="AK18" s="7"/>
      <c r="AL18" s="276"/>
      <c r="AM18" s="241"/>
      <c r="AN18" s="142"/>
      <c r="AO18" s="7"/>
      <c r="AP18" s="103"/>
    </row>
    <row r="19" spans="3:42" ht="18.75" x14ac:dyDescent="0.3">
      <c r="C19" s="102"/>
      <c r="D19" s="251" t="s">
        <v>172</v>
      </c>
      <c r="E19" s="142"/>
      <c r="F19" s="7"/>
      <c r="G19" s="7"/>
      <c r="H19" s="255"/>
      <c r="I19" s="142"/>
      <c r="J19" s="7"/>
      <c r="K19" s="7"/>
      <c r="L19" s="7"/>
      <c r="M19" s="102"/>
      <c r="N19" s="7"/>
      <c r="O19" s="7"/>
      <c r="P19" s="103"/>
      <c r="Q19" s="7"/>
      <c r="R19" s="13"/>
      <c r="S19" s="102"/>
      <c r="T19" s="7"/>
      <c r="U19" s="103"/>
      <c r="V19" s="7"/>
      <c r="W19" s="158"/>
      <c r="X19" s="83"/>
      <c r="Y19" s="83"/>
      <c r="Z19" s="76"/>
      <c r="AA19" s="7"/>
      <c r="AB19" s="102"/>
      <c r="AC19" s="7"/>
      <c r="AD19" s="7"/>
      <c r="AE19" s="7"/>
      <c r="AF19" s="103"/>
      <c r="AG19" s="13"/>
      <c r="AH19" s="273"/>
      <c r="AI19" s="141"/>
      <c r="AJ19" s="142"/>
      <c r="AK19" s="7"/>
      <c r="AL19" s="276"/>
      <c r="AM19" s="241"/>
      <c r="AN19" s="142"/>
      <c r="AO19" s="7"/>
      <c r="AP19" s="103"/>
    </row>
    <row r="20" spans="3:42" ht="18.75" x14ac:dyDescent="0.3">
      <c r="C20" s="102"/>
      <c r="D20" s="138" t="s">
        <v>173</v>
      </c>
      <c r="E20" s="142"/>
      <c r="F20" s="7"/>
      <c r="G20" s="7"/>
      <c r="H20" s="255"/>
      <c r="I20" s="142"/>
      <c r="J20" s="7"/>
      <c r="K20" s="7"/>
      <c r="L20" s="7"/>
      <c r="M20" s="102"/>
      <c r="N20" s="7"/>
      <c r="O20" s="7"/>
      <c r="P20" s="103"/>
      <c r="Q20" s="7"/>
      <c r="R20" s="13"/>
      <c r="S20" s="102"/>
      <c r="T20" s="7"/>
      <c r="U20" s="103"/>
      <c r="V20" s="7"/>
      <c r="W20" s="158"/>
      <c r="X20" s="83"/>
      <c r="Y20" s="83"/>
      <c r="Z20" s="76"/>
      <c r="AA20" s="7"/>
      <c r="AB20" s="102"/>
      <c r="AC20" s="7"/>
      <c r="AD20" s="7"/>
      <c r="AE20" s="7"/>
      <c r="AF20" s="103"/>
      <c r="AG20" s="13"/>
      <c r="AH20" s="273"/>
      <c r="AI20" s="141"/>
      <c r="AJ20" s="142"/>
      <c r="AK20" s="7"/>
      <c r="AL20" s="276"/>
      <c r="AM20" s="241"/>
      <c r="AN20" s="142"/>
      <c r="AO20" s="7"/>
      <c r="AP20" s="103"/>
    </row>
    <row r="21" spans="3:42" ht="18.75" x14ac:dyDescent="0.3">
      <c r="C21" s="102"/>
      <c r="D21" s="138" t="s">
        <v>174</v>
      </c>
      <c r="E21" s="142"/>
      <c r="F21" s="7"/>
      <c r="G21" s="7"/>
      <c r="H21" s="255"/>
      <c r="I21" s="142"/>
      <c r="J21" s="7"/>
      <c r="K21" s="7"/>
      <c r="L21" s="7"/>
      <c r="M21" s="102"/>
      <c r="N21" s="7"/>
      <c r="O21" s="7"/>
      <c r="P21" s="103"/>
      <c r="Q21" s="7"/>
      <c r="R21" s="13"/>
      <c r="S21" s="102"/>
      <c r="T21" s="7"/>
      <c r="U21" s="103"/>
      <c r="V21" s="7"/>
      <c r="W21" s="158"/>
      <c r="X21" s="83"/>
      <c r="Y21" s="83"/>
      <c r="Z21" s="76"/>
      <c r="AA21" s="7"/>
      <c r="AB21" s="102"/>
      <c r="AC21" s="7"/>
      <c r="AD21" s="7"/>
      <c r="AE21" s="7"/>
      <c r="AF21" s="103"/>
      <c r="AG21" s="13"/>
      <c r="AH21" s="273"/>
      <c r="AI21" s="141"/>
      <c r="AJ21" s="142"/>
      <c r="AK21" s="7"/>
      <c r="AL21" s="276"/>
      <c r="AM21" s="241"/>
      <c r="AN21" s="142"/>
      <c r="AO21" s="7"/>
      <c r="AP21" s="103"/>
    </row>
    <row r="22" spans="3:42" ht="18.75" x14ac:dyDescent="0.3">
      <c r="C22" s="102"/>
      <c r="D22" s="138" t="s">
        <v>175</v>
      </c>
      <c r="E22" s="142"/>
      <c r="F22" s="7"/>
      <c r="G22" s="7"/>
      <c r="H22" s="255"/>
      <c r="I22" s="142"/>
      <c r="J22" s="7"/>
      <c r="K22" s="7"/>
      <c r="L22" s="7"/>
      <c r="M22" s="102"/>
      <c r="N22" s="7"/>
      <c r="O22" s="7"/>
      <c r="P22" s="103"/>
      <c r="Q22" s="7"/>
      <c r="R22" s="13"/>
      <c r="S22" s="102"/>
      <c r="T22" s="7"/>
      <c r="U22" s="103"/>
      <c r="V22" s="7"/>
      <c r="W22" s="158"/>
      <c r="X22" s="83"/>
      <c r="Y22" s="83"/>
      <c r="Z22" s="76"/>
      <c r="AA22" s="7"/>
      <c r="AB22" s="102"/>
      <c r="AC22" s="7"/>
      <c r="AD22" s="7"/>
      <c r="AE22" s="7"/>
      <c r="AF22" s="103"/>
      <c r="AG22" s="13"/>
      <c r="AH22" s="273"/>
      <c r="AI22" s="141"/>
      <c r="AJ22" s="142"/>
      <c r="AK22" s="7"/>
      <c r="AL22" s="276"/>
      <c r="AM22" s="241"/>
      <c r="AN22" s="142"/>
      <c r="AO22" s="7"/>
      <c r="AP22" s="103"/>
    </row>
    <row r="23" spans="3:42" ht="19.5" thickBot="1" x14ac:dyDescent="0.35">
      <c r="C23" s="102"/>
      <c r="D23" s="252" t="s">
        <v>176</v>
      </c>
      <c r="E23" s="254"/>
      <c r="F23" s="7"/>
      <c r="G23" s="7"/>
      <c r="H23" s="256"/>
      <c r="I23" s="254"/>
      <c r="J23" s="7"/>
      <c r="K23" s="7"/>
      <c r="L23" s="7"/>
      <c r="M23" s="87"/>
      <c r="N23" s="104"/>
      <c r="O23" s="104"/>
      <c r="P23" s="70"/>
      <c r="Q23" s="7"/>
      <c r="R23" s="13"/>
      <c r="S23" s="87"/>
      <c r="T23" s="104"/>
      <c r="U23" s="70"/>
      <c r="V23" s="7"/>
      <c r="W23" s="161"/>
      <c r="X23" s="162"/>
      <c r="Y23" s="162"/>
      <c r="Z23" s="79"/>
      <c r="AA23" s="7"/>
      <c r="AB23" s="87"/>
      <c r="AC23" s="104"/>
      <c r="AD23" s="104"/>
      <c r="AE23" s="104"/>
      <c r="AF23" s="70"/>
      <c r="AG23" s="13"/>
      <c r="AH23" s="274"/>
      <c r="AI23" s="275"/>
      <c r="AJ23" s="254"/>
      <c r="AK23" s="7"/>
      <c r="AL23" s="277"/>
      <c r="AM23" s="279"/>
      <c r="AN23" s="254"/>
      <c r="AO23" s="7"/>
      <c r="AP23" s="103"/>
    </row>
    <row r="24" spans="3:42" ht="18.75" x14ac:dyDescent="0.3">
      <c r="C24" s="102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13"/>
      <c r="S24" s="7"/>
      <c r="T24" s="7"/>
      <c r="U24" s="7"/>
      <c r="V24" s="7"/>
      <c r="W24" s="83"/>
      <c r="X24" s="83"/>
      <c r="Y24" s="83"/>
      <c r="Z24" s="83"/>
      <c r="AA24" s="7"/>
      <c r="AB24" s="7"/>
      <c r="AC24" s="7"/>
      <c r="AD24" s="7"/>
      <c r="AE24" s="7"/>
      <c r="AF24" s="7"/>
      <c r="AG24" s="13"/>
      <c r="AH24" s="240"/>
      <c r="AI24" s="7"/>
      <c r="AJ24" s="7"/>
      <c r="AK24" s="7"/>
      <c r="AL24" s="7"/>
      <c r="AM24" s="242"/>
      <c r="AN24" s="7"/>
      <c r="AO24" s="7"/>
      <c r="AP24" s="103"/>
    </row>
    <row r="25" spans="3:42" ht="18.75" x14ac:dyDescent="0.3">
      <c r="C25" s="102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13"/>
      <c r="S25" s="13"/>
      <c r="T25" s="13"/>
      <c r="U25" s="13"/>
      <c r="V25" s="13"/>
      <c r="W25" s="181"/>
      <c r="X25" s="181"/>
      <c r="Y25" s="181"/>
      <c r="Z25" s="181"/>
      <c r="AA25" s="13"/>
      <c r="AB25" s="13"/>
      <c r="AC25" s="13"/>
      <c r="AD25" s="13"/>
      <c r="AE25" s="13"/>
      <c r="AF25" s="13"/>
      <c r="AG25" s="13"/>
      <c r="AH25" s="240"/>
      <c r="AI25" s="7"/>
      <c r="AJ25" s="7"/>
      <c r="AK25" s="7"/>
      <c r="AL25" s="7"/>
      <c r="AM25" s="242"/>
      <c r="AN25" s="7"/>
      <c r="AO25" s="7"/>
      <c r="AP25" s="103"/>
    </row>
    <row r="26" spans="3:42" ht="18.75" x14ac:dyDescent="0.3">
      <c r="C26" s="102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13"/>
      <c r="S26" s="13"/>
      <c r="T26" s="13"/>
      <c r="U26" s="13"/>
      <c r="V26" s="13"/>
      <c r="W26" s="181"/>
      <c r="X26" s="181"/>
      <c r="Y26" s="181"/>
      <c r="Z26" s="181"/>
      <c r="AA26" s="13"/>
      <c r="AB26" s="13"/>
      <c r="AC26" s="13"/>
      <c r="AD26" s="13"/>
      <c r="AE26" s="13"/>
      <c r="AF26" s="13"/>
      <c r="AG26" s="13"/>
      <c r="AH26" s="240"/>
      <c r="AI26" s="7"/>
      <c r="AJ26" s="7"/>
      <c r="AK26" s="7"/>
      <c r="AL26" s="7"/>
      <c r="AM26" s="242"/>
      <c r="AN26" s="7"/>
      <c r="AO26" s="7"/>
      <c r="AP26" s="103"/>
    </row>
    <row r="27" spans="3:42" ht="18.75" x14ac:dyDescent="0.3">
      <c r="C27" s="102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13"/>
      <c r="S27" s="13"/>
      <c r="T27" s="13"/>
      <c r="U27" s="13"/>
      <c r="V27" s="13"/>
      <c r="W27" s="181"/>
      <c r="X27" s="181"/>
      <c r="Y27" s="181"/>
      <c r="Z27" s="181"/>
      <c r="AA27" s="13"/>
      <c r="AB27" s="13"/>
      <c r="AC27" s="13"/>
      <c r="AD27" s="13"/>
      <c r="AE27" s="13"/>
      <c r="AF27" s="13"/>
      <c r="AG27" s="13"/>
      <c r="AH27" s="240"/>
      <c r="AI27" s="7"/>
      <c r="AJ27" s="7"/>
      <c r="AK27" s="7"/>
      <c r="AL27" s="7"/>
      <c r="AM27" s="242"/>
      <c r="AN27" s="7"/>
      <c r="AO27" s="7"/>
      <c r="AP27" s="103"/>
    </row>
    <row r="28" spans="3:42" ht="15.75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240"/>
      <c r="AI28" s="7"/>
      <c r="AJ28" s="7"/>
      <c r="AK28" s="7"/>
      <c r="AL28" s="7"/>
      <c r="AM28" s="242"/>
      <c r="AN28" s="7"/>
      <c r="AO28" s="7"/>
      <c r="AP28" s="103"/>
    </row>
    <row r="29" spans="3:42" ht="18" x14ac:dyDescent="0.25">
      <c r="C29" s="102"/>
      <c r="D29" s="7"/>
      <c r="E29" s="7"/>
      <c r="F29" s="7"/>
      <c r="G29" s="7"/>
      <c r="H29" s="280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240"/>
      <c r="AI29" s="7"/>
      <c r="AJ29" s="7"/>
      <c r="AK29" s="7"/>
      <c r="AL29" s="7"/>
      <c r="AM29" s="242"/>
      <c r="AN29" s="7"/>
      <c r="AO29" s="7"/>
      <c r="AP29" s="103"/>
    </row>
    <row r="30" spans="3:42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240"/>
      <c r="AI30" s="7"/>
      <c r="AJ30" s="7"/>
      <c r="AK30" s="7"/>
      <c r="AL30" s="7"/>
      <c r="AM30" s="242"/>
      <c r="AN30" s="7"/>
      <c r="AO30" s="7"/>
      <c r="AP30" s="103"/>
    </row>
    <row r="31" spans="3:42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7"/>
      <c r="AK31" s="7"/>
      <c r="AL31" s="7"/>
      <c r="AM31" s="7"/>
      <c r="AN31" s="7"/>
      <c r="AO31" s="7"/>
      <c r="AP31" s="103"/>
    </row>
    <row r="32" spans="3:42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7"/>
      <c r="AK32" s="7"/>
      <c r="AL32" s="7"/>
      <c r="AM32" s="7"/>
      <c r="AN32" s="7"/>
      <c r="AO32" s="7"/>
      <c r="AP32" s="103"/>
    </row>
    <row r="33" spans="3:42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7"/>
      <c r="AK33" s="7"/>
      <c r="AL33" s="7"/>
      <c r="AM33" s="7"/>
      <c r="AN33" s="7"/>
      <c r="AO33" s="7"/>
      <c r="AP33" s="103"/>
    </row>
    <row r="34" spans="3:42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7"/>
      <c r="AK34" s="7"/>
      <c r="AL34" s="7"/>
      <c r="AM34" s="7"/>
      <c r="AN34" s="7"/>
      <c r="AO34" s="7"/>
      <c r="AP34" s="103"/>
    </row>
    <row r="35" spans="3:42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7"/>
      <c r="AK35" s="7"/>
      <c r="AL35" s="7"/>
      <c r="AM35" s="7"/>
      <c r="AN35" s="7"/>
      <c r="AO35" s="7"/>
      <c r="AP35" s="103"/>
    </row>
    <row r="36" spans="3:42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7"/>
      <c r="AK36" s="7"/>
      <c r="AL36" s="7"/>
      <c r="AM36" s="7"/>
      <c r="AN36" s="7"/>
      <c r="AO36" s="7"/>
      <c r="AP36" s="103"/>
    </row>
    <row r="37" spans="3:42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7"/>
      <c r="AK37" s="7"/>
      <c r="AL37" s="7"/>
      <c r="AM37" s="7"/>
      <c r="AN37" s="7"/>
      <c r="AO37" s="7"/>
      <c r="AP37" s="103"/>
    </row>
    <row r="38" spans="3:42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7"/>
      <c r="AK38" s="7"/>
      <c r="AL38" s="7"/>
      <c r="AM38" s="7"/>
      <c r="AN38" s="7"/>
      <c r="AO38" s="7"/>
      <c r="AP38" s="103"/>
    </row>
    <row r="39" spans="3:42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7"/>
      <c r="AK39" s="7"/>
      <c r="AL39" s="7"/>
      <c r="AM39" s="7"/>
      <c r="AN39" s="7"/>
      <c r="AO39" s="7"/>
      <c r="AP39" s="103"/>
    </row>
    <row r="40" spans="3:42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7"/>
      <c r="AK40" s="7"/>
      <c r="AL40" s="7"/>
      <c r="AM40" s="7"/>
      <c r="AN40" s="7"/>
      <c r="AO40" s="7"/>
      <c r="AP40" s="103"/>
    </row>
    <row r="41" spans="3:42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7"/>
      <c r="AK41" s="7"/>
      <c r="AL41" s="7"/>
      <c r="AM41" s="7"/>
      <c r="AN41" s="7"/>
      <c r="AO41" s="7"/>
      <c r="AP41" s="103"/>
    </row>
    <row r="42" spans="3:42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7"/>
      <c r="AK42" s="7"/>
      <c r="AL42" s="7"/>
      <c r="AM42" s="7"/>
      <c r="AN42" s="7"/>
      <c r="AO42" s="7"/>
      <c r="AP42" s="103"/>
    </row>
    <row r="43" spans="3:42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7"/>
      <c r="AK43" s="7"/>
      <c r="AL43" s="7"/>
      <c r="AM43" s="7"/>
      <c r="AN43" s="7"/>
      <c r="AO43" s="7"/>
      <c r="AP43" s="103"/>
    </row>
    <row r="44" spans="3:42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7"/>
      <c r="AK44" s="7"/>
      <c r="AL44" s="7"/>
      <c r="AM44" s="7"/>
      <c r="AN44" s="7"/>
      <c r="AO44" s="7"/>
      <c r="AP44" s="103"/>
    </row>
    <row r="45" spans="3:42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7"/>
      <c r="AK45" s="7"/>
      <c r="AL45" s="7"/>
      <c r="AM45" s="7"/>
      <c r="AN45" s="7"/>
      <c r="AO45" s="7"/>
      <c r="AP45" s="103"/>
    </row>
    <row r="46" spans="3:42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7"/>
      <c r="AK46" s="7"/>
      <c r="AL46" s="7"/>
      <c r="AM46" s="7"/>
      <c r="AN46" s="7"/>
      <c r="AO46" s="7"/>
      <c r="AP46" s="103"/>
    </row>
    <row r="47" spans="3:42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240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7"/>
      <c r="AK47" s="7"/>
      <c r="AL47" s="7"/>
      <c r="AM47" s="7"/>
      <c r="AN47" s="7"/>
      <c r="AO47" s="7"/>
      <c r="AP47" s="103"/>
    </row>
    <row r="48" spans="3:42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7"/>
      <c r="AK48" s="7"/>
      <c r="AL48" s="7"/>
      <c r="AM48" s="7"/>
      <c r="AN48" s="7"/>
      <c r="AO48" s="7"/>
      <c r="AP48" s="103"/>
    </row>
    <row r="49" spans="3:42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7"/>
      <c r="AK49" s="7"/>
      <c r="AL49" s="7"/>
      <c r="AM49" s="7"/>
      <c r="AN49" s="7"/>
      <c r="AO49" s="7"/>
      <c r="AP49" s="103"/>
    </row>
    <row r="50" spans="3:42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7"/>
      <c r="AK50" s="7"/>
      <c r="AL50" s="7"/>
      <c r="AM50" s="7"/>
      <c r="AN50" s="7"/>
      <c r="AO50" s="7"/>
      <c r="AP50" s="103"/>
    </row>
    <row r="51" spans="3:42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7"/>
      <c r="AK51" s="7"/>
      <c r="AL51" s="7"/>
      <c r="AM51" s="7"/>
      <c r="AN51" s="7"/>
      <c r="AO51" s="7"/>
      <c r="AP51" s="103"/>
    </row>
    <row r="52" spans="3:42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7"/>
      <c r="AK52" s="7"/>
      <c r="AL52" s="7"/>
      <c r="AM52" s="7"/>
      <c r="AN52" s="7"/>
      <c r="AO52" s="7"/>
      <c r="AP52" s="103"/>
    </row>
    <row r="53" spans="3:42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7"/>
      <c r="AK53" s="7"/>
      <c r="AL53" s="7"/>
      <c r="AM53" s="7"/>
      <c r="AN53" s="7"/>
      <c r="AO53" s="7"/>
      <c r="AP53" s="103"/>
    </row>
    <row r="54" spans="3:42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7"/>
      <c r="AK54" s="7"/>
      <c r="AL54" s="7"/>
      <c r="AM54" s="7"/>
      <c r="AN54" s="7"/>
      <c r="AO54" s="7"/>
      <c r="AP54" s="103"/>
    </row>
    <row r="55" spans="3:42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7"/>
      <c r="AK55" s="7"/>
      <c r="AL55" s="7"/>
      <c r="AM55" s="7"/>
      <c r="AN55" s="7"/>
      <c r="AO55" s="7"/>
      <c r="AP55" s="103"/>
    </row>
    <row r="56" spans="3:42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7"/>
      <c r="AK56" s="7"/>
      <c r="AL56" s="7"/>
      <c r="AM56" s="7"/>
      <c r="AN56" s="7"/>
      <c r="AO56" s="7"/>
      <c r="AP56" s="103"/>
    </row>
    <row r="57" spans="3:42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7"/>
      <c r="AK57" s="7"/>
      <c r="AL57" s="7"/>
      <c r="AM57" s="7"/>
      <c r="AN57" s="7"/>
      <c r="AO57" s="7"/>
      <c r="AP57" s="103"/>
    </row>
    <row r="58" spans="3:42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7"/>
      <c r="AK58" s="7"/>
      <c r="AL58" s="7"/>
      <c r="AM58" s="7"/>
      <c r="AN58" s="7"/>
      <c r="AO58" s="7"/>
      <c r="AP58" s="103"/>
    </row>
    <row r="59" spans="3:42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7"/>
      <c r="AK59" s="7"/>
      <c r="AL59" s="7"/>
      <c r="AM59" s="7"/>
      <c r="AN59" s="7"/>
      <c r="AO59" s="7"/>
      <c r="AP59" s="103"/>
    </row>
    <row r="60" spans="3:42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7"/>
      <c r="AK60" s="7"/>
      <c r="AL60" s="7"/>
      <c r="AM60" s="7"/>
      <c r="AN60" s="7"/>
      <c r="AO60" s="7"/>
      <c r="AP60" s="103"/>
    </row>
    <row r="61" spans="3:42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7"/>
      <c r="AK61" s="7"/>
      <c r="AL61" s="7"/>
      <c r="AM61" s="7"/>
      <c r="AN61" s="7"/>
      <c r="AO61" s="7"/>
      <c r="AP61" s="103"/>
    </row>
    <row r="62" spans="3:42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7"/>
      <c r="AK62" s="7"/>
      <c r="AL62" s="7"/>
      <c r="AM62" s="7"/>
      <c r="AN62" s="7"/>
      <c r="AO62" s="7"/>
      <c r="AP62" s="103"/>
    </row>
    <row r="63" spans="3:42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7"/>
      <c r="AK63" s="7"/>
      <c r="AL63" s="7"/>
      <c r="AM63" s="7"/>
      <c r="AN63" s="7"/>
      <c r="AO63" s="7"/>
      <c r="AP63" s="103"/>
    </row>
    <row r="64" spans="3:42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7"/>
      <c r="AK64" s="7"/>
      <c r="AL64" s="7"/>
      <c r="AM64" s="7"/>
      <c r="AN64" s="7"/>
      <c r="AO64" s="7"/>
      <c r="AP64" s="103"/>
    </row>
    <row r="65" spans="3:42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7"/>
      <c r="AK65" s="7"/>
      <c r="AL65" s="7"/>
      <c r="AM65" s="7"/>
      <c r="AN65" s="7"/>
      <c r="AO65" s="7"/>
      <c r="AP65" s="103"/>
    </row>
    <row r="66" spans="3:42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7"/>
      <c r="AK66" s="7"/>
      <c r="AL66" s="7"/>
      <c r="AM66" s="7"/>
      <c r="AN66" s="7"/>
      <c r="AO66" s="7"/>
      <c r="AP66" s="103"/>
    </row>
    <row r="67" spans="3:42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7"/>
      <c r="AK67" s="7"/>
      <c r="AL67" s="7"/>
      <c r="AM67" s="7"/>
      <c r="AN67" s="7"/>
      <c r="AO67" s="7"/>
      <c r="AP67" s="103"/>
    </row>
    <row r="68" spans="3:42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7"/>
      <c r="AK68" s="7"/>
      <c r="AL68" s="7"/>
      <c r="AM68" s="7"/>
      <c r="AN68" s="7"/>
      <c r="AO68" s="7"/>
      <c r="AP68" s="103"/>
    </row>
    <row r="69" spans="3:42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7"/>
      <c r="AK69" s="7"/>
      <c r="AL69" s="7"/>
      <c r="AM69" s="7"/>
      <c r="AN69" s="7"/>
      <c r="AO69" s="7"/>
      <c r="AP69" s="103"/>
    </row>
    <row r="70" spans="3:42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70"/>
    </row>
    <row r="106" spans="4:21" x14ac:dyDescent="0.25">
      <c r="D106" s="3" t="s">
        <v>49</v>
      </c>
    </row>
    <row r="107" spans="4:21" x14ac:dyDescent="0.25">
      <c r="U107" s="3" t="s">
        <v>49</v>
      </c>
    </row>
    <row r="126" spans="4:4" x14ac:dyDescent="0.25">
      <c r="D126" s="3" t="s">
        <v>49</v>
      </c>
    </row>
    <row r="133" spans="18:18" x14ac:dyDescent="0.25">
      <c r="R133" s="3" t="s">
        <v>49</v>
      </c>
    </row>
    <row r="147" spans="18:18" x14ac:dyDescent="0.25">
      <c r="R147" s="3" t="s">
        <v>49</v>
      </c>
    </row>
  </sheetData>
  <mergeCells count="13">
    <mergeCell ref="X9:Z9"/>
    <mergeCell ref="AH8:AJ8"/>
    <mergeCell ref="AL8:AN8"/>
    <mergeCell ref="D6:E6"/>
    <mergeCell ref="H6:I6"/>
    <mergeCell ref="M6:P6"/>
    <mergeCell ref="S6:AN6"/>
    <mergeCell ref="D8:E8"/>
    <mergeCell ref="H8:I8"/>
    <mergeCell ref="M8:P8"/>
    <mergeCell ref="S8:U8"/>
    <mergeCell ref="AB8:AF8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whole" allowBlank="1" showInputMessage="1" showErrorMessage="1" xr:uid="{2245ECDD-570B-2541-AC9B-D65424A0E795}">
          <x14:formula1>
            <xm:f>'/Users/philippkenkel/Desktop/D:\Users\philippkenkel\Seafile\RESILIENTE ENERGIESYSTEME\Intern\SicherungsKopien\Version_1\[Templates_V1.3.xlsm]Systemblatt'!#REF!</xm:f>
          </x14:formula1>
          <x14:formula2>
            <xm:f>'/Users/philippkenkel/Desktop/D:\Users\philippkenkel\Seafile\RESILIENTE ENERGIESYSTEME\Intern\SicherungsKopien\Version_1\[Templates_V1.3.xlsm]Systemblatt'!#REF!</xm:f>
          </x14:formula2>
          <xm:sqref>E17:E20</xm:sqref>
        </x14:dataValidation>
        <x14:dataValidation type="list" allowBlank="1" showInputMessage="1" showErrorMessage="1" xr:uid="{6251555E-8C65-9F4D-AE4E-DD7D0493156B}">
          <x14:formula1>
            <xm:f>'/Users/philippkenkel/Desktop/D:\Users\philippkenkel\Seafile\RESILIENTE ENERGIESYSTEME\Intern\SicherungsKopien\Version_1\[Templates_V1.3.xlsm]Tabelle1'!#REF!</xm:f>
          </x14:formula1>
          <xm:sqref>I15 AB10 AD10 N11:P11</xm:sqref>
        </x14:dataValidation>
        <x14:dataValidation type="list" allowBlank="1" showInputMessage="1" showErrorMessage="1" xr:uid="{15FE7670-9B99-CE49-8B63-23A2F8441C19}">
          <x14:formula1>
            <xm:f>'/Users/philippkenkel/Desktop/D:\Users\philippkenkel\Seafile\RESILIENTE ENERGIESYSTEME\Intern\SicherungsKopien\Version_1\[Templates_V1.3.xlsm]Systemblatt'!#REF!</xm:f>
          </x14:formula1>
          <xm:sqref>I16:I17 N12:P13 T10 AC10:AC24 AE10:AE24 T14:T24 T12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D987D-7415-3C4A-B09F-8A4C52C573E2}">
  <sheetPr codeName="Tabelle32"/>
  <dimension ref="C1:AP118"/>
  <sheetViews>
    <sheetView topLeftCell="Q1" zoomScale="67" zoomScaleNormal="23" workbookViewId="0">
      <selection activeCell="AC41" sqref="AC4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42578125" style="3" customWidth="1"/>
    <col min="5" max="5" width="18.85546875" style="3" customWidth="1"/>
    <col min="6" max="6" width="15.28515625" style="3" customWidth="1"/>
    <col min="7" max="7" width="6.28515625" style="3" customWidth="1"/>
    <col min="8" max="8" width="28.85546875" style="3" customWidth="1"/>
    <col min="9" max="11" width="15.28515625" style="3" customWidth="1"/>
    <col min="12" max="12" width="4.28515625" style="3" customWidth="1"/>
    <col min="13" max="14" width="15.28515625" style="3" customWidth="1"/>
    <col min="15" max="16" width="39.42578125" style="3" customWidth="1"/>
    <col min="17" max="18" width="15.28515625" style="3" customWidth="1"/>
    <col min="19" max="19" width="28" style="3" customWidth="1"/>
    <col min="20" max="20" width="22.7109375" style="3" customWidth="1"/>
    <col min="21" max="22" width="10.85546875" style="3"/>
    <col min="23" max="23" width="17.7109375" style="3" customWidth="1"/>
    <col min="24" max="24" width="20.42578125" style="3" customWidth="1"/>
    <col min="25" max="25" width="17.140625" style="3" customWidth="1"/>
    <col min="26" max="26" width="25.28515625" style="3" customWidth="1"/>
    <col min="27" max="28" width="10.85546875" style="3"/>
    <col min="29" max="29" width="22.42578125" style="3" customWidth="1"/>
    <col min="30" max="31" width="10.85546875" style="3"/>
    <col min="32" max="32" width="61.85546875" style="3" customWidth="1"/>
    <col min="33" max="33" width="10.85546875" style="3"/>
    <col min="34" max="34" width="30.140625" style="3" customWidth="1"/>
    <col min="35" max="35" width="20.140625" style="3" customWidth="1"/>
    <col min="36" max="38" width="10.85546875" style="3"/>
    <col min="39" max="39" width="20.85546875" style="3" customWidth="1"/>
    <col min="40" max="40" width="28.85546875" style="3" customWidth="1"/>
    <col min="41" max="16384" width="10.85546875" style="3"/>
  </cols>
  <sheetData>
    <row r="1" spans="3:42" ht="10.5" customHeight="1" thickBot="1" x14ac:dyDescent="0.3"/>
    <row r="2" spans="3:42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3"/>
      <c r="AK2" s="113"/>
      <c r="AL2" s="113"/>
      <c r="AM2" s="113"/>
      <c r="AN2" s="113"/>
      <c r="AO2" s="124"/>
    </row>
    <row r="3" spans="3:42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7"/>
      <c r="AK3" s="7"/>
      <c r="AL3" s="7"/>
      <c r="AM3" s="7"/>
      <c r="AN3" s="7"/>
      <c r="AO3" s="103"/>
    </row>
    <row r="4" spans="3:42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7"/>
      <c r="AK4" s="7"/>
      <c r="AL4" s="7"/>
      <c r="AM4" s="7"/>
      <c r="AN4" s="7"/>
      <c r="AO4" s="103"/>
    </row>
    <row r="5" spans="3:42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7"/>
      <c r="AK5" s="7"/>
      <c r="AL5" s="7"/>
      <c r="AM5" s="7"/>
      <c r="AN5" s="7"/>
      <c r="AO5" s="103"/>
      <c r="AP5" s="7"/>
    </row>
    <row r="6" spans="3:42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27"/>
      <c r="AK6" s="127"/>
      <c r="AL6" s="127"/>
      <c r="AM6" s="127"/>
      <c r="AN6" s="127"/>
      <c r="AO6" s="103"/>
      <c r="AP6" s="7"/>
    </row>
    <row r="7" spans="3:42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7"/>
      <c r="AK7" s="7"/>
      <c r="AL7" s="7"/>
      <c r="AM7" s="7"/>
      <c r="AN7" s="7"/>
      <c r="AO7" s="103"/>
      <c r="AP7" s="7"/>
    </row>
    <row r="8" spans="3:42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76" t="s">
        <v>124</v>
      </c>
      <c r="T8" s="577"/>
      <c r="U8" s="578"/>
      <c r="V8" s="318"/>
      <c r="W8" s="579" t="s">
        <v>197</v>
      </c>
      <c r="X8" s="580"/>
      <c r="Y8" s="580"/>
      <c r="Z8" s="581"/>
      <c r="AA8" s="13"/>
      <c r="AB8" s="579" t="s">
        <v>134</v>
      </c>
      <c r="AC8" s="580"/>
      <c r="AD8" s="580"/>
      <c r="AE8" s="580"/>
      <c r="AF8" s="581"/>
      <c r="AG8" s="13"/>
      <c r="AH8" s="570" t="s">
        <v>11</v>
      </c>
      <c r="AI8" s="571"/>
      <c r="AJ8" s="572"/>
      <c r="AK8" s="319"/>
      <c r="AL8" s="570" t="s">
        <v>12</v>
      </c>
      <c r="AM8" s="571"/>
      <c r="AN8" s="572"/>
      <c r="AO8" s="103"/>
      <c r="AP8" s="7"/>
    </row>
    <row r="9" spans="3:42" ht="21.75" thickBot="1" x14ac:dyDescent="0.4">
      <c r="C9" s="102"/>
      <c r="D9" s="346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22" t="s">
        <v>126</v>
      </c>
      <c r="T9" s="322" t="s">
        <v>76</v>
      </c>
      <c r="U9" s="322" t="s">
        <v>127</v>
      </c>
      <c r="V9" s="321"/>
      <c r="W9" s="347" t="s">
        <v>188</v>
      </c>
      <c r="X9" s="573"/>
      <c r="Y9" s="574"/>
      <c r="Z9" s="575"/>
      <c r="AA9" s="13"/>
      <c r="AB9" s="322" t="s">
        <v>131</v>
      </c>
      <c r="AC9" s="322" t="s">
        <v>130</v>
      </c>
      <c r="AD9" s="322" t="s">
        <v>8</v>
      </c>
      <c r="AE9" s="322" t="s">
        <v>132</v>
      </c>
      <c r="AF9" s="322" t="s">
        <v>133</v>
      </c>
      <c r="AG9" s="13"/>
      <c r="AH9" s="348" t="s">
        <v>13</v>
      </c>
      <c r="AI9" s="348" t="s">
        <v>14</v>
      </c>
      <c r="AJ9" s="348" t="s">
        <v>1</v>
      </c>
      <c r="AK9" s="326"/>
      <c r="AL9" s="348" t="s">
        <v>15</v>
      </c>
      <c r="AM9" s="348" t="s">
        <v>16</v>
      </c>
      <c r="AN9" s="348" t="s">
        <v>17</v>
      </c>
      <c r="AO9" s="103"/>
      <c r="AP9" s="7"/>
    </row>
    <row r="10" spans="3:42" ht="18.75" x14ac:dyDescent="0.3">
      <c r="C10" s="102"/>
      <c r="D10" s="327" t="s">
        <v>2</v>
      </c>
      <c r="E10" s="203" t="s">
        <v>216</v>
      </c>
      <c r="F10" s="88"/>
      <c r="G10" s="88"/>
      <c r="H10" s="328" t="s">
        <v>3</v>
      </c>
      <c r="I10" s="76"/>
      <c r="J10" s="88"/>
      <c r="K10" s="88"/>
      <c r="L10" s="88"/>
      <c r="M10" s="328" t="s">
        <v>121</v>
      </c>
      <c r="N10" s="186">
        <v>54.95</v>
      </c>
      <c r="O10" s="153">
        <v>-9.57</v>
      </c>
      <c r="P10" s="76"/>
      <c r="Q10" s="88"/>
      <c r="R10" s="163"/>
      <c r="S10" s="187">
        <v>2410</v>
      </c>
      <c r="T10" s="186" t="s">
        <v>32</v>
      </c>
      <c r="U10" s="188">
        <v>0.999</v>
      </c>
      <c r="V10" s="332"/>
      <c r="W10" s="349">
        <v>111</v>
      </c>
      <c r="X10" s="83">
        <v>2410</v>
      </c>
      <c r="Y10" s="153">
        <v>999</v>
      </c>
      <c r="Z10" s="154"/>
      <c r="AA10" s="83"/>
      <c r="AB10" s="187" t="s">
        <v>26</v>
      </c>
      <c r="AC10" s="186" t="s">
        <v>50</v>
      </c>
      <c r="AD10" s="186"/>
      <c r="AE10" s="186" t="s">
        <v>30</v>
      </c>
      <c r="AF10" s="188">
        <v>1</v>
      </c>
      <c r="AG10" s="181"/>
      <c r="AH10" s="187" t="s">
        <v>9</v>
      </c>
      <c r="AI10" s="186">
        <v>1</v>
      </c>
      <c r="AJ10" s="188">
        <v>0.89</v>
      </c>
      <c r="AK10" s="329"/>
      <c r="AL10" s="187">
        <v>1</v>
      </c>
      <c r="AM10" s="350" t="s">
        <v>30</v>
      </c>
      <c r="AN10" s="351">
        <v>1</v>
      </c>
      <c r="AO10" s="103"/>
      <c r="AP10" s="7"/>
    </row>
    <row r="11" spans="3:42" ht="18.75" x14ac:dyDescent="0.3">
      <c r="C11" s="102"/>
      <c r="D11" s="328" t="s">
        <v>4</v>
      </c>
      <c r="E11" s="188">
        <v>2400</v>
      </c>
      <c r="F11" s="88"/>
      <c r="G11" s="88"/>
      <c r="H11" s="328" t="s">
        <v>113</v>
      </c>
      <c r="I11" s="154">
        <v>0.70520000000000005</v>
      </c>
      <c r="J11" s="88"/>
      <c r="K11" s="88"/>
      <c r="L11" s="88"/>
      <c r="M11" s="333" t="s">
        <v>122</v>
      </c>
      <c r="N11" s="186" t="s">
        <v>27</v>
      </c>
      <c r="O11" s="186" t="s">
        <v>27</v>
      </c>
      <c r="P11" s="76"/>
      <c r="Q11" s="88"/>
      <c r="R11" s="163"/>
      <c r="S11" s="187">
        <v>2410</v>
      </c>
      <c r="T11" s="186" t="s">
        <v>9</v>
      </c>
      <c r="U11" s="188">
        <v>2E-3</v>
      </c>
      <c r="V11" s="332"/>
      <c r="W11" s="158"/>
      <c r="X11" s="83"/>
      <c r="Y11" s="329"/>
      <c r="Z11" s="331"/>
      <c r="AA11" s="83"/>
      <c r="AB11" s="330"/>
      <c r="AC11" s="83"/>
      <c r="AD11" s="329"/>
      <c r="AE11" s="83"/>
      <c r="AF11" s="331"/>
      <c r="AG11" s="181"/>
      <c r="AH11" s="187" t="s">
        <v>30</v>
      </c>
      <c r="AI11" s="186">
        <v>1</v>
      </c>
      <c r="AJ11" s="188">
        <v>-1</v>
      </c>
      <c r="AK11" s="329"/>
      <c r="AL11" s="330"/>
      <c r="AM11" s="319"/>
      <c r="AN11" s="352"/>
      <c r="AO11" s="103"/>
      <c r="AP11" s="7"/>
    </row>
    <row r="12" spans="3:42" ht="18.75" x14ac:dyDescent="0.3">
      <c r="C12" s="102"/>
      <c r="D12" s="328" t="s">
        <v>90</v>
      </c>
      <c r="E12" s="188" t="s">
        <v>47</v>
      </c>
      <c r="F12" s="88"/>
      <c r="G12" s="88"/>
      <c r="H12" s="328" t="s">
        <v>114</v>
      </c>
      <c r="I12" s="154">
        <v>1</v>
      </c>
      <c r="J12" s="88"/>
      <c r="K12" s="88"/>
      <c r="L12" s="88"/>
      <c r="M12" s="333" t="s">
        <v>123</v>
      </c>
      <c r="N12" s="186" t="s">
        <v>32</v>
      </c>
      <c r="O12" s="186" t="s">
        <v>32</v>
      </c>
      <c r="P12" s="76"/>
      <c r="Q12" s="88"/>
      <c r="R12" s="163"/>
      <c r="S12" s="187">
        <v>999</v>
      </c>
      <c r="T12" s="186" t="s">
        <v>9</v>
      </c>
      <c r="U12" s="188">
        <v>0.998</v>
      </c>
      <c r="V12" s="332"/>
      <c r="W12" s="158"/>
      <c r="X12" s="83"/>
      <c r="Y12" s="337"/>
      <c r="Z12" s="338"/>
      <c r="AA12" s="337"/>
      <c r="AB12" s="339"/>
      <c r="AC12" s="83"/>
      <c r="AD12" s="337"/>
      <c r="AE12" s="83"/>
      <c r="AF12" s="331"/>
      <c r="AG12" s="181"/>
      <c r="AH12" s="187" t="s">
        <v>32</v>
      </c>
      <c r="AI12" s="186">
        <v>1</v>
      </c>
      <c r="AJ12" s="188">
        <v>0.11</v>
      </c>
      <c r="AK12" s="329"/>
      <c r="AL12" s="330"/>
      <c r="AM12" s="319"/>
      <c r="AN12" s="352"/>
      <c r="AO12" s="103"/>
      <c r="AP12" s="7"/>
    </row>
    <row r="13" spans="3:42" ht="18.75" x14ac:dyDescent="0.3">
      <c r="C13" s="102"/>
      <c r="D13" s="328" t="s">
        <v>102</v>
      </c>
      <c r="E13" s="188"/>
      <c r="F13" s="88"/>
      <c r="G13" s="88"/>
      <c r="H13" s="328" t="s">
        <v>115</v>
      </c>
      <c r="I13" s="154">
        <v>0.92410000000000003</v>
      </c>
      <c r="J13" s="88"/>
      <c r="K13" s="88"/>
      <c r="L13" s="88"/>
      <c r="M13" s="333"/>
      <c r="N13" s="83"/>
      <c r="O13" s="83"/>
      <c r="P13" s="76"/>
      <c r="Q13" s="88"/>
      <c r="R13" s="163"/>
      <c r="S13" s="180">
        <v>999</v>
      </c>
      <c r="T13" s="181" t="s">
        <v>32</v>
      </c>
      <c r="U13" s="182">
        <v>1E-3</v>
      </c>
      <c r="V13" s="353"/>
      <c r="W13" s="158"/>
      <c r="X13" s="83"/>
      <c r="Y13" s="337"/>
      <c r="Z13" s="338"/>
      <c r="AA13" s="337"/>
      <c r="AB13" s="339"/>
      <c r="AC13" s="83"/>
      <c r="AD13" s="337"/>
      <c r="AE13" s="83"/>
      <c r="AF13" s="331"/>
      <c r="AG13" s="181"/>
      <c r="AH13" s="330"/>
      <c r="AI13" s="329"/>
      <c r="AJ13" s="331"/>
      <c r="AK13" s="329"/>
      <c r="AL13" s="339"/>
      <c r="AM13" s="319"/>
      <c r="AN13" s="338"/>
      <c r="AO13" s="103"/>
      <c r="AP13" s="7"/>
    </row>
    <row r="14" spans="3:42" ht="18.75" x14ac:dyDescent="0.3">
      <c r="C14" s="102"/>
      <c r="D14" s="328" t="s">
        <v>103</v>
      </c>
      <c r="E14" s="188">
        <v>20</v>
      </c>
      <c r="F14" s="88"/>
      <c r="G14" s="88"/>
      <c r="H14" s="328" t="s">
        <v>116</v>
      </c>
      <c r="I14" s="76">
        <v>2018</v>
      </c>
      <c r="J14" s="88"/>
      <c r="K14" s="88"/>
      <c r="L14" s="88"/>
      <c r="M14" s="85"/>
      <c r="N14" s="83"/>
      <c r="O14" s="83"/>
      <c r="P14" s="76"/>
      <c r="Q14" s="88"/>
      <c r="R14" s="163"/>
      <c r="S14" s="339"/>
      <c r="T14" s="83"/>
      <c r="U14" s="338"/>
      <c r="V14" s="353"/>
      <c r="W14" s="158"/>
      <c r="X14" s="83"/>
      <c r="Y14" s="337"/>
      <c r="Z14" s="338"/>
      <c r="AA14" s="337"/>
      <c r="AB14" s="339"/>
      <c r="AC14" s="83"/>
      <c r="AD14" s="337"/>
      <c r="AE14" s="83"/>
      <c r="AF14" s="331"/>
      <c r="AG14" s="181"/>
      <c r="AH14" s="330"/>
      <c r="AI14" s="329"/>
      <c r="AJ14" s="331"/>
      <c r="AK14" s="329"/>
      <c r="AL14" s="339"/>
      <c r="AM14" s="319"/>
      <c r="AN14" s="338"/>
      <c r="AO14" s="103"/>
      <c r="AP14" s="7"/>
    </row>
    <row r="15" spans="3:42" ht="18.75" x14ac:dyDescent="0.3">
      <c r="C15" s="102"/>
      <c r="D15" s="328" t="s">
        <v>104</v>
      </c>
      <c r="E15" s="154">
        <v>0.56999999999999995</v>
      </c>
      <c r="F15" s="88"/>
      <c r="G15" s="88"/>
      <c r="H15" s="333" t="s">
        <v>117</v>
      </c>
      <c r="I15" s="76" t="s">
        <v>54</v>
      </c>
      <c r="J15" s="88"/>
      <c r="K15" s="88"/>
      <c r="L15" s="88"/>
      <c r="M15" s="85"/>
      <c r="N15" s="83"/>
      <c r="O15" s="83"/>
      <c r="P15" s="76"/>
      <c r="Q15" s="88"/>
      <c r="R15" s="163"/>
      <c r="S15" s="339"/>
      <c r="T15" s="83"/>
      <c r="U15" s="338"/>
      <c r="V15" s="354"/>
      <c r="W15" s="158"/>
      <c r="X15" s="83"/>
      <c r="Y15" s="83"/>
      <c r="Z15" s="76"/>
      <c r="AA15" s="83"/>
      <c r="AB15" s="158"/>
      <c r="AC15" s="83"/>
      <c r="AD15" s="83"/>
      <c r="AE15" s="83"/>
      <c r="AF15" s="331"/>
      <c r="AG15" s="181"/>
      <c r="AH15" s="330"/>
      <c r="AI15" s="329"/>
      <c r="AJ15" s="331"/>
      <c r="AK15" s="329"/>
      <c r="AL15" s="339"/>
      <c r="AM15" s="319"/>
      <c r="AN15" s="338"/>
      <c r="AO15" s="103"/>
      <c r="AP15" s="7"/>
    </row>
    <row r="16" spans="3:42" ht="18.75" x14ac:dyDescent="0.3">
      <c r="C16" s="102"/>
      <c r="D16" s="328" t="s">
        <v>105</v>
      </c>
      <c r="E16" s="154">
        <v>0.7</v>
      </c>
      <c r="F16" s="88"/>
      <c r="G16" s="88"/>
      <c r="H16" s="333" t="s">
        <v>101</v>
      </c>
      <c r="I16" s="76" t="s">
        <v>32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8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330"/>
      <c r="AI16" s="83"/>
      <c r="AJ16" s="76"/>
      <c r="AK16" s="83"/>
      <c r="AL16" s="158"/>
      <c r="AM16" s="319"/>
      <c r="AN16" s="76"/>
      <c r="AO16" s="103"/>
      <c r="AP16" s="7"/>
    </row>
    <row r="17" spans="3:42" ht="18.75" x14ac:dyDescent="0.3">
      <c r="C17" s="102"/>
      <c r="D17" s="328" t="s">
        <v>106</v>
      </c>
      <c r="E17" s="76">
        <v>75</v>
      </c>
      <c r="F17" s="88"/>
      <c r="G17" s="88"/>
      <c r="H17" s="333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8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330"/>
      <c r="AI17" s="83"/>
      <c r="AJ17" s="76"/>
      <c r="AK17" s="83"/>
      <c r="AL17" s="158"/>
      <c r="AM17" s="319"/>
      <c r="AN17" s="76"/>
      <c r="AO17" s="103"/>
      <c r="AP17" s="7"/>
    </row>
    <row r="18" spans="3:42" ht="18.75" x14ac:dyDescent="0.3">
      <c r="C18" s="102"/>
      <c r="D18" s="77" t="s">
        <v>107</v>
      </c>
      <c r="E18" s="76">
        <v>75</v>
      </c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8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330"/>
      <c r="AI18" s="83"/>
      <c r="AJ18" s="76"/>
      <c r="AK18" s="83"/>
      <c r="AL18" s="158"/>
      <c r="AM18" s="319"/>
      <c r="AN18" s="76"/>
      <c r="AO18" s="103"/>
      <c r="AP18" s="7"/>
    </row>
    <row r="19" spans="3:42" ht="18.75" x14ac:dyDescent="0.3">
      <c r="C19" s="102"/>
      <c r="D19" s="328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9"/>
      <c r="T19" s="88"/>
      <c r="U19" s="86"/>
      <c r="V19" s="88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330"/>
      <c r="AI19" s="83"/>
      <c r="AJ19" s="76"/>
      <c r="AK19" s="83"/>
      <c r="AL19" s="158"/>
      <c r="AM19" s="319"/>
      <c r="AN19" s="76"/>
      <c r="AO19" s="103"/>
      <c r="AP19" s="7"/>
    </row>
    <row r="20" spans="3:42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9"/>
      <c r="T20" s="88"/>
      <c r="U20" s="86"/>
      <c r="V20" s="88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330"/>
      <c r="AI20" s="83"/>
      <c r="AJ20" s="76"/>
      <c r="AK20" s="83"/>
      <c r="AL20" s="158"/>
      <c r="AM20" s="319"/>
      <c r="AN20" s="76"/>
      <c r="AO20" s="103"/>
      <c r="AP20" s="7"/>
    </row>
    <row r="21" spans="3:42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9"/>
      <c r="T21" s="88"/>
      <c r="U21" s="86"/>
      <c r="V21" s="88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330"/>
      <c r="AI21" s="83"/>
      <c r="AJ21" s="76"/>
      <c r="AK21" s="83"/>
      <c r="AL21" s="158"/>
      <c r="AM21" s="319"/>
      <c r="AN21" s="76"/>
      <c r="AO21" s="103"/>
      <c r="AP21" s="7"/>
    </row>
    <row r="22" spans="3:42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9"/>
      <c r="T22" s="88"/>
      <c r="U22" s="86"/>
      <c r="V22" s="88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330"/>
      <c r="AI22" s="83"/>
      <c r="AJ22" s="76"/>
      <c r="AK22" s="83"/>
      <c r="AL22" s="158"/>
      <c r="AM22" s="319"/>
      <c r="AN22" s="76"/>
      <c r="AO22" s="103"/>
      <c r="AP22" s="7"/>
    </row>
    <row r="23" spans="3:42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9"/>
      <c r="T23" s="88"/>
      <c r="U23" s="86"/>
      <c r="V23" s="88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330"/>
      <c r="AI23" s="83"/>
      <c r="AJ23" s="76"/>
      <c r="AK23" s="83"/>
      <c r="AL23" s="158"/>
      <c r="AM23" s="319"/>
      <c r="AN23" s="76"/>
      <c r="AO23" s="103"/>
      <c r="AP23" s="7"/>
    </row>
    <row r="24" spans="3:42" ht="18.75" x14ac:dyDescent="0.3">
      <c r="C24" s="102"/>
      <c r="D24" s="193" t="s">
        <v>135</v>
      </c>
      <c r="E24" s="76">
        <v>0.46</v>
      </c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9"/>
      <c r="T24" s="88"/>
      <c r="U24" s="86"/>
      <c r="V24" s="88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330"/>
      <c r="AI24" s="83"/>
      <c r="AJ24" s="76"/>
      <c r="AK24" s="83"/>
      <c r="AL24" s="158"/>
      <c r="AM24" s="319"/>
      <c r="AN24" s="76"/>
      <c r="AO24" s="103"/>
      <c r="AP24" s="7"/>
    </row>
    <row r="25" spans="3:42" ht="18.75" x14ac:dyDescent="0.3">
      <c r="C25" s="102"/>
      <c r="D25" s="193" t="s">
        <v>136</v>
      </c>
      <c r="E25" s="76">
        <v>60000</v>
      </c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59"/>
      <c r="T25" s="88"/>
      <c r="U25" s="86"/>
      <c r="V25" s="88"/>
      <c r="W25" s="180"/>
      <c r="X25" s="181"/>
      <c r="Y25" s="181"/>
      <c r="Z25" s="182"/>
      <c r="AA25" s="83"/>
      <c r="AB25" s="158"/>
      <c r="AC25" s="83"/>
      <c r="AD25" s="83"/>
      <c r="AE25" s="83"/>
      <c r="AF25" s="76"/>
      <c r="AG25" s="181"/>
      <c r="AH25" s="330"/>
      <c r="AI25" s="83"/>
      <c r="AJ25" s="76"/>
      <c r="AK25" s="83"/>
      <c r="AL25" s="158"/>
      <c r="AM25" s="319"/>
      <c r="AN25" s="76"/>
      <c r="AO25" s="103"/>
      <c r="AP25" s="7"/>
    </row>
    <row r="26" spans="3:42" ht="19.5" thickBot="1" x14ac:dyDescent="0.35">
      <c r="C26" s="102"/>
      <c r="D26" s="194" t="s">
        <v>139</v>
      </c>
      <c r="E26" s="76" t="s">
        <v>138</v>
      </c>
      <c r="F26" s="88"/>
      <c r="G26" s="88"/>
      <c r="H26" s="159"/>
      <c r="I26" s="86"/>
      <c r="J26" s="88"/>
      <c r="K26" s="88"/>
      <c r="L26" s="88"/>
      <c r="M26" s="160"/>
      <c r="N26" s="162"/>
      <c r="O26" s="162"/>
      <c r="P26" s="79"/>
      <c r="Q26" s="88"/>
      <c r="R26" s="163"/>
      <c r="S26" s="159"/>
      <c r="T26" s="88"/>
      <c r="U26" s="86"/>
      <c r="V26" s="88"/>
      <c r="W26" s="180"/>
      <c r="X26" s="181"/>
      <c r="Y26" s="181"/>
      <c r="Z26" s="182"/>
      <c r="AA26" s="83"/>
      <c r="AB26" s="158"/>
      <c r="AC26" s="83"/>
      <c r="AD26" s="83"/>
      <c r="AE26" s="83"/>
      <c r="AF26" s="76"/>
      <c r="AG26" s="181"/>
      <c r="AH26" s="330"/>
      <c r="AI26" s="83"/>
      <c r="AJ26" s="76"/>
      <c r="AK26" s="83"/>
      <c r="AL26" s="158"/>
      <c r="AM26" s="319"/>
      <c r="AN26" s="76"/>
      <c r="AO26" s="103"/>
      <c r="AP26" s="7"/>
    </row>
    <row r="27" spans="3:42" ht="19.5" thickBot="1" x14ac:dyDescent="0.35">
      <c r="C27" s="102"/>
      <c r="D27" s="195"/>
      <c r="E27" s="90"/>
      <c r="F27" s="88"/>
      <c r="G27" s="88"/>
      <c r="H27" s="160"/>
      <c r="I27" s="90"/>
      <c r="J27" s="88"/>
      <c r="K27" s="88"/>
      <c r="L27" s="88"/>
      <c r="M27" s="88"/>
      <c r="N27" s="88"/>
      <c r="O27" s="88"/>
      <c r="P27" s="88"/>
      <c r="Q27" s="88"/>
      <c r="R27" s="163"/>
      <c r="S27" s="160"/>
      <c r="T27" s="89"/>
      <c r="U27" s="90"/>
      <c r="V27" s="88"/>
      <c r="W27" s="183"/>
      <c r="X27" s="184"/>
      <c r="Y27" s="184"/>
      <c r="Z27" s="185"/>
      <c r="AA27" s="83"/>
      <c r="AB27" s="158"/>
      <c r="AC27" s="83"/>
      <c r="AD27" s="83"/>
      <c r="AE27" s="83"/>
      <c r="AF27" s="76"/>
      <c r="AG27" s="181"/>
      <c r="AH27" s="330"/>
      <c r="AI27" s="83"/>
      <c r="AJ27" s="76"/>
      <c r="AK27" s="83"/>
      <c r="AL27" s="158"/>
      <c r="AM27" s="319"/>
      <c r="AN27" s="76"/>
      <c r="AO27" s="103"/>
      <c r="AP27" s="7"/>
    </row>
    <row r="28" spans="3:42" ht="19.5" thickBot="1" x14ac:dyDescent="0.35">
      <c r="C28" s="102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63"/>
      <c r="S28" s="163"/>
      <c r="T28" s="163"/>
      <c r="U28" s="163"/>
      <c r="V28" s="163"/>
      <c r="W28" s="181"/>
      <c r="X28" s="181"/>
      <c r="Y28" s="181"/>
      <c r="Z28" s="181"/>
      <c r="AA28" s="181"/>
      <c r="AB28" s="183"/>
      <c r="AC28" s="184"/>
      <c r="AD28" s="184"/>
      <c r="AE28" s="184"/>
      <c r="AF28" s="185"/>
      <c r="AG28" s="181"/>
      <c r="AH28" s="342"/>
      <c r="AI28" s="162"/>
      <c r="AJ28" s="79"/>
      <c r="AK28" s="83"/>
      <c r="AL28" s="161"/>
      <c r="AM28" s="355"/>
      <c r="AN28" s="79"/>
      <c r="AO28" s="103"/>
      <c r="AP28" s="7"/>
    </row>
    <row r="29" spans="3:42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344"/>
      <c r="AI29" s="7"/>
      <c r="AJ29" s="7"/>
      <c r="AK29" s="7"/>
      <c r="AL29" s="7"/>
      <c r="AM29" s="345"/>
      <c r="AN29" s="7"/>
      <c r="AO29" s="103"/>
      <c r="AP29" s="7"/>
    </row>
    <row r="30" spans="3:42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44"/>
      <c r="AI30" s="7"/>
      <c r="AJ30" s="7"/>
      <c r="AK30" s="7"/>
      <c r="AL30" s="7"/>
      <c r="AM30" s="345"/>
      <c r="AN30" s="7"/>
      <c r="AO30" s="103"/>
      <c r="AP30" s="7"/>
    </row>
    <row r="31" spans="3:42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7"/>
      <c r="AK31" s="7"/>
      <c r="AL31" s="7"/>
      <c r="AM31" s="7"/>
      <c r="AN31" s="7"/>
      <c r="AO31" s="103"/>
      <c r="AP31" s="7"/>
    </row>
    <row r="32" spans="3:42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7"/>
      <c r="AK32" s="7"/>
      <c r="AL32" s="7"/>
      <c r="AM32" s="7"/>
      <c r="AN32" s="7"/>
      <c r="AO32" s="103"/>
      <c r="AP32" s="7"/>
    </row>
    <row r="33" spans="3:42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7"/>
      <c r="AK33" s="7"/>
      <c r="AL33" s="7"/>
      <c r="AM33" s="7"/>
      <c r="AN33" s="7"/>
      <c r="AO33" s="103"/>
      <c r="AP33" s="7"/>
    </row>
    <row r="34" spans="3:42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7"/>
      <c r="AK34" s="7"/>
      <c r="AL34" s="7"/>
      <c r="AM34" s="7"/>
      <c r="AN34" s="7"/>
      <c r="AO34" s="103"/>
      <c r="AP34" s="7"/>
    </row>
    <row r="35" spans="3:42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7"/>
      <c r="AK35" s="7"/>
      <c r="AL35" s="7"/>
      <c r="AM35" s="7"/>
      <c r="AN35" s="7"/>
      <c r="AO35" s="103"/>
      <c r="AP35" s="7"/>
    </row>
    <row r="36" spans="3:42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7"/>
      <c r="AK36" s="7"/>
      <c r="AL36" s="7"/>
      <c r="AM36" s="7"/>
      <c r="AN36" s="7"/>
      <c r="AO36" s="103"/>
      <c r="AP36" s="7"/>
    </row>
    <row r="37" spans="3:42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7"/>
      <c r="AK37" s="7"/>
      <c r="AL37" s="7"/>
      <c r="AM37" s="7"/>
      <c r="AN37" s="7"/>
      <c r="AO37" s="103"/>
      <c r="AP37" s="7"/>
    </row>
    <row r="38" spans="3:42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7"/>
      <c r="AK38" s="7"/>
      <c r="AL38" s="7"/>
      <c r="AM38" s="7"/>
      <c r="AN38" s="7"/>
      <c r="AO38" s="103"/>
      <c r="AP38" s="7"/>
    </row>
    <row r="39" spans="3:42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7"/>
      <c r="AK39" s="7"/>
      <c r="AL39" s="7"/>
      <c r="AM39" s="7"/>
      <c r="AN39" s="7"/>
      <c r="AO39" s="103"/>
      <c r="AP39" s="7"/>
    </row>
    <row r="40" spans="3:42" x14ac:dyDescent="0.25">
      <c r="C40" s="102"/>
      <c r="D40" s="7"/>
      <c r="E40" s="7"/>
      <c r="F40" s="7"/>
      <c r="G40" s="7"/>
      <c r="H40" s="7"/>
      <c r="I40" s="7"/>
      <c r="J40" s="7">
        <f>J36/0.6</f>
        <v>0</v>
      </c>
      <c r="K40" s="7">
        <f>J40/0.0899</f>
        <v>0</v>
      </c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7"/>
      <c r="AK40" s="7"/>
      <c r="AL40" s="7"/>
      <c r="AM40" s="7"/>
      <c r="AN40" s="7"/>
      <c r="AO40" s="103"/>
      <c r="AP40" s="7"/>
    </row>
    <row r="41" spans="3:42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7"/>
      <c r="AK41" s="7"/>
      <c r="AL41" s="7"/>
      <c r="AM41" s="7"/>
      <c r="AN41" s="7"/>
      <c r="AO41" s="103"/>
      <c r="AP41" s="7"/>
    </row>
    <row r="42" spans="3:42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7"/>
      <c r="AK42" s="7"/>
      <c r="AL42" s="7"/>
      <c r="AM42" s="7"/>
      <c r="AN42" s="7"/>
      <c r="AO42" s="103"/>
      <c r="AP42" s="7"/>
    </row>
    <row r="43" spans="3:42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7"/>
      <c r="AK43" s="7"/>
      <c r="AL43" s="7"/>
      <c r="AM43" s="7"/>
      <c r="AN43" s="7"/>
      <c r="AO43" s="103"/>
      <c r="AP43" s="7"/>
    </row>
    <row r="44" spans="3:42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7"/>
      <c r="AK44" s="7"/>
      <c r="AL44" s="7"/>
      <c r="AM44" s="7"/>
      <c r="AN44" s="7"/>
      <c r="AO44" s="103"/>
      <c r="AP44" s="7"/>
    </row>
    <row r="45" spans="3:42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7"/>
      <c r="AK45" s="7"/>
      <c r="AL45" s="7"/>
      <c r="AM45" s="7"/>
      <c r="AN45" s="7"/>
      <c r="AO45" s="103"/>
      <c r="AP45" s="7"/>
    </row>
    <row r="46" spans="3:42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7"/>
      <c r="AK46" s="7"/>
      <c r="AL46" s="7"/>
      <c r="AM46" s="7"/>
      <c r="AN46" s="7"/>
      <c r="AO46" s="103"/>
      <c r="AP46" s="7"/>
    </row>
    <row r="47" spans="3:42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344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7"/>
      <c r="AK47" s="7"/>
      <c r="AL47" s="7"/>
      <c r="AM47" s="7"/>
      <c r="AN47" s="7"/>
      <c r="AO47" s="103"/>
      <c r="AP47" s="7"/>
    </row>
    <row r="48" spans="3:42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7"/>
      <c r="AK48" s="7"/>
      <c r="AL48" s="7"/>
      <c r="AM48" s="7"/>
      <c r="AN48" s="7"/>
      <c r="AO48" s="103"/>
      <c r="AP48" s="7"/>
    </row>
    <row r="49" spans="3:42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7"/>
      <c r="AK49" s="7"/>
      <c r="AL49" s="7"/>
      <c r="AM49" s="7"/>
      <c r="AN49" s="7"/>
      <c r="AO49" s="103"/>
      <c r="AP49" s="7"/>
    </row>
    <row r="50" spans="3:42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7"/>
      <c r="AK50" s="7"/>
      <c r="AL50" s="7"/>
      <c r="AM50" s="7"/>
      <c r="AN50" s="7"/>
      <c r="AO50" s="103"/>
      <c r="AP50" s="7"/>
    </row>
    <row r="51" spans="3:42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7"/>
      <c r="AK51" s="7"/>
      <c r="AL51" s="7"/>
      <c r="AM51" s="7"/>
      <c r="AN51" s="7"/>
      <c r="AO51" s="103"/>
      <c r="AP51" s="7"/>
    </row>
    <row r="52" spans="3:42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7"/>
      <c r="AK52" s="7"/>
      <c r="AL52" s="7"/>
      <c r="AM52" s="7"/>
      <c r="AN52" s="7"/>
      <c r="AO52" s="103"/>
      <c r="AP52" s="7"/>
    </row>
    <row r="53" spans="3:42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7"/>
      <c r="AK53" s="7"/>
      <c r="AL53" s="7"/>
      <c r="AM53" s="7"/>
      <c r="AN53" s="7"/>
      <c r="AO53" s="103"/>
      <c r="AP53" s="7"/>
    </row>
    <row r="54" spans="3:42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7"/>
      <c r="AK54" s="7"/>
      <c r="AL54" s="7"/>
      <c r="AM54" s="7"/>
      <c r="AN54" s="7"/>
      <c r="AO54" s="103"/>
      <c r="AP54" s="7"/>
    </row>
    <row r="55" spans="3:42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7"/>
      <c r="AK55" s="7"/>
      <c r="AL55" s="7"/>
      <c r="AM55" s="7"/>
      <c r="AN55" s="7"/>
      <c r="AO55" s="103"/>
      <c r="AP55" s="7"/>
    </row>
    <row r="56" spans="3:42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7"/>
      <c r="AK56" s="7"/>
      <c r="AL56" s="7"/>
      <c r="AM56" s="7"/>
      <c r="AN56" s="7"/>
      <c r="AO56" s="103"/>
      <c r="AP56" s="7"/>
    </row>
    <row r="57" spans="3:42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7"/>
      <c r="AK57" s="7"/>
      <c r="AL57" s="7"/>
      <c r="AM57" s="7"/>
      <c r="AN57" s="7"/>
      <c r="AO57" s="103"/>
      <c r="AP57" s="7"/>
    </row>
    <row r="58" spans="3:42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7"/>
      <c r="AK58" s="7"/>
      <c r="AL58" s="7"/>
      <c r="AM58" s="7"/>
      <c r="AN58" s="7"/>
      <c r="AO58" s="103"/>
      <c r="AP58" s="7"/>
    </row>
    <row r="59" spans="3:42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7"/>
      <c r="AK59" s="7"/>
      <c r="AL59" s="7"/>
      <c r="AM59" s="7"/>
      <c r="AN59" s="7"/>
      <c r="AO59" s="103"/>
      <c r="AP59" s="7"/>
    </row>
    <row r="60" spans="3:42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7"/>
      <c r="AK60" s="7"/>
      <c r="AL60" s="7"/>
      <c r="AM60" s="7"/>
      <c r="AN60" s="7"/>
      <c r="AO60" s="103"/>
      <c r="AP60" s="7"/>
    </row>
    <row r="61" spans="3:42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7"/>
      <c r="AK61" s="7"/>
      <c r="AL61" s="7"/>
      <c r="AM61" s="7"/>
      <c r="AN61" s="7"/>
      <c r="AO61" s="103"/>
      <c r="AP61" s="7"/>
    </row>
    <row r="62" spans="3:42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7"/>
      <c r="AK62" s="7"/>
      <c r="AL62" s="7"/>
      <c r="AM62" s="7"/>
      <c r="AN62" s="7"/>
      <c r="AO62" s="103"/>
      <c r="AP62" s="7"/>
    </row>
    <row r="63" spans="3:42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7"/>
      <c r="AK63" s="7"/>
      <c r="AL63" s="7"/>
      <c r="AM63" s="7"/>
      <c r="AN63" s="7"/>
      <c r="AO63" s="103"/>
      <c r="AP63" s="7"/>
    </row>
    <row r="64" spans="3:42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7"/>
      <c r="AK64" s="7"/>
      <c r="AL64" s="7"/>
      <c r="AM64" s="7"/>
      <c r="AN64" s="7"/>
      <c r="AO64" s="103"/>
      <c r="AP64" s="7"/>
    </row>
    <row r="65" spans="3:42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7"/>
      <c r="AK65" s="7"/>
      <c r="AL65" s="7"/>
      <c r="AM65" s="7"/>
      <c r="AN65" s="7"/>
      <c r="AO65" s="103"/>
      <c r="AP65" s="7"/>
    </row>
    <row r="66" spans="3:42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7"/>
      <c r="AK66" s="7"/>
      <c r="AL66" s="7"/>
      <c r="AM66" s="7"/>
      <c r="AN66" s="7"/>
      <c r="AO66" s="103"/>
      <c r="AP66" s="7"/>
    </row>
    <row r="67" spans="3:42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7"/>
      <c r="AK67" s="7"/>
      <c r="AL67" s="7"/>
      <c r="AM67" s="7"/>
      <c r="AN67" s="7"/>
      <c r="AO67" s="103"/>
      <c r="AP67" s="7"/>
    </row>
    <row r="68" spans="3:42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7"/>
      <c r="AK68" s="7"/>
      <c r="AL68" s="7"/>
      <c r="AM68" s="7"/>
      <c r="AN68" s="7"/>
      <c r="AO68" s="103"/>
      <c r="AP68" s="7"/>
    </row>
    <row r="69" spans="3:42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7"/>
      <c r="AK69" s="7"/>
      <c r="AL69" s="7"/>
      <c r="AM69" s="7"/>
      <c r="AN69" s="7"/>
      <c r="AO69" s="103"/>
      <c r="AP69" s="7"/>
    </row>
    <row r="70" spans="3:42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04"/>
      <c r="AK70" s="104"/>
      <c r="AL70" s="104"/>
      <c r="AM70" s="104"/>
      <c r="AN70" s="104"/>
      <c r="AO70" s="70"/>
      <c r="AP70" s="7"/>
    </row>
    <row r="118" spans="18:18" x14ac:dyDescent="0.25">
      <c r="R118" s="3" t="s">
        <v>49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whole" allowBlank="1" showInputMessage="1" showErrorMessage="1" xr:uid="{782FF4D0-009B-834E-A109-543166696CC2}">
          <x14:formula1>
            <xm:f>'C:\Users\philippkenkel\Seafile\RESILIENTE ENERGIESYSTEME\Intern\[Methanol_Case_Dev.xlsm]Systemblatt'!#REF!</xm:f>
          </x14:formula1>
          <x14:formula2>
            <xm:f>'C:\Users\philippkenkel\Seafile\RESILIENTE ENERGIESYSTEME\Intern\[Methanol_Case_Dev.xlsm]Systemblatt'!#REF!</xm:f>
          </x14:formula2>
          <xm:sqref>E17:E20</xm:sqref>
        </x14:dataValidation>
        <x14:dataValidation type="list" allowBlank="1" showInputMessage="1" showErrorMessage="1" xr:uid="{F87675AF-8AD0-F544-99BD-C336C3BEB569}">
          <x14:formula1>
            <xm:f>'C:\Users\philippkenkel\Seafile\RESILIENTE ENERGIESYSTEME\Intern\[Methanol_Case_Dev.xlsm]Systemblatt'!#REF!</xm:f>
          </x14:formula1>
          <xm:sqref>I16:I17 AC11:AC24 N13:O13 AE11:AE24 T14:T24 P12:P13</xm:sqref>
        </x14:dataValidation>
        <x14:dataValidation type="list" allowBlank="1" showInputMessage="1" showErrorMessage="1" xr:uid="{2C3A0E82-E42F-C244-9BF8-6564D70E35FA}">
          <x14:formula1>
            <xm:f>'C:\Users\philippkenkel\Seafile\RESILIENTE ENERGIESYSTEME\Intern\[Methanol_Case_Dev.xlsm]DataBank'!#REF!</xm:f>
          </x14:formula1>
          <xm:sqref>P11 I15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E8377-CE12-EC4A-954F-EF68771ECEC9}">
  <sheetPr codeName="Tabelle53"/>
  <dimension ref="C1:AO117"/>
  <sheetViews>
    <sheetView topLeftCell="M1" zoomScale="76" zoomScaleNormal="76" workbookViewId="0">
      <selection activeCell="X10" sqref="X10:Y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85546875" style="3" customWidth="1"/>
    <col min="5" max="6" width="15.28515625" style="3" customWidth="1"/>
    <col min="7" max="7" width="6.28515625" style="3" customWidth="1"/>
    <col min="8" max="8" width="21" style="3" customWidth="1"/>
    <col min="9" max="11" width="15.28515625" style="3" customWidth="1"/>
    <col min="12" max="12" width="4.28515625" style="3" customWidth="1"/>
    <col min="13" max="13" width="27.42578125" style="3" customWidth="1"/>
    <col min="14" max="14" width="15.28515625" style="3" customWidth="1"/>
    <col min="15" max="16" width="30.42578125" style="3" customWidth="1"/>
    <col min="17" max="18" width="15.28515625" style="3" customWidth="1"/>
    <col min="19" max="19" width="20.7109375" style="3" customWidth="1"/>
    <col min="20" max="20" width="22.140625" style="3" customWidth="1"/>
    <col min="21" max="22" width="10.85546875" style="3"/>
    <col min="23" max="23" width="18.28515625" style="3" customWidth="1"/>
    <col min="24" max="24" width="18.7109375" style="3" customWidth="1"/>
    <col min="25" max="25" width="20" style="3" customWidth="1"/>
    <col min="26" max="26" width="21.42578125" style="3" customWidth="1"/>
    <col min="27" max="27" width="10.85546875" style="3"/>
    <col min="28" max="28" width="17.85546875" style="3" customWidth="1"/>
    <col min="29" max="29" width="16.85546875" style="3" customWidth="1"/>
    <col min="30" max="30" width="15.28515625" style="3" customWidth="1"/>
    <col min="31" max="31" width="13.85546875" style="3" customWidth="1"/>
    <col min="32" max="32" width="64.140625" style="3" customWidth="1"/>
    <col min="33" max="33" width="10.85546875" style="3"/>
    <col min="34" max="34" width="19.85546875" style="3" customWidth="1"/>
    <col min="35" max="35" width="10.85546875" style="3"/>
    <col min="36" max="36" width="13.140625" style="3" customWidth="1"/>
    <col min="37" max="37" width="10.85546875" style="3"/>
    <col min="38" max="38" width="17.140625" style="3" customWidth="1"/>
    <col min="39" max="39" width="23.140625" style="3" customWidth="1"/>
    <col min="40" max="40" width="20.85546875" style="3" customWidth="1"/>
    <col min="41" max="16384" width="10.85546875" style="3"/>
  </cols>
  <sheetData>
    <row r="1" spans="3:41" ht="10.5" customHeight="1" x14ac:dyDescent="0.25">
      <c r="AK1" s="7"/>
      <c r="AL1" s="7"/>
      <c r="AM1" s="7"/>
      <c r="AN1" s="7"/>
      <c r="AO1" s="7"/>
    </row>
    <row r="2" spans="3:41" ht="6.95" customHeight="1" thickBot="1" x14ac:dyDescent="0.3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7"/>
      <c r="AL2" s="7"/>
      <c r="AM2" s="7"/>
      <c r="AN2" s="7"/>
      <c r="AO2" s="7"/>
    </row>
    <row r="3" spans="3:41" x14ac:dyDescent="0.25">
      <c r="C3" s="112"/>
      <c r="D3" s="113"/>
      <c r="E3" s="113"/>
      <c r="F3" s="113"/>
      <c r="G3" s="113"/>
      <c r="H3" s="113"/>
      <c r="I3" s="113"/>
      <c r="J3" s="113" t="s">
        <v>45</v>
      </c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13"/>
      <c r="AL3" s="113"/>
      <c r="AM3" s="113"/>
      <c r="AN3" s="113"/>
      <c r="AO3" s="124"/>
    </row>
    <row r="4" spans="3:41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7"/>
      <c r="AL4" s="7"/>
      <c r="AM4" s="7"/>
      <c r="AN4" s="7"/>
      <c r="AO4" s="103"/>
    </row>
    <row r="5" spans="3:41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7"/>
      <c r="AL5" s="7"/>
      <c r="AM5" s="7"/>
      <c r="AN5" s="7"/>
      <c r="AO5" s="103"/>
    </row>
    <row r="6" spans="3:41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27"/>
      <c r="AK6" s="127"/>
      <c r="AL6" s="127"/>
      <c r="AM6" s="127"/>
      <c r="AN6" s="127"/>
      <c r="AO6" s="317"/>
    </row>
    <row r="7" spans="3:41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7"/>
      <c r="AI7" s="7"/>
      <c r="AJ7" s="7"/>
      <c r="AK7" s="7"/>
      <c r="AL7" s="7"/>
      <c r="AM7" s="7"/>
      <c r="AN7" s="7"/>
      <c r="AO7" s="103"/>
    </row>
    <row r="8" spans="3:41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76" t="s">
        <v>124</v>
      </c>
      <c r="T8" s="577"/>
      <c r="U8" s="578"/>
      <c r="V8" s="318"/>
      <c r="W8" s="579" t="s">
        <v>197</v>
      </c>
      <c r="X8" s="580"/>
      <c r="Y8" s="580"/>
      <c r="Z8" s="581"/>
      <c r="AA8" s="13"/>
      <c r="AB8" s="579" t="s">
        <v>134</v>
      </c>
      <c r="AC8" s="580"/>
      <c r="AD8" s="580"/>
      <c r="AE8" s="580"/>
      <c r="AF8" s="581"/>
      <c r="AG8" s="13"/>
      <c r="AH8" s="582" t="s">
        <v>11</v>
      </c>
      <c r="AI8" s="583"/>
      <c r="AJ8" s="584"/>
      <c r="AK8" s="319"/>
      <c r="AL8" s="582" t="s">
        <v>12</v>
      </c>
      <c r="AM8" s="583"/>
      <c r="AN8" s="584"/>
      <c r="AO8" s="103"/>
    </row>
    <row r="9" spans="3:41" ht="21.75" thickBot="1" x14ac:dyDescent="0.4">
      <c r="C9" s="102"/>
      <c r="D9" s="320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22" t="s">
        <v>126</v>
      </c>
      <c r="T9" s="322" t="s">
        <v>76</v>
      </c>
      <c r="U9" s="322" t="s">
        <v>127</v>
      </c>
      <c r="V9" s="321"/>
      <c r="W9" s="347" t="s">
        <v>188</v>
      </c>
      <c r="X9" s="573"/>
      <c r="Y9" s="574"/>
      <c r="Z9" s="575"/>
      <c r="AA9" s="13"/>
      <c r="AB9" s="322" t="s">
        <v>131</v>
      </c>
      <c r="AC9" s="322" t="s">
        <v>130</v>
      </c>
      <c r="AD9" s="322" t="s">
        <v>8</v>
      </c>
      <c r="AE9" s="322" t="s">
        <v>132</v>
      </c>
      <c r="AF9" s="322" t="s">
        <v>133</v>
      </c>
      <c r="AG9" s="13"/>
      <c r="AH9" s="323" t="s">
        <v>13</v>
      </c>
      <c r="AI9" s="324" t="s">
        <v>14</v>
      </c>
      <c r="AJ9" s="325" t="s">
        <v>1</v>
      </c>
      <c r="AK9" s="326"/>
      <c r="AL9" s="323" t="s">
        <v>15</v>
      </c>
      <c r="AM9" s="324" t="s">
        <v>16</v>
      </c>
      <c r="AN9" s="325" t="s">
        <v>17</v>
      </c>
      <c r="AO9" s="103"/>
    </row>
    <row r="10" spans="3:41" ht="18.75" x14ac:dyDescent="0.3">
      <c r="C10" s="102"/>
      <c r="D10" s="327" t="s">
        <v>2</v>
      </c>
      <c r="E10" s="74" t="s">
        <v>217</v>
      </c>
      <c r="F10" s="88"/>
      <c r="G10" s="88"/>
      <c r="H10" s="328" t="s">
        <v>3</v>
      </c>
      <c r="I10" s="76"/>
      <c r="J10" s="88"/>
      <c r="K10" s="88"/>
      <c r="L10" s="88"/>
      <c r="M10" s="328" t="s">
        <v>121</v>
      </c>
      <c r="N10" s="153">
        <v>53.95</v>
      </c>
      <c r="O10" s="153">
        <v>-9.57</v>
      </c>
      <c r="P10" s="76"/>
      <c r="Q10" s="88"/>
      <c r="R10" s="163"/>
      <c r="S10" s="152">
        <v>2410</v>
      </c>
      <c r="T10" s="153" t="s">
        <v>32</v>
      </c>
      <c r="U10" s="154">
        <v>0.999</v>
      </c>
      <c r="V10" s="329"/>
      <c r="W10" s="349">
        <v>111</v>
      </c>
      <c r="X10" s="83">
        <v>2410</v>
      </c>
      <c r="Y10" s="153">
        <v>999</v>
      </c>
      <c r="Z10" s="154"/>
      <c r="AA10" s="83"/>
      <c r="AB10" s="187" t="s">
        <v>26</v>
      </c>
      <c r="AC10" s="186" t="s">
        <v>50</v>
      </c>
      <c r="AD10" s="186"/>
      <c r="AE10" s="186" t="s">
        <v>30</v>
      </c>
      <c r="AF10" s="188">
        <v>1</v>
      </c>
      <c r="AG10" s="181"/>
      <c r="AH10" s="152" t="s">
        <v>9</v>
      </c>
      <c r="AI10" s="153">
        <v>1</v>
      </c>
      <c r="AJ10" s="154">
        <v>0.89</v>
      </c>
      <c r="AK10" s="332"/>
      <c r="AL10" s="164">
        <v>1</v>
      </c>
      <c r="AM10" s="356" t="s">
        <v>30</v>
      </c>
      <c r="AN10" s="357">
        <v>1</v>
      </c>
      <c r="AO10" s="103"/>
    </row>
    <row r="11" spans="3:41" ht="18.75" x14ac:dyDescent="0.3">
      <c r="C11" s="102"/>
      <c r="D11" s="328" t="s">
        <v>4</v>
      </c>
      <c r="E11" s="154">
        <v>2500</v>
      </c>
      <c r="F11" s="88"/>
      <c r="G11" s="88"/>
      <c r="H11" s="328" t="s">
        <v>113</v>
      </c>
      <c r="I11" s="154">
        <v>0.99390000000000001</v>
      </c>
      <c r="J11" s="88"/>
      <c r="K11" s="88"/>
      <c r="L11" s="88"/>
      <c r="M11" s="333" t="s">
        <v>122</v>
      </c>
      <c r="N11" s="83" t="s">
        <v>27</v>
      </c>
      <c r="O11" s="83" t="s">
        <v>27</v>
      </c>
      <c r="P11" s="76"/>
      <c r="Q11" s="88"/>
      <c r="R11" s="163"/>
      <c r="S11" s="152">
        <v>2410</v>
      </c>
      <c r="T11" s="153" t="s">
        <v>9</v>
      </c>
      <c r="U11" s="154">
        <v>2E-3</v>
      </c>
      <c r="V11" s="329"/>
      <c r="W11" s="158"/>
      <c r="X11" s="83"/>
      <c r="Y11" s="329"/>
      <c r="Z11" s="331"/>
      <c r="AA11" s="83"/>
      <c r="AB11" s="330"/>
      <c r="AC11" s="83"/>
      <c r="AD11" s="329"/>
      <c r="AE11" s="83"/>
      <c r="AF11" s="331"/>
      <c r="AG11" s="181"/>
      <c r="AH11" s="152" t="s">
        <v>30</v>
      </c>
      <c r="AI11" s="153">
        <v>1</v>
      </c>
      <c r="AJ11" s="154">
        <v>-1</v>
      </c>
      <c r="AK11" s="332"/>
      <c r="AL11" s="334"/>
      <c r="AM11" s="335"/>
      <c r="AN11" s="336"/>
      <c r="AO11" s="103"/>
    </row>
    <row r="12" spans="3:41" ht="18.75" x14ac:dyDescent="0.3">
      <c r="C12" s="102"/>
      <c r="D12" s="328" t="s">
        <v>90</v>
      </c>
      <c r="E12" s="154" t="s">
        <v>47</v>
      </c>
      <c r="F12" s="88"/>
      <c r="G12" s="88"/>
      <c r="H12" s="328" t="s">
        <v>114</v>
      </c>
      <c r="I12" s="154">
        <v>1</v>
      </c>
      <c r="J12" s="88"/>
      <c r="K12" s="88"/>
      <c r="L12" s="88"/>
      <c r="M12" s="333" t="s">
        <v>123</v>
      </c>
      <c r="N12" s="153" t="s">
        <v>32</v>
      </c>
      <c r="O12" s="153" t="s">
        <v>32</v>
      </c>
      <c r="P12" s="76"/>
      <c r="Q12" s="88"/>
      <c r="R12" s="163"/>
      <c r="S12" s="187">
        <v>999</v>
      </c>
      <c r="T12" s="153" t="s">
        <v>9</v>
      </c>
      <c r="U12" s="188">
        <v>0.998</v>
      </c>
      <c r="V12" s="329"/>
      <c r="W12" s="158"/>
      <c r="X12" s="83"/>
      <c r="Y12" s="337"/>
      <c r="Z12" s="338"/>
      <c r="AA12" s="337"/>
      <c r="AB12" s="339"/>
      <c r="AC12" s="83"/>
      <c r="AD12" s="337"/>
      <c r="AE12" s="83"/>
      <c r="AF12" s="331"/>
      <c r="AG12" s="181"/>
      <c r="AH12" s="152" t="s">
        <v>32</v>
      </c>
      <c r="AI12" s="153">
        <v>1</v>
      </c>
      <c r="AJ12" s="154">
        <v>0.11</v>
      </c>
      <c r="AK12" s="332"/>
      <c r="AL12" s="334"/>
      <c r="AM12" s="335"/>
      <c r="AN12" s="336"/>
      <c r="AO12" s="103"/>
    </row>
    <row r="13" spans="3:41" ht="18.75" x14ac:dyDescent="0.3">
      <c r="C13" s="102"/>
      <c r="D13" s="328" t="s">
        <v>102</v>
      </c>
      <c r="E13" s="154"/>
      <c r="F13" s="88"/>
      <c r="G13" s="88"/>
      <c r="H13" s="328" t="s">
        <v>115</v>
      </c>
      <c r="I13" s="154">
        <v>0.88349999999999995</v>
      </c>
      <c r="J13" s="88"/>
      <c r="K13" s="88"/>
      <c r="L13" s="88"/>
      <c r="M13" s="333"/>
      <c r="N13" s="83"/>
      <c r="O13" s="83"/>
      <c r="P13" s="76"/>
      <c r="Q13" s="88"/>
      <c r="R13" s="163"/>
      <c r="S13" s="180">
        <v>999</v>
      </c>
      <c r="T13" s="181" t="s">
        <v>32</v>
      </c>
      <c r="U13" s="182">
        <v>1E-3</v>
      </c>
      <c r="V13" s="337"/>
      <c r="W13" s="158"/>
      <c r="X13" s="83"/>
      <c r="Y13" s="337"/>
      <c r="Z13" s="338"/>
      <c r="AA13" s="337"/>
      <c r="AB13" s="339"/>
      <c r="AC13" s="83"/>
      <c r="AD13" s="337"/>
      <c r="AE13" s="83"/>
      <c r="AF13" s="331"/>
      <c r="AG13" s="181"/>
      <c r="AH13" s="330"/>
      <c r="AI13" s="329"/>
      <c r="AJ13" s="331"/>
      <c r="AK13" s="332"/>
      <c r="AL13" s="340"/>
      <c r="AM13" s="335"/>
      <c r="AN13" s="341"/>
      <c r="AO13" s="103"/>
    </row>
    <row r="14" spans="3:41" ht="18.75" x14ac:dyDescent="0.3">
      <c r="C14" s="102"/>
      <c r="D14" s="328" t="s">
        <v>103</v>
      </c>
      <c r="E14" s="154">
        <v>20</v>
      </c>
      <c r="F14" s="88"/>
      <c r="G14" s="88"/>
      <c r="H14" s="328" t="s">
        <v>116</v>
      </c>
      <c r="I14" s="154">
        <v>2018</v>
      </c>
      <c r="J14" s="88"/>
      <c r="K14" s="88"/>
      <c r="L14" s="88"/>
      <c r="M14" s="85"/>
      <c r="N14" s="83"/>
      <c r="O14" s="83"/>
      <c r="P14" s="76"/>
      <c r="Q14" s="88"/>
      <c r="R14" s="163"/>
      <c r="S14" s="339"/>
      <c r="T14" s="83"/>
      <c r="U14" s="338"/>
      <c r="V14" s="337"/>
      <c r="W14" s="158"/>
      <c r="X14" s="83"/>
      <c r="Y14" s="337"/>
      <c r="Z14" s="338"/>
      <c r="AA14" s="337"/>
      <c r="AB14" s="339"/>
      <c r="AC14" s="83"/>
      <c r="AD14" s="337"/>
      <c r="AE14" s="83"/>
      <c r="AF14" s="331"/>
      <c r="AG14" s="181"/>
      <c r="AH14" s="330"/>
      <c r="AI14" s="329"/>
      <c r="AJ14" s="331"/>
      <c r="AK14" s="332"/>
      <c r="AL14" s="340"/>
      <c r="AM14" s="335"/>
      <c r="AN14" s="341"/>
      <c r="AO14" s="103"/>
    </row>
    <row r="15" spans="3:41" ht="18.75" x14ac:dyDescent="0.3">
      <c r="C15" s="102"/>
      <c r="D15" s="328" t="s">
        <v>104</v>
      </c>
      <c r="E15" s="154">
        <v>0.56999999999999995</v>
      </c>
      <c r="F15" s="88"/>
      <c r="G15" s="88"/>
      <c r="H15" s="333" t="s">
        <v>117</v>
      </c>
      <c r="I15" s="76" t="s">
        <v>54</v>
      </c>
      <c r="J15" s="88"/>
      <c r="K15" s="88"/>
      <c r="L15" s="88"/>
      <c r="M15" s="85"/>
      <c r="N15" s="83"/>
      <c r="O15" s="83"/>
      <c r="P15" s="76"/>
      <c r="Q15" s="88"/>
      <c r="R15" s="163"/>
      <c r="S15" s="339"/>
      <c r="T15" s="83"/>
      <c r="U15" s="338"/>
      <c r="V15" s="337"/>
      <c r="W15" s="158"/>
      <c r="X15" s="83"/>
      <c r="Y15" s="83"/>
      <c r="Z15" s="76"/>
      <c r="AA15" s="83"/>
      <c r="AB15" s="158"/>
      <c r="AC15" s="83"/>
      <c r="AD15" s="83"/>
      <c r="AE15" s="83"/>
      <c r="AF15" s="331"/>
      <c r="AG15" s="181"/>
      <c r="AH15" s="330"/>
      <c r="AI15" s="329"/>
      <c r="AJ15" s="331"/>
      <c r="AK15" s="332"/>
      <c r="AL15" s="340"/>
      <c r="AM15" s="335"/>
      <c r="AN15" s="341"/>
      <c r="AO15" s="103"/>
    </row>
    <row r="16" spans="3:41" ht="18.75" x14ac:dyDescent="0.3">
      <c r="C16" s="102"/>
      <c r="D16" s="328" t="s">
        <v>105</v>
      </c>
      <c r="E16" s="154">
        <v>0.7</v>
      </c>
      <c r="F16" s="88"/>
      <c r="G16" s="88"/>
      <c r="H16" s="333" t="s">
        <v>101</v>
      </c>
      <c r="I16" s="76" t="s">
        <v>32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330"/>
      <c r="AI16" s="83"/>
      <c r="AJ16" s="76"/>
      <c r="AK16" s="88"/>
      <c r="AL16" s="159"/>
      <c r="AM16" s="335"/>
      <c r="AN16" s="86"/>
      <c r="AO16" s="103"/>
    </row>
    <row r="17" spans="3:41" ht="18.75" x14ac:dyDescent="0.3">
      <c r="C17" s="102"/>
      <c r="D17" s="328" t="s">
        <v>106</v>
      </c>
      <c r="E17" s="76">
        <v>65</v>
      </c>
      <c r="F17" s="88"/>
      <c r="G17" s="88"/>
      <c r="H17" s="333"/>
      <c r="I17" s="8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330"/>
      <c r="AI17" s="83"/>
      <c r="AJ17" s="76"/>
      <c r="AK17" s="88"/>
      <c r="AL17" s="159"/>
      <c r="AM17" s="335"/>
      <c r="AN17" s="86"/>
      <c r="AO17" s="103"/>
    </row>
    <row r="18" spans="3:41" ht="18.75" x14ac:dyDescent="0.3">
      <c r="C18" s="102"/>
      <c r="D18" s="77" t="s">
        <v>107</v>
      </c>
      <c r="E18" s="76">
        <v>65</v>
      </c>
      <c r="F18" s="88"/>
      <c r="G18" s="88"/>
      <c r="H18" s="85"/>
      <c r="I18" s="8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330"/>
      <c r="AI18" s="83"/>
      <c r="AJ18" s="76"/>
      <c r="AK18" s="88"/>
      <c r="AL18" s="159"/>
      <c r="AM18" s="335"/>
      <c r="AN18" s="86"/>
      <c r="AO18" s="103"/>
    </row>
    <row r="19" spans="3:41" ht="18.75" x14ac:dyDescent="0.3">
      <c r="C19" s="102"/>
      <c r="D19" s="328" t="s">
        <v>108</v>
      </c>
      <c r="E19" s="76"/>
      <c r="F19" s="88"/>
      <c r="G19" s="88"/>
      <c r="H19" s="85"/>
      <c r="I19" s="8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330"/>
      <c r="AI19" s="83"/>
      <c r="AJ19" s="76"/>
      <c r="AK19" s="88"/>
      <c r="AL19" s="159"/>
      <c r="AM19" s="335"/>
      <c r="AN19" s="86"/>
      <c r="AO19" s="103"/>
    </row>
    <row r="20" spans="3:41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330"/>
      <c r="AI20" s="83"/>
      <c r="AJ20" s="76"/>
      <c r="AK20" s="88"/>
      <c r="AL20" s="159"/>
      <c r="AM20" s="335"/>
      <c r="AN20" s="86"/>
      <c r="AO20" s="103"/>
    </row>
    <row r="21" spans="3:41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330"/>
      <c r="AI21" s="83"/>
      <c r="AJ21" s="76"/>
      <c r="AK21" s="88"/>
      <c r="AL21" s="159"/>
      <c r="AM21" s="335"/>
      <c r="AN21" s="86"/>
      <c r="AO21" s="103"/>
    </row>
    <row r="22" spans="3:41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330"/>
      <c r="AI22" s="83"/>
      <c r="AJ22" s="76"/>
      <c r="AK22" s="88"/>
      <c r="AL22" s="159"/>
      <c r="AM22" s="335"/>
      <c r="AN22" s="86"/>
      <c r="AO22" s="103"/>
    </row>
    <row r="23" spans="3:41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330"/>
      <c r="AI23" s="83"/>
      <c r="AJ23" s="76"/>
      <c r="AK23" s="88"/>
      <c r="AL23" s="159"/>
      <c r="AM23" s="335"/>
      <c r="AN23" s="86"/>
      <c r="AO23" s="103"/>
    </row>
    <row r="24" spans="3:41" ht="18.75" x14ac:dyDescent="0.3">
      <c r="C24" s="102"/>
      <c r="D24" s="193" t="s">
        <v>135</v>
      </c>
      <c r="E24" s="76">
        <v>0.48</v>
      </c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330"/>
      <c r="AI24" s="83"/>
      <c r="AJ24" s="76"/>
      <c r="AK24" s="88"/>
      <c r="AL24" s="159"/>
      <c r="AM24" s="335"/>
      <c r="AN24" s="86"/>
      <c r="AO24" s="103"/>
    </row>
    <row r="25" spans="3:41" ht="18.75" x14ac:dyDescent="0.3">
      <c r="C25" s="102"/>
      <c r="D25" s="193" t="s">
        <v>136</v>
      </c>
      <c r="E25" s="76">
        <v>40000</v>
      </c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330"/>
      <c r="AI25" s="83"/>
      <c r="AJ25" s="76"/>
      <c r="AK25" s="88"/>
      <c r="AL25" s="159"/>
      <c r="AM25" s="335"/>
      <c r="AN25" s="86"/>
      <c r="AO25" s="103"/>
    </row>
    <row r="26" spans="3:41" ht="18.75" x14ac:dyDescent="0.3">
      <c r="C26" s="102"/>
      <c r="D26" s="194" t="s">
        <v>139</v>
      </c>
      <c r="E26" s="76" t="s">
        <v>138</v>
      </c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81"/>
      <c r="AH26" s="330"/>
      <c r="AI26" s="83"/>
      <c r="AJ26" s="76"/>
      <c r="AK26" s="88"/>
      <c r="AL26" s="159"/>
      <c r="AM26" s="335"/>
      <c r="AN26" s="86"/>
      <c r="AO26" s="103"/>
    </row>
    <row r="27" spans="3:41" ht="19.5" thickBot="1" x14ac:dyDescent="0.35">
      <c r="C27" s="102"/>
      <c r="D27" s="195"/>
      <c r="E27" s="79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77"/>
      <c r="T27" s="178"/>
      <c r="U27" s="179"/>
      <c r="V27" s="163"/>
      <c r="W27" s="183"/>
      <c r="X27" s="184"/>
      <c r="Y27" s="184"/>
      <c r="Z27" s="185"/>
      <c r="AA27" s="163"/>
      <c r="AB27" s="177"/>
      <c r="AC27" s="178"/>
      <c r="AD27" s="178"/>
      <c r="AE27" s="178"/>
      <c r="AF27" s="179"/>
      <c r="AG27" s="163"/>
      <c r="AH27" s="358"/>
      <c r="AI27" s="89"/>
      <c r="AJ27" s="90"/>
      <c r="AK27" s="88"/>
      <c r="AL27" s="160"/>
      <c r="AM27" s="343"/>
      <c r="AN27" s="90"/>
      <c r="AO27" s="103"/>
    </row>
    <row r="28" spans="3:41" ht="15.75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344"/>
      <c r="AI28" s="7"/>
      <c r="AJ28" s="7"/>
      <c r="AK28" s="7"/>
      <c r="AL28" s="7"/>
      <c r="AM28" s="345"/>
      <c r="AN28" s="7"/>
      <c r="AO28" s="103"/>
    </row>
    <row r="29" spans="3:41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344"/>
      <c r="AI29" s="7"/>
      <c r="AJ29" s="7"/>
      <c r="AK29" s="7"/>
      <c r="AL29" s="7"/>
      <c r="AM29" s="345"/>
      <c r="AN29" s="7"/>
      <c r="AO29" s="103"/>
    </row>
    <row r="30" spans="3:41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44"/>
      <c r="AI30" s="7"/>
      <c r="AJ30" s="7"/>
      <c r="AK30" s="7"/>
      <c r="AL30" s="7"/>
      <c r="AM30" s="345"/>
      <c r="AN30" s="7"/>
      <c r="AO30" s="103"/>
    </row>
    <row r="31" spans="3:41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7"/>
      <c r="AL31" s="7"/>
      <c r="AM31" s="7"/>
      <c r="AN31" s="7"/>
      <c r="AO31" s="103"/>
    </row>
    <row r="32" spans="3:41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7"/>
      <c r="AL32" s="7"/>
      <c r="AM32" s="7"/>
      <c r="AN32" s="7"/>
      <c r="AO32" s="103"/>
    </row>
    <row r="33" spans="3:41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7"/>
      <c r="AL33" s="7"/>
      <c r="AM33" s="7"/>
      <c r="AN33" s="7"/>
      <c r="AO33" s="103"/>
    </row>
    <row r="34" spans="3:41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7"/>
      <c r="AL34" s="7"/>
      <c r="AM34" s="7"/>
      <c r="AN34" s="7"/>
      <c r="AO34" s="103"/>
    </row>
    <row r="35" spans="3:41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7"/>
      <c r="AL35" s="7"/>
      <c r="AM35" s="7"/>
      <c r="AN35" s="7"/>
      <c r="AO35" s="103"/>
    </row>
    <row r="36" spans="3:41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7"/>
      <c r="AL36" s="7"/>
      <c r="AM36" s="7"/>
      <c r="AN36" s="7"/>
      <c r="AO36" s="103"/>
    </row>
    <row r="37" spans="3:41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7"/>
      <c r="AL37" s="7"/>
      <c r="AM37" s="7"/>
      <c r="AN37" s="7"/>
      <c r="AO37" s="103"/>
    </row>
    <row r="38" spans="3:41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7"/>
      <c r="AL38" s="7"/>
      <c r="AM38" s="7"/>
      <c r="AN38" s="7"/>
      <c r="AO38" s="103"/>
    </row>
    <row r="39" spans="3:41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7"/>
      <c r="AL39" s="7"/>
      <c r="AM39" s="7"/>
      <c r="AN39" s="7"/>
      <c r="AO39" s="103"/>
    </row>
    <row r="40" spans="3:41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7"/>
      <c r="AL40" s="7"/>
      <c r="AM40" s="7"/>
      <c r="AN40" s="7"/>
      <c r="AO40" s="103"/>
    </row>
    <row r="41" spans="3:41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7"/>
      <c r="AL41" s="7"/>
      <c r="AM41" s="7"/>
      <c r="AN41" s="7"/>
      <c r="AO41" s="103"/>
    </row>
    <row r="42" spans="3:41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7"/>
      <c r="AL42" s="7"/>
      <c r="AM42" s="7"/>
      <c r="AN42" s="7"/>
      <c r="AO42" s="103"/>
    </row>
    <row r="43" spans="3:41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7"/>
      <c r="AL43" s="7"/>
      <c r="AM43" s="7"/>
      <c r="AN43" s="7"/>
      <c r="AO43" s="103"/>
    </row>
    <row r="44" spans="3:41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7"/>
      <c r="AL44" s="7"/>
      <c r="AM44" s="7"/>
      <c r="AN44" s="7"/>
      <c r="AO44" s="103"/>
    </row>
    <row r="45" spans="3:41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7"/>
      <c r="AL45" s="7"/>
      <c r="AM45" s="7"/>
      <c r="AN45" s="7"/>
      <c r="AO45" s="103"/>
    </row>
    <row r="46" spans="3:41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7"/>
      <c r="AL46" s="7"/>
      <c r="AM46" s="7"/>
      <c r="AN46" s="7"/>
      <c r="AO46" s="103"/>
    </row>
    <row r="47" spans="3:41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344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7"/>
      <c r="AL47" s="7"/>
      <c r="AM47" s="7"/>
      <c r="AN47" s="7"/>
      <c r="AO47" s="103"/>
    </row>
    <row r="48" spans="3:41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7"/>
      <c r="AL48" s="7"/>
      <c r="AM48" s="7"/>
      <c r="AN48" s="7"/>
      <c r="AO48" s="103"/>
    </row>
    <row r="49" spans="3:41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7"/>
      <c r="AL49" s="7"/>
      <c r="AM49" s="7"/>
      <c r="AN49" s="7"/>
      <c r="AO49" s="103"/>
    </row>
    <row r="50" spans="3:41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7"/>
      <c r="AL50" s="7"/>
      <c r="AM50" s="7"/>
      <c r="AN50" s="7"/>
      <c r="AO50" s="103"/>
    </row>
    <row r="51" spans="3:41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7"/>
      <c r="AL51" s="7"/>
      <c r="AM51" s="7"/>
      <c r="AN51" s="7"/>
      <c r="AO51" s="103"/>
    </row>
    <row r="52" spans="3:41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7"/>
      <c r="AL52" s="7"/>
      <c r="AM52" s="7"/>
      <c r="AN52" s="7"/>
      <c r="AO52" s="103"/>
    </row>
    <row r="53" spans="3:41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7"/>
      <c r="AL53" s="7"/>
      <c r="AM53" s="7"/>
      <c r="AN53" s="7"/>
      <c r="AO53" s="103"/>
    </row>
    <row r="54" spans="3:41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7"/>
      <c r="AL54" s="7"/>
      <c r="AM54" s="7"/>
      <c r="AN54" s="7"/>
      <c r="AO54" s="103"/>
    </row>
    <row r="55" spans="3:41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7"/>
      <c r="AL55" s="7"/>
      <c r="AM55" s="7"/>
      <c r="AN55" s="7"/>
      <c r="AO55" s="103"/>
    </row>
    <row r="56" spans="3:41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7"/>
      <c r="AL56" s="7"/>
      <c r="AM56" s="7"/>
      <c r="AN56" s="7"/>
      <c r="AO56" s="103"/>
    </row>
    <row r="57" spans="3:41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7"/>
      <c r="AL57" s="7"/>
      <c r="AM57" s="7"/>
      <c r="AN57" s="7"/>
      <c r="AO57" s="103"/>
    </row>
    <row r="58" spans="3:41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7"/>
      <c r="AL58" s="7"/>
      <c r="AM58" s="7"/>
      <c r="AN58" s="7"/>
      <c r="AO58" s="103"/>
    </row>
    <row r="59" spans="3:41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7"/>
      <c r="AL59" s="7"/>
      <c r="AM59" s="7"/>
      <c r="AN59" s="7"/>
      <c r="AO59" s="103"/>
    </row>
    <row r="60" spans="3:41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7"/>
      <c r="AL60" s="7"/>
      <c r="AM60" s="7"/>
      <c r="AN60" s="7"/>
      <c r="AO60" s="103"/>
    </row>
    <row r="61" spans="3:41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7"/>
      <c r="AL61" s="7"/>
      <c r="AM61" s="7"/>
      <c r="AN61" s="7"/>
      <c r="AO61" s="103"/>
    </row>
    <row r="62" spans="3:41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7"/>
      <c r="AL62" s="7"/>
      <c r="AM62" s="7"/>
      <c r="AN62" s="7"/>
      <c r="AO62" s="103"/>
    </row>
    <row r="63" spans="3:41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7"/>
      <c r="AL63" s="7"/>
      <c r="AM63" s="7"/>
      <c r="AN63" s="7"/>
      <c r="AO63" s="103"/>
    </row>
    <row r="64" spans="3:41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7"/>
      <c r="AL64" s="7"/>
      <c r="AM64" s="7"/>
      <c r="AN64" s="7"/>
      <c r="AO64" s="103"/>
    </row>
    <row r="65" spans="3:41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7"/>
      <c r="AL65" s="7"/>
      <c r="AM65" s="7"/>
      <c r="AN65" s="7"/>
      <c r="AO65" s="103"/>
    </row>
    <row r="66" spans="3:41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7"/>
      <c r="AL66" s="7"/>
      <c r="AM66" s="7"/>
      <c r="AN66" s="7"/>
      <c r="AO66" s="103"/>
    </row>
    <row r="67" spans="3:41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7"/>
      <c r="AL67" s="7"/>
      <c r="AM67" s="7"/>
      <c r="AN67" s="7"/>
      <c r="AO67" s="103"/>
    </row>
    <row r="68" spans="3:41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7"/>
      <c r="AL68" s="7"/>
      <c r="AM68" s="7"/>
      <c r="AN68" s="7"/>
      <c r="AO68" s="103"/>
    </row>
    <row r="69" spans="3:41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7"/>
      <c r="AL69" s="7"/>
      <c r="AM69" s="7"/>
      <c r="AN69" s="7"/>
      <c r="AO69" s="103"/>
    </row>
    <row r="70" spans="3:41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04"/>
      <c r="AL70" s="104"/>
      <c r="AM70" s="104"/>
      <c r="AN70" s="104"/>
      <c r="AO70" s="70"/>
    </row>
    <row r="71" spans="3:41" x14ac:dyDescent="0.25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 x14ac:dyDescent="0.25">
      <c r="Q117" s="3" t="s">
        <v>49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whole" allowBlank="1" showInputMessage="1" showErrorMessage="1" xr:uid="{85798529-CC79-F245-B650-CA0C2863EDBD}">
          <x14:formula1>
            <xm:f>'C:\Users\philippkenkel\Seafile\RESILIENTE ENERGIESYSTEME\Intern\[Methanol_Case_Dev.xlsm]Systemblatt'!#REF!</xm:f>
          </x14:formula1>
          <x14:formula2>
            <xm:f>'C:\Users\philippkenkel\Seafile\RESILIENTE ENERGIESYSTEME\Intern\[Methanol_Case_Dev.xlsm]Systemblatt'!#REF!</xm:f>
          </x14:formula2>
          <xm:sqref>E17:E20</xm:sqref>
        </x14:dataValidation>
        <x14:dataValidation type="list" allowBlank="1" showInputMessage="1" showErrorMessage="1" xr:uid="{CE37FB45-A224-A043-99F7-632556A49900}">
          <x14:formula1>
            <xm:f>'C:\Users\philippkenkel\Seafile\RESILIENTE ENERGIESYSTEME\Intern\[Methanol_Case_Dev.xlsm]DataBank'!#REF!</xm:f>
          </x14:formula1>
          <xm:sqref>I15 P11</xm:sqref>
        </x14:dataValidation>
        <x14:dataValidation type="list" allowBlank="1" showInputMessage="1" showErrorMessage="1" xr:uid="{3E7B72F4-5507-F444-8827-C6C35392B414}">
          <x14:formula1>
            <xm:f>'C:\Users\philippkenkel\Seafile\RESILIENTE ENERGIESYSTEME\Intern\[Methanol_Case_Dev.xlsm]Systemblatt'!#REF!</xm:f>
          </x14:formula1>
          <xm:sqref>I16:I17 AC11:AC24 T14:T24 AE11:AE24 N12:P13 T10:T12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DCDD-3FCE-5245-A094-69EDE0E02F86}">
  <sheetPr codeName="Tabelle63"/>
  <dimension ref="C1:AQ113"/>
  <sheetViews>
    <sheetView topLeftCell="A2" zoomScale="71" zoomScaleNormal="71" workbookViewId="0">
      <selection activeCell="X11" sqref="X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85546875" style="3" customWidth="1"/>
    <col min="5" max="5" width="29.42578125" style="3" customWidth="1"/>
    <col min="6" max="6" width="15.28515625" style="3" customWidth="1"/>
    <col min="7" max="7" width="6.28515625" style="3" customWidth="1"/>
    <col min="8" max="8" width="22.7109375" style="3" customWidth="1"/>
    <col min="9" max="11" width="15.28515625" style="3" customWidth="1"/>
    <col min="12" max="12" width="4.28515625" style="3" customWidth="1"/>
    <col min="13" max="13" width="28.85546875" style="3" customWidth="1"/>
    <col min="14" max="14" width="15.28515625" style="3" customWidth="1"/>
    <col min="15" max="15" width="27.7109375" style="3" customWidth="1"/>
    <col min="16" max="16" width="28.42578125" style="3" customWidth="1"/>
    <col min="17" max="18" width="15.28515625" style="3" customWidth="1"/>
    <col min="19" max="19" width="20.28515625" style="3" customWidth="1"/>
    <col min="20" max="20" width="21.42578125" style="3" customWidth="1"/>
    <col min="21" max="22" width="10.85546875" style="3"/>
    <col min="23" max="23" width="15.85546875" style="3" customWidth="1"/>
    <col min="24" max="24" width="20.7109375" style="3" customWidth="1"/>
    <col min="25" max="25" width="20.42578125" style="3" customWidth="1"/>
    <col min="26" max="26" width="18.42578125" style="3" customWidth="1"/>
    <col min="27" max="27" width="10.85546875" style="3"/>
    <col min="28" max="28" width="14.28515625" style="3" customWidth="1"/>
    <col min="29" max="29" width="17.85546875" style="3" customWidth="1"/>
    <col min="30" max="30" width="14.85546875" style="3" customWidth="1"/>
    <col min="31" max="31" width="11.85546875" style="3" customWidth="1"/>
    <col min="32" max="32" width="62.85546875" style="3" customWidth="1"/>
    <col min="33" max="33" width="10.85546875" style="3"/>
    <col min="34" max="34" width="16.140625" style="3" customWidth="1"/>
    <col min="35" max="38" width="10.85546875" style="3"/>
    <col min="39" max="39" width="19.140625" style="3" customWidth="1"/>
    <col min="40" max="40" width="20.140625" style="3" customWidth="1"/>
    <col min="41" max="16384" width="10.85546875" style="3"/>
  </cols>
  <sheetData>
    <row r="1" spans="3:43" ht="10.5" customHeight="1" x14ac:dyDescent="0.25"/>
    <row r="2" spans="3:43" ht="6.95" customHeight="1" thickBot="1" x14ac:dyDescent="0.3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</row>
    <row r="3" spans="3:43" x14ac:dyDescent="0.25">
      <c r="C3" s="112"/>
      <c r="D3" s="113"/>
      <c r="E3" s="113"/>
      <c r="F3" s="113"/>
      <c r="G3" s="113"/>
      <c r="H3" s="113"/>
      <c r="I3" s="113"/>
      <c r="J3" s="113" t="s">
        <v>45</v>
      </c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13"/>
      <c r="AK3" s="113"/>
      <c r="AL3" s="113"/>
      <c r="AM3" s="113"/>
      <c r="AN3" s="113"/>
      <c r="AO3" s="124"/>
    </row>
    <row r="4" spans="3:43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7"/>
      <c r="AK4" s="7"/>
      <c r="AL4" s="7"/>
      <c r="AM4" s="7"/>
      <c r="AN4" s="7"/>
      <c r="AO4" s="103"/>
    </row>
    <row r="5" spans="3:43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7"/>
      <c r="AK5" s="7"/>
      <c r="AL5" s="7"/>
      <c r="AM5" s="7"/>
      <c r="AN5" s="7"/>
      <c r="AO5" s="103"/>
    </row>
    <row r="6" spans="3:43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27"/>
      <c r="AK6" s="127"/>
      <c r="AL6" s="127"/>
      <c r="AM6" s="127"/>
      <c r="AN6" s="127"/>
      <c r="AO6" s="317"/>
    </row>
    <row r="7" spans="3:43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7"/>
      <c r="AK7" s="7"/>
      <c r="AL7" s="7"/>
      <c r="AM7" s="7"/>
      <c r="AN7" s="7"/>
      <c r="AO7" s="103"/>
    </row>
    <row r="8" spans="3:43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76" t="s">
        <v>124</v>
      </c>
      <c r="T8" s="577"/>
      <c r="U8" s="578"/>
      <c r="V8" s="318"/>
      <c r="W8" s="579" t="s">
        <v>197</v>
      </c>
      <c r="X8" s="580"/>
      <c r="Y8" s="580"/>
      <c r="Z8" s="581"/>
      <c r="AA8" s="13"/>
      <c r="AB8" s="585" t="s">
        <v>134</v>
      </c>
      <c r="AC8" s="586"/>
      <c r="AD8" s="586"/>
      <c r="AE8" s="586"/>
      <c r="AF8" s="587"/>
      <c r="AG8" s="13"/>
      <c r="AH8" s="570" t="s">
        <v>11</v>
      </c>
      <c r="AI8" s="571"/>
      <c r="AJ8" s="572"/>
      <c r="AK8" s="319"/>
      <c r="AL8" s="570" t="s">
        <v>12</v>
      </c>
      <c r="AM8" s="571"/>
      <c r="AN8" s="572"/>
      <c r="AO8" s="103"/>
    </row>
    <row r="9" spans="3:43" ht="21.75" thickBot="1" x14ac:dyDescent="0.4">
      <c r="C9" s="102"/>
      <c r="D9" s="346" t="s">
        <v>73</v>
      </c>
      <c r="E9" s="246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22" t="s">
        <v>126</v>
      </c>
      <c r="T9" s="322" t="s">
        <v>76</v>
      </c>
      <c r="U9" s="322" t="s">
        <v>127</v>
      </c>
      <c r="V9" s="321"/>
      <c r="W9" s="322" t="s">
        <v>188</v>
      </c>
      <c r="X9" s="573"/>
      <c r="Y9" s="574"/>
      <c r="Z9" s="575"/>
      <c r="AA9" s="13"/>
      <c r="AB9" s="322" t="s">
        <v>131</v>
      </c>
      <c r="AC9" s="322" t="s">
        <v>130</v>
      </c>
      <c r="AD9" s="322" t="s">
        <v>8</v>
      </c>
      <c r="AE9" s="322" t="s">
        <v>132</v>
      </c>
      <c r="AF9" s="322" t="s">
        <v>133</v>
      </c>
      <c r="AG9" s="13"/>
      <c r="AH9" s="359" t="s">
        <v>13</v>
      </c>
      <c r="AI9" s="360" t="s">
        <v>14</v>
      </c>
      <c r="AJ9" s="361" t="s">
        <v>1</v>
      </c>
      <c r="AK9" s="326"/>
      <c r="AL9" s="359" t="s">
        <v>15</v>
      </c>
      <c r="AM9" s="360" t="s">
        <v>16</v>
      </c>
      <c r="AN9" s="361" t="s">
        <v>17</v>
      </c>
      <c r="AO9" s="103"/>
    </row>
    <row r="10" spans="3:43" ht="18.75" x14ac:dyDescent="0.3">
      <c r="C10" s="102"/>
      <c r="D10" s="327" t="s">
        <v>2</v>
      </c>
      <c r="E10" s="74" t="s">
        <v>218</v>
      </c>
      <c r="F10" s="88"/>
      <c r="G10" s="88"/>
      <c r="H10" s="328" t="s">
        <v>3</v>
      </c>
      <c r="I10" s="76"/>
      <c r="J10" s="88"/>
      <c r="K10" s="88"/>
      <c r="L10" s="88"/>
      <c r="M10" s="328" t="s">
        <v>121</v>
      </c>
      <c r="N10" s="153">
        <v>0.46820000000000001</v>
      </c>
      <c r="O10" s="83"/>
      <c r="P10" s="76"/>
      <c r="Q10" s="88"/>
      <c r="R10" s="163"/>
      <c r="S10" s="152">
        <v>3100</v>
      </c>
      <c r="T10" s="153" t="s">
        <v>32</v>
      </c>
      <c r="U10" s="154">
        <v>1</v>
      </c>
      <c r="V10" s="329"/>
      <c r="W10" s="152"/>
      <c r="X10" s="83">
        <v>3100</v>
      </c>
      <c r="Y10" s="153"/>
      <c r="Z10" s="154"/>
      <c r="AA10" s="83"/>
      <c r="AB10" s="330"/>
      <c r="AC10" s="83"/>
      <c r="AD10" s="329"/>
      <c r="AE10" s="83"/>
      <c r="AF10" s="331"/>
      <c r="AG10" s="181"/>
      <c r="AH10" s="330"/>
      <c r="AI10" s="329"/>
      <c r="AJ10" s="331"/>
      <c r="AK10" s="329"/>
      <c r="AL10" s="330"/>
      <c r="AM10" s="319"/>
      <c r="AN10" s="352"/>
      <c r="AO10" s="103"/>
      <c r="AP10" s="7"/>
      <c r="AQ10" s="7"/>
    </row>
    <row r="11" spans="3:43" ht="18.75" x14ac:dyDescent="0.3">
      <c r="C11" s="102"/>
      <c r="D11" s="328" t="s">
        <v>4</v>
      </c>
      <c r="E11" s="154">
        <v>2410</v>
      </c>
      <c r="F11" s="88"/>
      <c r="G11" s="88"/>
      <c r="H11" s="328" t="s">
        <v>113</v>
      </c>
      <c r="I11" s="154">
        <v>4.4089999999999998</v>
      </c>
      <c r="J11" s="88"/>
      <c r="K11" s="88"/>
      <c r="L11" s="88"/>
      <c r="M11" s="333" t="s">
        <v>122</v>
      </c>
      <c r="N11" s="153" t="s">
        <v>26</v>
      </c>
      <c r="O11" s="83"/>
      <c r="P11" s="76"/>
      <c r="Q11" s="88"/>
      <c r="R11" s="163"/>
      <c r="S11" s="152">
        <v>3100</v>
      </c>
      <c r="T11" s="153" t="s">
        <v>9</v>
      </c>
      <c r="U11" s="154">
        <v>1</v>
      </c>
      <c r="V11" s="329"/>
      <c r="W11" s="158"/>
      <c r="X11" s="83"/>
      <c r="Y11" s="329"/>
      <c r="Z11" s="331"/>
      <c r="AA11" s="83"/>
      <c r="AB11" s="330"/>
      <c r="AC11" s="83"/>
      <c r="AD11" s="329"/>
      <c r="AE11" s="83"/>
      <c r="AF11" s="331"/>
      <c r="AG11" s="181"/>
      <c r="AH11" s="330"/>
      <c r="AI11" s="329"/>
      <c r="AJ11" s="331"/>
      <c r="AK11" s="329"/>
      <c r="AL11" s="330"/>
      <c r="AM11" s="319"/>
      <c r="AN11" s="352"/>
      <c r="AO11" s="103"/>
      <c r="AP11" s="7"/>
      <c r="AQ11" s="7"/>
    </row>
    <row r="12" spans="3:43" ht="18.75" x14ac:dyDescent="0.3">
      <c r="C12" s="102"/>
      <c r="D12" s="328" t="s">
        <v>90</v>
      </c>
      <c r="E12" s="154"/>
      <c r="F12" s="88"/>
      <c r="G12" s="88"/>
      <c r="H12" s="328" t="s">
        <v>114</v>
      </c>
      <c r="I12" s="154">
        <v>9.7919999999999998</v>
      </c>
      <c r="J12" s="88"/>
      <c r="K12" s="88"/>
      <c r="L12" s="88"/>
      <c r="M12" s="333" t="s">
        <v>123</v>
      </c>
      <c r="N12" s="153" t="s">
        <v>32</v>
      </c>
      <c r="O12" s="83"/>
      <c r="P12" s="76"/>
      <c r="Q12" s="88"/>
      <c r="R12" s="163"/>
      <c r="S12" s="152"/>
      <c r="T12" s="153"/>
      <c r="U12" s="154"/>
      <c r="V12" s="329"/>
      <c r="W12" s="158"/>
      <c r="X12" s="83"/>
      <c r="Y12" s="337"/>
      <c r="Z12" s="338"/>
      <c r="AA12" s="337"/>
      <c r="AB12" s="339"/>
      <c r="AC12" s="83"/>
      <c r="AD12" s="337"/>
      <c r="AE12" s="83"/>
      <c r="AF12" s="331"/>
      <c r="AG12" s="181"/>
      <c r="AH12" s="330"/>
      <c r="AI12" s="329"/>
      <c r="AJ12" s="331"/>
      <c r="AK12" s="329"/>
      <c r="AL12" s="330"/>
      <c r="AM12" s="319"/>
      <c r="AN12" s="352"/>
      <c r="AO12" s="103"/>
      <c r="AP12" s="7"/>
      <c r="AQ12" s="7"/>
    </row>
    <row r="13" spans="3:43" ht="18.75" x14ac:dyDescent="0.3">
      <c r="C13" s="102"/>
      <c r="D13" s="328" t="s">
        <v>102</v>
      </c>
      <c r="E13" s="154"/>
      <c r="F13" s="88"/>
      <c r="G13" s="88"/>
      <c r="H13" s="328" t="s">
        <v>115</v>
      </c>
      <c r="I13" s="154">
        <v>0.67</v>
      </c>
      <c r="J13" s="88"/>
      <c r="K13" s="88"/>
      <c r="L13" s="88"/>
      <c r="M13" s="333"/>
      <c r="N13" s="83"/>
      <c r="O13" s="83"/>
      <c r="P13" s="76"/>
      <c r="Q13" s="88"/>
      <c r="R13" s="163"/>
      <c r="S13" s="152"/>
      <c r="T13" s="153"/>
      <c r="U13" s="154"/>
      <c r="V13" s="337"/>
      <c r="W13" s="158"/>
      <c r="X13" s="83"/>
      <c r="Y13" s="337"/>
      <c r="Z13" s="338"/>
      <c r="AA13" s="337"/>
      <c r="AB13" s="339"/>
      <c r="AC13" s="83"/>
      <c r="AD13" s="337"/>
      <c r="AE13" s="83"/>
      <c r="AF13" s="331"/>
      <c r="AG13" s="181"/>
      <c r="AH13" s="330"/>
      <c r="AI13" s="329"/>
      <c r="AJ13" s="331"/>
      <c r="AK13" s="329"/>
      <c r="AL13" s="339"/>
      <c r="AM13" s="319"/>
      <c r="AN13" s="338"/>
      <c r="AO13" s="103"/>
      <c r="AP13" s="7"/>
      <c r="AQ13" s="7"/>
    </row>
    <row r="14" spans="3:43" ht="18.75" x14ac:dyDescent="0.3">
      <c r="C14" s="102"/>
      <c r="D14" s="328" t="s">
        <v>103</v>
      </c>
      <c r="E14" s="154">
        <v>25</v>
      </c>
      <c r="F14" s="88"/>
      <c r="G14" s="88"/>
      <c r="H14" s="328" t="s">
        <v>116</v>
      </c>
      <c r="I14" s="154">
        <v>2020</v>
      </c>
      <c r="J14" s="88"/>
      <c r="K14" s="88"/>
      <c r="L14" s="88"/>
      <c r="M14" s="85"/>
      <c r="N14" s="83"/>
      <c r="O14" s="83"/>
      <c r="P14" s="76"/>
      <c r="Q14" s="88"/>
      <c r="R14" s="163"/>
      <c r="S14" s="339"/>
      <c r="T14" s="83"/>
      <c r="U14" s="338"/>
      <c r="V14" s="337"/>
      <c r="W14" s="158"/>
      <c r="X14" s="83"/>
      <c r="Y14" s="337"/>
      <c r="Z14" s="338"/>
      <c r="AA14" s="337"/>
      <c r="AB14" s="339"/>
      <c r="AC14" s="83"/>
      <c r="AD14" s="337"/>
      <c r="AE14" s="83"/>
      <c r="AF14" s="331"/>
      <c r="AG14" s="181"/>
      <c r="AH14" s="330"/>
      <c r="AI14" s="329"/>
      <c r="AJ14" s="331"/>
      <c r="AK14" s="329"/>
      <c r="AL14" s="339"/>
      <c r="AM14" s="319"/>
      <c r="AN14" s="338"/>
      <c r="AO14" s="103"/>
      <c r="AP14" s="7"/>
      <c r="AQ14" s="7"/>
    </row>
    <row r="15" spans="3:43" ht="18.75" x14ac:dyDescent="0.3">
      <c r="C15" s="102"/>
      <c r="D15" s="328" t="s">
        <v>104</v>
      </c>
      <c r="E15" s="154">
        <v>0.56999999999999995</v>
      </c>
      <c r="F15" s="88"/>
      <c r="G15" s="88"/>
      <c r="H15" s="333" t="s">
        <v>117</v>
      </c>
      <c r="I15" s="76" t="s">
        <v>27</v>
      </c>
      <c r="J15" s="88"/>
      <c r="K15" s="88"/>
      <c r="L15" s="88"/>
      <c r="M15" s="85"/>
      <c r="N15" s="83"/>
      <c r="O15" s="83"/>
      <c r="P15" s="76"/>
      <c r="Q15" s="88"/>
      <c r="R15" s="163"/>
      <c r="S15" s="339"/>
      <c r="T15" s="83"/>
      <c r="U15" s="338"/>
      <c r="V15" s="337"/>
      <c r="W15" s="158"/>
      <c r="X15" s="83"/>
      <c r="Y15" s="83"/>
      <c r="Z15" s="76"/>
      <c r="AA15" s="83"/>
      <c r="AB15" s="158"/>
      <c r="AC15" s="83"/>
      <c r="AD15" s="83"/>
      <c r="AE15" s="83"/>
      <c r="AF15" s="331"/>
      <c r="AG15" s="181"/>
      <c r="AH15" s="330"/>
      <c r="AI15" s="329"/>
      <c r="AJ15" s="331"/>
      <c r="AK15" s="329"/>
      <c r="AL15" s="339"/>
      <c r="AM15" s="319"/>
      <c r="AN15" s="338"/>
      <c r="AO15" s="103"/>
      <c r="AP15" s="7"/>
      <c r="AQ15" s="7"/>
    </row>
    <row r="16" spans="3:43" ht="18.75" x14ac:dyDescent="0.3">
      <c r="C16" s="102"/>
      <c r="D16" s="328" t="s">
        <v>105</v>
      </c>
      <c r="E16" s="154">
        <v>0.7</v>
      </c>
      <c r="F16" s="88"/>
      <c r="G16" s="88"/>
      <c r="H16" s="333" t="s">
        <v>101</v>
      </c>
      <c r="I16" s="76" t="s">
        <v>32</v>
      </c>
      <c r="J16" s="88"/>
      <c r="K16" s="88"/>
      <c r="L16" s="88"/>
      <c r="M16" s="85"/>
      <c r="N16" s="83"/>
      <c r="O16" s="83"/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330"/>
      <c r="AI16" s="83"/>
      <c r="AJ16" s="76"/>
      <c r="AK16" s="83"/>
      <c r="AL16" s="158"/>
      <c r="AM16" s="319"/>
      <c r="AN16" s="76"/>
      <c r="AO16" s="103"/>
      <c r="AP16" s="7"/>
      <c r="AQ16" s="7"/>
    </row>
    <row r="17" spans="3:43" ht="18.75" x14ac:dyDescent="0.3">
      <c r="C17" s="102"/>
      <c r="D17" s="328" t="s">
        <v>106</v>
      </c>
      <c r="E17" s="76"/>
      <c r="F17" s="88"/>
      <c r="G17" s="88"/>
      <c r="H17" s="333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330"/>
      <c r="AI17" s="83"/>
      <c r="AJ17" s="76"/>
      <c r="AK17" s="83"/>
      <c r="AL17" s="158"/>
      <c r="AM17" s="319"/>
      <c r="AN17" s="76"/>
      <c r="AO17" s="103"/>
      <c r="AP17" s="7"/>
      <c r="AQ17" s="7"/>
    </row>
    <row r="18" spans="3:43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330"/>
      <c r="AI18" s="83"/>
      <c r="AJ18" s="76"/>
      <c r="AK18" s="83"/>
      <c r="AL18" s="158"/>
      <c r="AM18" s="319"/>
      <c r="AN18" s="76"/>
      <c r="AO18" s="103"/>
      <c r="AP18" s="7"/>
      <c r="AQ18" s="7"/>
    </row>
    <row r="19" spans="3:43" ht="18.75" x14ac:dyDescent="0.3">
      <c r="C19" s="102"/>
      <c r="D19" s="328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330"/>
      <c r="AI19" s="83"/>
      <c r="AJ19" s="76"/>
      <c r="AK19" s="83"/>
      <c r="AL19" s="158"/>
      <c r="AM19" s="319"/>
      <c r="AN19" s="76"/>
      <c r="AO19" s="103"/>
      <c r="AP19" s="7"/>
      <c r="AQ19" s="7"/>
    </row>
    <row r="20" spans="3:43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330"/>
      <c r="AI20" s="83"/>
      <c r="AJ20" s="76"/>
      <c r="AK20" s="83"/>
      <c r="AL20" s="158"/>
      <c r="AM20" s="319"/>
      <c r="AN20" s="76"/>
      <c r="AO20" s="103"/>
      <c r="AP20" s="7"/>
      <c r="AQ20" s="7"/>
    </row>
    <row r="21" spans="3:43" ht="18.75" x14ac:dyDescent="0.3">
      <c r="C21" s="102"/>
      <c r="D21" s="77" t="s">
        <v>110</v>
      </c>
      <c r="E21" s="76"/>
      <c r="F21" s="88"/>
      <c r="G21" s="88"/>
      <c r="H21" s="159"/>
      <c r="I21" s="7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330"/>
      <c r="AI21" s="83"/>
      <c r="AJ21" s="76"/>
      <c r="AK21" s="83"/>
      <c r="AL21" s="158"/>
      <c r="AM21" s="319"/>
      <c r="AN21" s="76"/>
      <c r="AO21" s="103"/>
      <c r="AP21" s="7"/>
      <c r="AQ21" s="7"/>
    </row>
    <row r="22" spans="3:43" ht="18.75" x14ac:dyDescent="0.3">
      <c r="C22" s="102"/>
      <c r="D22" s="77" t="s">
        <v>111</v>
      </c>
      <c r="E22" s="86"/>
      <c r="F22" s="88"/>
      <c r="G22" s="88"/>
      <c r="H22" s="159"/>
      <c r="I22" s="7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330"/>
      <c r="AI22" s="83"/>
      <c r="AJ22" s="76"/>
      <c r="AK22" s="83"/>
      <c r="AL22" s="158"/>
      <c r="AM22" s="319"/>
      <c r="AN22" s="76"/>
      <c r="AO22" s="103"/>
      <c r="AP22" s="7"/>
      <c r="AQ22" s="7"/>
    </row>
    <row r="23" spans="3:43" ht="18.75" x14ac:dyDescent="0.3">
      <c r="C23" s="102"/>
      <c r="D23" s="77" t="s">
        <v>112</v>
      </c>
      <c r="E23" s="86"/>
      <c r="F23" s="88"/>
      <c r="G23" s="88"/>
      <c r="H23" s="159"/>
      <c r="I23" s="7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330"/>
      <c r="AI23" s="83"/>
      <c r="AJ23" s="76"/>
      <c r="AK23" s="83"/>
      <c r="AL23" s="158"/>
      <c r="AM23" s="319"/>
      <c r="AN23" s="76"/>
      <c r="AO23" s="103"/>
      <c r="AP23" s="7"/>
      <c r="AQ23" s="7"/>
    </row>
    <row r="24" spans="3:43" ht="18.75" x14ac:dyDescent="0.3">
      <c r="C24" s="102"/>
      <c r="D24" s="193" t="s">
        <v>135</v>
      </c>
      <c r="E24" s="86"/>
      <c r="F24" s="88"/>
      <c r="G24" s="88"/>
      <c r="H24" s="159"/>
      <c r="I24" s="7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330"/>
      <c r="AI24" s="83"/>
      <c r="AJ24" s="76"/>
      <c r="AK24" s="83"/>
      <c r="AL24" s="158"/>
      <c r="AM24" s="319"/>
      <c r="AN24" s="76"/>
      <c r="AO24" s="103"/>
      <c r="AP24" s="7"/>
      <c r="AQ24" s="7"/>
    </row>
    <row r="25" spans="3:43" ht="18.75" x14ac:dyDescent="0.3">
      <c r="C25" s="102"/>
      <c r="D25" s="193" t="s">
        <v>136</v>
      </c>
      <c r="E25" s="86"/>
      <c r="F25" s="88"/>
      <c r="G25" s="88"/>
      <c r="H25" s="159"/>
      <c r="I25" s="7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330"/>
      <c r="AI25" s="83"/>
      <c r="AJ25" s="76"/>
      <c r="AK25" s="83"/>
      <c r="AL25" s="158"/>
      <c r="AM25" s="319"/>
      <c r="AN25" s="76"/>
      <c r="AO25" s="103"/>
      <c r="AP25" s="7"/>
      <c r="AQ25" s="7"/>
    </row>
    <row r="26" spans="3:43" ht="18.75" x14ac:dyDescent="0.3">
      <c r="C26" s="102"/>
      <c r="D26" s="194" t="s">
        <v>137</v>
      </c>
      <c r="E26" s="86"/>
      <c r="F26" s="88"/>
      <c r="G26" s="88"/>
      <c r="H26" s="159"/>
      <c r="I26" s="7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81"/>
      <c r="AH26" s="330"/>
      <c r="AI26" s="83"/>
      <c r="AJ26" s="76"/>
      <c r="AK26" s="83"/>
      <c r="AL26" s="158"/>
      <c r="AM26" s="319"/>
      <c r="AN26" s="76"/>
      <c r="AO26" s="103"/>
      <c r="AP26" s="7"/>
      <c r="AQ26" s="7"/>
    </row>
    <row r="27" spans="3:43" ht="19.5" thickBot="1" x14ac:dyDescent="0.35">
      <c r="C27" s="102"/>
      <c r="D27" s="160"/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81"/>
      <c r="AH27" s="342"/>
      <c r="AI27" s="162"/>
      <c r="AJ27" s="79"/>
      <c r="AK27" s="83"/>
      <c r="AL27" s="161"/>
      <c r="AM27" s="355"/>
      <c r="AN27" s="79"/>
      <c r="AO27" s="103"/>
      <c r="AP27" s="7"/>
      <c r="AQ27" s="7"/>
    </row>
    <row r="28" spans="3:43" ht="18.75" x14ac:dyDescent="0.3">
      <c r="C28" s="102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63"/>
      <c r="S28" s="181"/>
      <c r="T28" s="181"/>
      <c r="U28" s="181"/>
      <c r="V28" s="181"/>
      <c r="W28" s="181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329"/>
      <c r="AI28" s="83"/>
      <c r="AJ28" s="83"/>
      <c r="AK28" s="83"/>
      <c r="AL28" s="83"/>
      <c r="AM28" s="319"/>
      <c r="AN28" s="83"/>
      <c r="AO28" s="103"/>
      <c r="AP28" s="7"/>
      <c r="AQ28" s="7"/>
    </row>
    <row r="29" spans="3:43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344"/>
      <c r="AI29" s="7"/>
      <c r="AJ29" s="7"/>
      <c r="AK29" s="7"/>
      <c r="AL29" s="7"/>
      <c r="AM29" s="345"/>
      <c r="AN29" s="7"/>
      <c r="AO29" s="103"/>
      <c r="AP29" s="7"/>
      <c r="AQ29" s="7"/>
    </row>
    <row r="30" spans="3:43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44"/>
      <c r="AI30" s="7"/>
      <c r="AJ30" s="7"/>
      <c r="AK30" s="7"/>
      <c r="AL30" s="7"/>
      <c r="AM30" s="345"/>
      <c r="AN30" s="7"/>
      <c r="AO30" s="103"/>
      <c r="AP30" s="7"/>
      <c r="AQ30" s="7"/>
    </row>
    <row r="31" spans="3:43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7"/>
      <c r="AK31" s="7"/>
      <c r="AL31" s="7"/>
      <c r="AM31" s="7"/>
      <c r="AN31" s="7"/>
      <c r="AO31" s="103"/>
      <c r="AP31" s="7"/>
      <c r="AQ31" s="7"/>
    </row>
    <row r="32" spans="3:43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7"/>
      <c r="AK32" s="7"/>
      <c r="AL32" s="7"/>
      <c r="AM32" s="7"/>
      <c r="AN32" s="7"/>
      <c r="AO32" s="103"/>
      <c r="AP32" s="7"/>
      <c r="AQ32" s="7"/>
    </row>
    <row r="33" spans="3:43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7"/>
      <c r="AK33" s="7"/>
      <c r="AL33" s="7"/>
      <c r="AM33" s="7"/>
      <c r="AN33" s="7"/>
      <c r="AO33" s="103"/>
      <c r="AP33" s="7"/>
      <c r="AQ33" s="7"/>
    </row>
    <row r="34" spans="3:43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7"/>
      <c r="AK34" s="7"/>
      <c r="AL34" s="7"/>
      <c r="AM34" s="7"/>
      <c r="AN34" s="7"/>
      <c r="AO34" s="103"/>
      <c r="AP34" s="7"/>
      <c r="AQ34" s="7"/>
    </row>
    <row r="35" spans="3:43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7"/>
      <c r="AK35" s="7"/>
      <c r="AL35" s="7"/>
      <c r="AM35" s="7"/>
      <c r="AN35" s="7"/>
      <c r="AO35" s="103"/>
      <c r="AP35" s="7"/>
      <c r="AQ35" s="7"/>
    </row>
    <row r="36" spans="3:43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7"/>
      <c r="AK36" s="7"/>
      <c r="AL36" s="7"/>
      <c r="AM36" s="7"/>
      <c r="AN36" s="7"/>
      <c r="AO36" s="103"/>
      <c r="AP36" s="7"/>
      <c r="AQ36" s="7"/>
    </row>
    <row r="37" spans="3:43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7"/>
      <c r="AK37" s="7"/>
      <c r="AL37" s="7"/>
      <c r="AM37" s="7"/>
      <c r="AN37" s="7"/>
      <c r="AO37" s="103"/>
      <c r="AP37" s="7"/>
      <c r="AQ37" s="7"/>
    </row>
    <row r="38" spans="3:43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7"/>
      <c r="AK38" s="7"/>
      <c r="AL38" s="7"/>
      <c r="AM38" s="7"/>
      <c r="AN38" s="7"/>
      <c r="AO38" s="103"/>
      <c r="AP38" s="7"/>
      <c r="AQ38" s="7"/>
    </row>
    <row r="39" spans="3:43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7"/>
      <c r="AK39" s="7"/>
      <c r="AL39" s="7"/>
      <c r="AM39" s="7"/>
      <c r="AN39" s="7"/>
      <c r="AO39" s="103"/>
      <c r="AP39" s="7"/>
      <c r="AQ39" s="7"/>
    </row>
    <row r="40" spans="3:43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7"/>
      <c r="AK40" s="7"/>
      <c r="AL40" s="7"/>
      <c r="AM40" s="7"/>
      <c r="AN40" s="7"/>
      <c r="AO40" s="103"/>
      <c r="AP40" s="7"/>
      <c r="AQ40" s="7"/>
    </row>
    <row r="41" spans="3:43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7"/>
      <c r="AK41" s="7"/>
      <c r="AL41" s="7"/>
      <c r="AM41" s="7"/>
      <c r="AN41" s="7"/>
      <c r="AO41" s="103"/>
      <c r="AP41" s="7"/>
      <c r="AQ41" s="7"/>
    </row>
    <row r="42" spans="3:43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7"/>
      <c r="AK42" s="7"/>
      <c r="AL42" s="7"/>
      <c r="AM42" s="7"/>
      <c r="AN42" s="7"/>
      <c r="AO42" s="103"/>
      <c r="AP42" s="7"/>
      <c r="AQ42" s="7"/>
    </row>
    <row r="43" spans="3:43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7"/>
      <c r="AK43" s="7"/>
      <c r="AL43" s="7"/>
      <c r="AM43" s="7"/>
      <c r="AN43" s="7"/>
      <c r="AO43" s="103"/>
      <c r="AP43" s="7"/>
      <c r="AQ43" s="7"/>
    </row>
    <row r="44" spans="3:43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7"/>
      <c r="AK44" s="7"/>
      <c r="AL44" s="7"/>
      <c r="AM44" s="7"/>
      <c r="AN44" s="7"/>
      <c r="AO44" s="103"/>
      <c r="AP44" s="7"/>
      <c r="AQ44" s="7"/>
    </row>
    <row r="45" spans="3:43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7"/>
      <c r="AK45" s="7"/>
      <c r="AL45" s="7"/>
      <c r="AM45" s="7"/>
      <c r="AN45" s="7"/>
      <c r="AO45" s="103"/>
      <c r="AP45" s="7"/>
      <c r="AQ45" s="7"/>
    </row>
    <row r="46" spans="3:43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7"/>
      <c r="AK46" s="7"/>
      <c r="AL46" s="7"/>
      <c r="AM46" s="7"/>
      <c r="AN46" s="7"/>
      <c r="AO46" s="103"/>
      <c r="AP46" s="7"/>
      <c r="AQ46" s="7"/>
    </row>
    <row r="47" spans="3:43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344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7"/>
      <c r="AK47" s="7"/>
      <c r="AL47" s="7"/>
      <c r="AM47" s="7"/>
      <c r="AN47" s="7"/>
      <c r="AO47" s="103"/>
      <c r="AP47" s="7"/>
      <c r="AQ47" s="7"/>
    </row>
    <row r="48" spans="3:43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7"/>
      <c r="AK48" s="7"/>
      <c r="AL48" s="7"/>
      <c r="AM48" s="7"/>
      <c r="AN48" s="7"/>
      <c r="AO48" s="103"/>
      <c r="AP48" s="7"/>
      <c r="AQ48" s="7"/>
    </row>
    <row r="49" spans="3:43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7"/>
      <c r="AK49" s="7"/>
      <c r="AL49" s="7"/>
      <c r="AM49" s="7"/>
      <c r="AN49" s="7"/>
      <c r="AO49" s="103"/>
      <c r="AP49" s="7"/>
      <c r="AQ49" s="7"/>
    </row>
    <row r="50" spans="3:43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7"/>
      <c r="AK50" s="7"/>
      <c r="AL50" s="7"/>
      <c r="AM50" s="7"/>
      <c r="AN50" s="7"/>
      <c r="AO50" s="103"/>
      <c r="AP50" s="7"/>
      <c r="AQ50" s="7"/>
    </row>
    <row r="51" spans="3:43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7"/>
      <c r="AK51" s="7"/>
      <c r="AL51" s="7"/>
      <c r="AM51" s="7"/>
      <c r="AN51" s="7"/>
      <c r="AO51" s="103"/>
      <c r="AP51" s="7"/>
      <c r="AQ51" s="7"/>
    </row>
    <row r="52" spans="3:43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7"/>
      <c r="AK52" s="7"/>
      <c r="AL52" s="7"/>
      <c r="AM52" s="7"/>
      <c r="AN52" s="7"/>
      <c r="AO52" s="103"/>
      <c r="AP52" s="7"/>
      <c r="AQ52" s="7"/>
    </row>
    <row r="53" spans="3:43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7"/>
      <c r="AK53" s="7"/>
      <c r="AL53" s="7"/>
      <c r="AM53" s="7"/>
      <c r="AN53" s="7"/>
      <c r="AO53" s="103"/>
      <c r="AP53" s="7"/>
      <c r="AQ53" s="7"/>
    </row>
    <row r="54" spans="3:43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7"/>
      <c r="AK54" s="7"/>
      <c r="AL54" s="7"/>
      <c r="AM54" s="7"/>
      <c r="AN54" s="7"/>
      <c r="AO54" s="103"/>
      <c r="AP54" s="7"/>
      <c r="AQ54" s="7"/>
    </row>
    <row r="55" spans="3:43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7"/>
      <c r="AK55" s="7"/>
      <c r="AL55" s="7"/>
      <c r="AM55" s="7"/>
      <c r="AN55" s="7"/>
      <c r="AO55" s="103"/>
      <c r="AP55" s="7"/>
      <c r="AQ55" s="7"/>
    </row>
    <row r="56" spans="3:43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7"/>
      <c r="AK56" s="7"/>
      <c r="AL56" s="7"/>
      <c r="AM56" s="7"/>
      <c r="AN56" s="7"/>
      <c r="AO56" s="103"/>
      <c r="AP56" s="7"/>
      <c r="AQ56" s="7"/>
    </row>
    <row r="57" spans="3:43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7"/>
      <c r="AK57" s="7"/>
      <c r="AL57" s="7"/>
      <c r="AM57" s="7"/>
      <c r="AN57" s="7"/>
      <c r="AO57" s="103"/>
      <c r="AP57" s="7"/>
      <c r="AQ57" s="7"/>
    </row>
    <row r="58" spans="3:43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7"/>
      <c r="AK58" s="7"/>
      <c r="AL58" s="7"/>
      <c r="AM58" s="7"/>
      <c r="AN58" s="7"/>
      <c r="AO58" s="103"/>
      <c r="AP58" s="7"/>
      <c r="AQ58" s="7"/>
    </row>
    <row r="59" spans="3:43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7"/>
      <c r="AK59" s="7"/>
      <c r="AL59" s="7"/>
      <c r="AM59" s="7"/>
      <c r="AN59" s="7"/>
      <c r="AO59" s="103"/>
      <c r="AP59" s="7"/>
      <c r="AQ59" s="7"/>
    </row>
    <row r="60" spans="3:43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7"/>
      <c r="AK60" s="7"/>
      <c r="AL60" s="7"/>
      <c r="AM60" s="7"/>
      <c r="AN60" s="7"/>
      <c r="AO60" s="103"/>
      <c r="AP60" s="7"/>
      <c r="AQ60" s="7"/>
    </row>
    <row r="61" spans="3:43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7"/>
      <c r="AK61" s="7"/>
      <c r="AL61" s="7"/>
      <c r="AM61" s="7"/>
      <c r="AN61" s="7"/>
      <c r="AO61" s="103"/>
      <c r="AP61" s="7"/>
      <c r="AQ61" s="7"/>
    </row>
    <row r="62" spans="3:43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7"/>
      <c r="AK62" s="7"/>
      <c r="AL62" s="7"/>
      <c r="AM62" s="7"/>
      <c r="AN62" s="7"/>
      <c r="AO62" s="103"/>
      <c r="AP62" s="7"/>
      <c r="AQ62" s="7"/>
    </row>
    <row r="63" spans="3:43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7"/>
      <c r="AK63" s="7"/>
      <c r="AL63" s="7"/>
      <c r="AM63" s="7"/>
      <c r="AN63" s="7"/>
      <c r="AO63" s="103"/>
      <c r="AP63" s="7"/>
      <c r="AQ63" s="7"/>
    </row>
    <row r="64" spans="3:43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7"/>
      <c r="AK64" s="7"/>
      <c r="AL64" s="7"/>
      <c r="AM64" s="7"/>
      <c r="AN64" s="7"/>
      <c r="AO64" s="103"/>
      <c r="AP64" s="7"/>
      <c r="AQ64" s="7"/>
    </row>
    <row r="65" spans="3:43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7"/>
      <c r="AK65" s="7"/>
      <c r="AL65" s="7"/>
      <c r="AM65" s="7"/>
      <c r="AN65" s="7"/>
      <c r="AO65" s="103"/>
      <c r="AP65" s="7"/>
      <c r="AQ65" s="7"/>
    </row>
    <row r="66" spans="3:43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7"/>
      <c r="AK66" s="7"/>
      <c r="AL66" s="7"/>
      <c r="AM66" s="7"/>
      <c r="AN66" s="7"/>
      <c r="AO66" s="103"/>
      <c r="AP66" s="7"/>
      <c r="AQ66" s="7"/>
    </row>
    <row r="67" spans="3:43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7"/>
      <c r="AK67" s="7"/>
      <c r="AL67" s="7"/>
      <c r="AM67" s="7"/>
      <c r="AN67" s="7"/>
      <c r="AO67" s="103"/>
    </row>
    <row r="68" spans="3:43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7"/>
      <c r="AK68" s="7"/>
      <c r="AL68" s="7"/>
      <c r="AM68" s="7"/>
      <c r="AN68" s="7"/>
      <c r="AO68" s="103"/>
    </row>
    <row r="69" spans="3:43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7"/>
      <c r="AK69" s="7"/>
      <c r="AL69" s="7"/>
      <c r="AM69" s="7"/>
      <c r="AN69" s="7"/>
      <c r="AO69" s="103"/>
    </row>
    <row r="70" spans="3:43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04"/>
      <c r="AK70" s="104"/>
      <c r="AL70" s="104"/>
      <c r="AM70" s="104"/>
      <c r="AN70" s="104"/>
      <c r="AO70" s="70"/>
    </row>
    <row r="113" spans="17:17" x14ac:dyDescent="0.25">
      <c r="Q113" s="3" t="s">
        <v>49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whole" allowBlank="1" showInputMessage="1" showErrorMessage="1" xr:uid="{A2C938BF-9552-F94B-BA47-8A10586E14A7}">
          <x14:formula1>
            <xm:f>'C:\Users\philippkenkel\Seafile\RESILIENTE ENERGIESYSTEME\Intern\[Methanol_Case_Dev.xlsm]Systemblatt'!#REF!</xm:f>
          </x14:formula1>
          <x14:formula2>
            <xm:f>'C:\Users\philippkenkel\Seafile\RESILIENTE ENERGIESYSTEME\Intern\[Methanol_Case_Dev.xlsm]Systemblatt'!#REF!</xm:f>
          </x14:formula2>
          <xm:sqref>E17:E20</xm:sqref>
        </x14:dataValidation>
        <x14:dataValidation type="list" allowBlank="1" showInputMessage="1" showErrorMessage="1" xr:uid="{AC697E4B-1EF5-934D-BE92-42CE35A3F5CB}">
          <x14:formula1>
            <xm:f>'C:\Users\philippkenkel\Seafile\RESILIENTE ENERGIESYSTEME\Intern\[Methanol_Case_Dev.xlsm]Systemblatt'!#REF!</xm:f>
          </x14:formula1>
          <xm:sqref>I16:I17 AE10:AE24 N12:P13 AC10:AC24 T10:T24</xm:sqref>
        </x14:dataValidation>
        <x14:dataValidation type="list" allowBlank="1" showInputMessage="1" showErrorMessage="1" xr:uid="{32140823-840F-E049-AD0A-6E88551DE7E4}">
          <x14:formula1>
            <xm:f>'C:\Users\philippkenkel\Seafile\RESILIENTE ENERGIESYSTEME\Intern\[Methanol_Case_Dev.xlsm]DataBank'!#REF!</xm:f>
          </x14:formula1>
          <xm:sqref>I15 N11:P11 AB10 AD10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F4C2-8D04-4230-9BE2-828C484BBF4F}">
  <sheetPr codeName="Tabelle10"/>
  <dimension ref="C1:AL137"/>
  <sheetViews>
    <sheetView zoomScale="60" zoomScaleNormal="60" workbookViewId="0">
      <selection activeCell="AF42" sqref="AF4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9.4257812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4" width="23.140625" style="3" customWidth="1"/>
    <col min="25" max="25" width="16.7109375" style="3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5" width="23.140625" style="3" customWidth="1"/>
    <col min="36" max="16384" width="10.85546875" style="3"/>
  </cols>
  <sheetData>
    <row r="1" spans="3:37" ht="10.5" customHeight="1" x14ac:dyDescent="0.25"/>
    <row r="2" spans="3:37" ht="6.95" customHeight="1" thickBot="1" x14ac:dyDescent="0.3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</row>
    <row r="3" spans="3:37" x14ac:dyDescent="0.25">
      <c r="C3" s="112"/>
      <c r="D3" s="113"/>
      <c r="E3" s="113"/>
      <c r="F3" s="113"/>
      <c r="G3" s="113"/>
      <c r="H3" s="113"/>
      <c r="I3" s="113"/>
      <c r="J3" s="113" t="s">
        <v>46</v>
      </c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4"/>
    </row>
    <row r="4" spans="3:37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03"/>
    </row>
    <row r="5" spans="3:37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03"/>
    </row>
    <row r="6" spans="3:37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3"/>
      <c r="AK6" s="103"/>
    </row>
    <row r="7" spans="3:37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7"/>
      <c r="AI7" s="7"/>
      <c r="AJ7" s="13"/>
      <c r="AK7" s="103"/>
    </row>
    <row r="8" spans="3:37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88" t="s">
        <v>134</v>
      </c>
      <c r="AC8" s="589"/>
      <c r="AD8" s="589"/>
      <c r="AE8" s="589"/>
      <c r="AF8" s="590"/>
      <c r="AG8" s="13"/>
      <c r="AH8" s="525" t="s">
        <v>20</v>
      </c>
      <c r="AI8" s="527"/>
      <c r="AJ8" s="13"/>
      <c r="AK8" s="103"/>
    </row>
    <row r="9" spans="3:37" ht="21.75" thickBot="1" x14ac:dyDescent="0.4">
      <c r="C9" s="102"/>
      <c r="D9" s="81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281" t="s">
        <v>13</v>
      </c>
      <c r="AI9" s="282" t="s">
        <v>1</v>
      </c>
      <c r="AJ9" s="13"/>
      <c r="AK9" s="103"/>
    </row>
    <row r="10" spans="3:37" ht="18.75" x14ac:dyDescent="0.3">
      <c r="C10" s="102"/>
      <c r="D10" s="73" t="s">
        <v>2</v>
      </c>
      <c r="E10" s="74" t="s">
        <v>60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153">
        <v>1.3799000000000001E-2</v>
      </c>
      <c r="O10" s="153">
        <v>-0.13539999999999999</v>
      </c>
      <c r="P10" s="76"/>
      <c r="Q10" s="88"/>
      <c r="R10" s="163"/>
      <c r="S10" s="152">
        <v>3110</v>
      </c>
      <c r="T10" s="153" t="s">
        <v>50</v>
      </c>
      <c r="U10" s="154">
        <v>1</v>
      </c>
      <c r="V10" s="155"/>
      <c r="W10" s="152"/>
      <c r="X10" s="83"/>
      <c r="Y10" s="153"/>
      <c r="Z10" s="154"/>
      <c r="AA10" s="83"/>
      <c r="AB10" s="152" t="s">
        <v>26</v>
      </c>
      <c r="AC10" s="153" t="s">
        <v>31</v>
      </c>
      <c r="AD10" s="153" t="s">
        <v>26</v>
      </c>
      <c r="AE10" s="153" t="s">
        <v>32</v>
      </c>
      <c r="AF10" s="76">
        <v>7.33</v>
      </c>
      <c r="AG10" s="181"/>
      <c r="AH10" s="152" t="s">
        <v>50</v>
      </c>
      <c r="AI10" s="76">
        <v>0.61911000000000005</v>
      </c>
      <c r="AJ10" s="13" t="s">
        <v>38</v>
      </c>
      <c r="AK10" s="103"/>
    </row>
    <row r="11" spans="3:37" ht="18.75" x14ac:dyDescent="0.3">
      <c r="C11" s="102"/>
      <c r="D11" s="75" t="s">
        <v>4</v>
      </c>
      <c r="E11" s="76">
        <v>3100</v>
      </c>
      <c r="F11" s="88"/>
      <c r="G11" s="88"/>
      <c r="H11" s="75" t="s">
        <v>113</v>
      </c>
      <c r="I11" s="76">
        <v>10</v>
      </c>
      <c r="J11" s="88"/>
      <c r="K11" s="88"/>
      <c r="L11" s="88"/>
      <c r="M11" s="84" t="s">
        <v>122</v>
      </c>
      <c r="N11" s="153" t="s">
        <v>26</v>
      </c>
      <c r="O11" s="153" t="s">
        <v>26</v>
      </c>
      <c r="P11" s="76"/>
      <c r="Q11" s="88"/>
      <c r="R11" s="163"/>
      <c r="S11" s="152">
        <v>3110</v>
      </c>
      <c r="T11" s="153" t="s">
        <v>9</v>
      </c>
      <c r="U11" s="154">
        <v>1</v>
      </c>
      <c r="V11" s="155"/>
      <c r="W11" s="158"/>
      <c r="X11" s="83"/>
      <c r="Y11" s="155"/>
      <c r="Z11" s="157"/>
      <c r="AA11" s="83"/>
      <c r="AB11" s="156"/>
      <c r="AC11" s="83" t="s">
        <v>29</v>
      </c>
      <c r="AD11" s="155"/>
      <c r="AE11" s="83"/>
      <c r="AF11" s="157"/>
      <c r="AG11" s="181"/>
      <c r="AH11" s="152" t="s">
        <v>30</v>
      </c>
      <c r="AI11" s="76">
        <v>0.35</v>
      </c>
      <c r="AJ11" s="13" t="s">
        <v>9</v>
      </c>
      <c r="AK11" s="103"/>
    </row>
    <row r="12" spans="3:37" ht="18.75" x14ac:dyDescent="0.3">
      <c r="C12" s="102"/>
      <c r="D12" s="75" t="s">
        <v>90</v>
      </c>
      <c r="E12" s="76" t="s">
        <v>51</v>
      </c>
      <c r="F12" s="88"/>
      <c r="G12" s="88"/>
      <c r="H12" s="75" t="s">
        <v>114</v>
      </c>
      <c r="I12" s="76">
        <v>50.322000000000003</v>
      </c>
      <c r="J12" s="88"/>
      <c r="K12" s="88"/>
      <c r="L12" s="88"/>
      <c r="M12" s="84" t="s">
        <v>123</v>
      </c>
      <c r="N12" s="153" t="s">
        <v>30</v>
      </c>
      <c r="O12" s="153" t="s">
        <v>31</v>
      </c>
      <c r="P12" s="76"/>
      <c r="Q12" s="88"/>
      <c r="R12" s="163"/>
      <c r="S12" s="158">
        <v>3110</v>
      </c>
      <c r="T12" s="153" t="s">
        <v>32</v>
      </c>
      <c r="U12" s="76">
        <v>1</v>
      </c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81"/>
      <c r="AH12" s="152" t="s">
        <v>32</v>
      </c>
      <c r="AI12" s="76">
        <v>3.5000000000000001E-3</v>
      </c>
      <c r="AJ12" s="13" t="s">
        <v>200</v>
      </c>
      <c r="AK12" s="103"/>
    </row>
    <row r="13" spans="3:37" ht="18.75" x14ac:dyDescent="0.3">
      <c r="C13" s="102"/>
      <c r="D13" s="75" t="s">
        <v>102</v>
      </c>
      <c r="E13" s="76" t="s">
        <v>50</v>
      </c>
      <c r="F13" s="88"/>
      <c r="G13" s="88"/>
      <c r="H13" s="75" t="s">
        <v>115</v>
      </c>
      <c r="I13" s="76">
        <v>0.67</v>
      </c>
      <c r="J13" s="88"/>
      <c r="K13" s="88"/>
      <c r="L13" s="88"/>
      <c r="M13" s="84"/>
      <c r="N13" s="153" t="s">
        <v>31</v>
      </c>
      <c r="O13" s="153" t="s">
        <v>30</v>
      </c>
      <c r="P13" s="76"/>
      <c r="Q13" s="88"/>
      <c r="R13" s="163"/>
      <c r="S13" s="158">
        <v>3110</v>
      </c>
      <c r="T13" s="153" t="s">
        <v>30</v>
      </c>
      <c r="U13" s="76">
        <v>1</v>
      </c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81"/>
      <c r="AH13" s="152" t="s">
        <v>31</v>
      </c>
      <c r="AI13" s="76">
        <v>2.383E-2</v>
      </c>
      <c r="AJ13" s="13"/>
      <c r="AK13" s="103"/>
    </row>
    <row r="14" spans="3:37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76">
        <v>2020</v>
      </c>
      <c r="J14" s="88"/>
      <c r="K14" s="88"/>
      <c r="L14" s="88"/>
      <c r="M14" s="85"/>
      <c r="N14" s="153" t="s">
        <v>32</v>
      </c>
      <c r="O14" s="153" t="s">
        <v>32</v>
      </c>
      <c r="P14" s="76"/>
      <c r="Q14" s="88"/>
      <c r="R14" s="163"/>
      <c r="S14" s="158">
        <v>3110</v>
      </c>
      <c r="T14" s="153" t="s">
        <v>31</v>
      </c>
      <c r="U14" s="76">
        <v>1</v>
      </c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81"/>
      <c r="AH14" s="152" t="s">
        <v>29</v>
      </c>
      <c r="AI14" s="76">
        <v>1.65E-3</v>
      </c>
      <c r="AJ14" s="13"/>
      <c r="AK14" s="103"/>
    </row>
    <row r="15" spans="3:37" ht="18.75" x14ac:dyDescent="0.3">
      <c r="C15" s="102"/>
      <c r="D15" s="75" t="s">
        <v>104</v>
      </c>
      <c r="E15" s="154">
        <v>2.6</v>
      </c>
      <c r="F15" s="88"/>
      <c r="G15" s="88"/>
      <c r="H15" s="84" t="s">
        <v>117</v>
      </c>
      <c r="I15" s="76" t="s">
        <v>27</v>
      </c>
      <c r="J15" s="88"/>
      <c r="K15" s="88"/>
      <c r="L15" s="88"/>
      <c r="M15" s="85"/>
      <c r="N15" s="83"/>
      <c r="O15" s="83"/>
      <c r="P15" s="76"/>
      <c r="Q15" s="88"/>
      <c r="R15" s="163"/>
      <c r="S15" s="158">
        <v>3110</v>
      </c>
      <c r="T15" s="153" t="s">
        <v>29</v>
      </c>
      <c r="U15" s="76">
        <v>1</v>
      </c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81"/>
      <c r="AH15" s="152" t="s">
        <v>9</v>
      </c>
      <c r="AI15" s="76">
        <v>1.91E-3</v>
      </c>
      <c r="AJ15" s="13"/>
      <c r="AK15" s="103"/>
    </row>
    <row r="16" spans="3:37" ht="18.75" x14ac:dyDescent="0.3">
      <c r="C16" s="102"/>
      <c r="D16" s="75" t="s">
        <v>105</v>
      </c>
      <c r="E16" s="154">
        <v>1.44</v>
      </c>
      <c r="F16" s="88"/>
      <c r="G16" s="88"/>
      <c r="H16" s="84" t="s">
        <v>101</v>
      </c>
      <c r="I16" s="76" t="s">
        <v>50</v>
      </c>
      <c r="J16" s="88"/>
      <c r="K16" s="88"/>
      <c r="L16" s="88"/>
      <c r="M16" s="85"/>
      <c r="N16" s="83"/>
      <c r="O16" s="83"/>
      <c r="P16" s="76"/>
      <c r="Q16" s="88"/>
      <c r="R16" s="163"/>
      <c r="S16" s="158">
        <v>3110</v>
      </c>
      <c r="T16" s="83" t="s">
        <v>200</v>
      </c>
      <c r="U16" s="76">
        <v>1</v>
      </c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8"/>
      <c r="AI16" s="76"/>
      <c r="AJ16" s="13"/>
      <c r="AK16" s="103"/>
    </row>
    <row r="17" spans="3:38" ht="18.75" x14ac:dyDescent="0.3">
      <c r="C17" s="102"/>
      <c r="D17" s="75" t="s">
        <v>106</v>
      </c>
      <c r="E17" s="76">
        <v>250</v>
      </c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76"/>
      <c r="AJ17" s="13"/>
      <c r="AK17" s="103"/>
    </row>
    <row r="18" spans="3:38" ht="18.75" x14ac:dyDescent="0.3">
      <c r="C18" s="102"/>
      <c r="D18" s="77" t="s">
        <v>107</v>
      </c>
      <c r="E18" s="76">
        <v>250</v>
      </c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76"/>
      <c r="AJ18" s="13"/>
      <c r="AK18" s="103"/>
    </row>
    <row r="19" spans="3:38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76"/>
      <c r="AJ19" s="13"/>
      <c r="AK19" s="103"/>
    </row>
    <row r="20" spans="3:38" ht="18.75" x14ac:dyDescent="0.3">
      <c r="C20" s="102"/>
      <c r="D20" s="77" t="s">
        <v>109</v>
      </c>
      <c r="E20" s="76"/>
      <c r="F20" s="88"/>
      <c r="G20" s="88"/>
      <c r="H20" s="85"/>
      <c r="I20" s="86"/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76"/>
      <c r="AJ20" s="13"/>
      <c r="AK20" s="103"/>
    </row>
    <row r="21" spans="3:38" ht="18.75" x14ac:dyDescent="0.3"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76"/>
      <c r="AJ21" s="13"/>
      <c r="AK21" s="103"/>
    </row>
    <row r="22" spans="3:38" ht="18.75" x14ac:dyDescent="0.3"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76"/>
      <c r="AJ22" s="13"/>
      <c r="AK22" s="103"/>
    </row>
    <row r="23" spans="3:38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76"/>
      <c r="AJ23" s="13"/>
      <c r="AK23" s="103"/>
    </row>
    <row r="24" spans="3:38" ht="18.75" x14ac:dyDescent="0.3">
      <c r="C24" s="102"/>
      <c r="D24" s="193" t="s">
        <v>135</v>
      </c>
      <c r="E24" s="86"/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76"/>
      <c r="AJ24" s="13"/>
      <c r="AK24" s="103"/>
    </row>
    <row r="25" spans="3:38" ht="18.75" x14ac:dyDescent="0.3">
      <c r="C25" s="102"/>
      <c r="D25" s="193" t="s">
        <v>136</v>
      </c>
      <c r="E25" s="86"/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158"/>
      <c r="AI25" s="76"/>
      <c r="AJ25" s="13"/>
      <c r="AK25" s="103"/>
    </row>
    <row r="26" spans="3:38" ht="19.5" thickBot="1" x14ac:dyDescent="0.35">
      <c r="C26" s="102"/>
      <c r="D26" s="195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81"/>
      <c r="AH26" s="158"/>
      <c r="AI26" s="76"/>
      <c r="AJ26" s="13"/>
      <c r="AK26" s="103"/>
    </row>
    <row r="27" spans="3:38" ht="19.5" thickBot="1" x14ac:dyDescent="0.35">
      <c r="C27" s="102"/>
      <c r="D27" s="160"/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81"/>
      <c r="AH27" s="161"/>
      <c r="AI27" s="79"/>
      <c r="AJ27" s="13"/>
      <c r="AK27" s="103"/>
      <c r="AL27" s="3" t="s">
        <v>49</v>
      </c>
    </row>
    <row r="28" spans="3:38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7"/>
      <c r="AI28" s="7"/>
      <c r="AJ28" s="13"/>
      <c r="AK28" s="103"/>
    </row>
    <row r="29" spans="3:38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7"/>
      <c r="AI29" s="7"/>
      <c r="AJ29" s="13"/>
      <c r="AK29" s="103"/>
    </row>
    <row r="30" spans="3:38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7"/>
      <c r="AI30" s="7"/>
      <c r="AJ30" s="13"/>
      <c r="AK30" s="103"/>
    </row>
    <row r="31" spans="3:38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03"/>
    </row>
    <row r="32" spans="3:38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03"/>
    </row>
    <row r="33" spans="3:37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03"/>
    </row>
    <row r="34" spans="3:37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03"/>
    </row>
    <row r="35" spans="3:37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03"/>
    </row>
    <row r="36" spans="3:37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03"/>
    </row>
    <row r="37" spans="3:37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03"/>
    </row>
    <row r="38" spans="3:37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03"/>
    </row>
    <row r="39" spans="3:37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03"/>
    </row>
    <row r="40" spans="3:37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03"/>
    </row>
    <row r="41" spans="3:37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03"/>
    </row>
    <row r="42" spans="3:37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03"/>
    </row>
    <row r="43" spans="3:37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03"/>
    </row>
    <row r="44" spans="3:37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03"/>
    </row>
    <row r="45" spans="3:37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03"/>
    </row>
    <row r="46" spans="3:37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03"/>
    </row>
    <row r="47" spans="3:37" ht="18.75" x14ac:dyDescent="0.25">
      <c r="C47" s="102"/>
      <c r="D47" s="7"/>
      <c r="E47" s="7"/>
      <c r="F47" s="8"/>
      <c r="G47" s="126"/>
      <c r="H47" s="7"/>
      <c r="I47" s="7"/>
      <c r="J47" s="8"/>
      <c r="K47" s="126"/>
      <c r="L47" s="7"/>
      <c r="M47" s="7"/>
      <c r="N47" s="7"/>
      <c r="O47" s="7"/>
      <c r="P47" s="1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03"/>
    </row>
    <row r="48" spans="3:37" ht="15.75" x14ac:dyDescent="0.25">
      <c r="C48" s="102"/>
      <c r="D48" s="7"/>
      <c r="E48" s="7"/>
      <c r="F48" s="125"/>
      <c r="G48" s="125"/>
      <c r="H48" s="7"/>
      <c r="I48" s="7"/>
      <c r="J48" s="125"/>
      <c r="K48" s="125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03"/>
    </row>
    <row r="49" spans="3:37" ht="15.75" x14ac:dyDescent="0.25">
      <c r="C49" s="102"/>
      <c r="D49" s="7"/>
      <c r="E49" s="7"/>
      <c r="F49" s="9"/>
      <c r="G49" s="9"/>
      <c r="H49" s="7"/>
      <c r="I49" s="7"/>
      <c r="J49" s="12"/>
      <c r="K49" s="12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03"/>
    </row>
    <row r="50" spans="3:37" ht="15.75" x14ac:dyDescent="0.25">
      <c r="C50" s="102"/>
      <c r="D50" s="7"/>
      <c r="E50" s="7"/>
      <c r="F50" s="9"/>
      <c r="G50" s="9"/>
      <c r="H50" s="7"/>
      <c r="I50" s="7"/>
      <c r="J50" s="12"/>
      <c r="K50" s="12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03"/>
    </row>
    <row r="51" spans="3:37" ht="15.75" x14ac:dyDescent="0.25">
      <c r="C51" s="102"/>
      <c r="D51" s="7"/>
      <c r="E51" s="7"/>
      <c r="F51" s="9"/>
      <c r="G51" s="9"/>
      <c r="H51" s="7"/>
      <c r="I51" s="7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03"/>
    </row>
    <row r="52" spans="3:37" ht="15.75" x14ac:dyDescent="0.25">
      <c r="C52" s="102"/>
      <c r="D52" s="7"/>
      <c r="E52" s="7"/>
      <c r="F52" s="9"/>
      <c r="G52" s="9"/>
      <c r="H52" s="7"/>
      <c r="I52" s="7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03"/>
    </row>
    <row r="53" spans="3:37" ht="15.75" x14ac:dyDescent="0.25">
      <c r="C53" s="102"/>
      <c r="D53" s="7"/>
      <c r="E53" s="7"/>
      <c r="F53" s="9"/>
      <c r="G53" s="9"/>
      <c r="H53" s="7"/>
      <c r="I53" s="7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03"/>
    </row>
    <row r="54" spans="3:37" ht="15.75" x14ac:dyDescent="0.25">
      <c r="C54" s="102"/>
      <c r="D54" s="7"/>
      <c r="E54" s="7"/>
      <c r="F54" s="9"/>
      <c r="G54" s="9"/>
      <c r="H54" s="7"/>
      <c r="I54" s="7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03"/>
    </row>
    <row r="55" spans="3:37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03"/>
    </row>
    <row r="56" spans="3:37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03"/>
    </row>
    <row r="57" spans="3:37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03"/>
    </row>
    <row r="58" spans="3:37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03"/>
    </row>
    <row r="59" spans="3:37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03"/>
    </row>
    <row r="60" spans="3:37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03"/>
    </row>
    <row r="61" spans="3:37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03"/>
    </row>
    <row r="62" spans="3:37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03"/>
    </row>
    <row r="63" spans="3:37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03"/>
    </row>
    <row r="64" spans="3:37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03"/>
    </row>
    <row r="65" spans="3:37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03"/>
    </row>
    <row r="66" spans="3:37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03"/>
    </row>
    <row r="67" spans="3:37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03"/>
    </row>
    <row r="68" spans="3:37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03"/>
    </row>
    <row r="69" spans="3:37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03"/>
    </row>
    <row r="70" spans="3:37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70"/>
    </row>
    <row r="119" spans="17:17" x14ac:dyDescent="0.25">
      <c r="Q119" s="3" t="s">
        <v>49</v>
      </c>
    </row>
    <row r="137" spans="18:18" x14ac:dyDescent="0.25">
      <c r="R137" s="3" t="s">
        <v>49</v>
      </c>
    </row>
  </sheetData>
  <mergeCells count="12">
    <mergeCell ref="D6:E6"/>
    <mergeCell ref="H6:I6"/>
    <mergeCell ref="M6:P6"/>
    <mergeCell ref="S8:U8"/>
    <mergeCell ref="S6:AF6"/>
    <mergeCell ref="W8:Z8"/>
    <mergeCell ref="AH8:AI8"/>
    <mergeCell ref="X9:Z9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AF96490-2012-4827-A4F8-5847998C0080}">
          <x14:formula1>
            <xm:f>DataBank!$A$3:$A$4</xm:f>
          </x14:formula1>
          <xm:sqref>AB10 AD10</xm:sqref>
        </x14:dataValidation>
        <x14:dataValidation type="list" allowBlank="1" showInputMessage="1" showErrorMessage="1" xr:uid="{46A610B0-E034-4C3A-9155-0F1E90C1B27F}">
          <x14:formula1>
            <xm:f>DataBank!$A$3:$A$5</xm:f>
          </x14:formula1>
          <xm:sqref>I15 N11:P11</xm:sqref>
        </x14:dataValidation>
        <x14:dataValidation type="list" allowBlank="1" showInputMessage="1" showErrorMessage="1" xr:uid="{90C37C90-C2EE-4622-BF75-7EDA58B78C62}">
          <x14:formula1>
            <xm:f>Systemblatt!$E$5:$E$12</xm:f>
          </x14:formula1>
          <xm:sqref>I16:I17 T10:T15 AC10:AC24 AE10:AE24 AH10:AH30 N12:P13 T24</xm:sqref>
        </x14:dataValidation>
        <x14:dataValidation type="whole" allowBlank="1" showInputMessage="1" showErrorMessage="1" xr:uid="{A70EC15D-5D5D-407B-83A7-D1EDD1D54361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987BA-3E45-4E3E-B3E6-1822B59C8341}">
  <sheetPr codeName="Tabelle14"/>
  <dimension ref="C1:AK146"/>
  <sheetViews>
    <sheetView topLeftCell="P1" zoomScale="68" zoomScaleNormal="68" workbookViewId="0">
      <selection activeCell="X12" sqref="X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1.42578125" style="3" customWidth="1"/>
    <col min="5" max="6" width="15.28515625" style="3" customWidth="1"/>
    <col min="7" max="7" width="6.28515625" style="3" customWidth="1"/>
    <col min="8" max="8" width="30.7109375" style="3" customWidth="1"/>
    <col min="9" max="11" width="15.28515625" style="3" customWidth="1"/>
    <col min="12" max="12" width="4.28515625" style="3" customWidth="1"/>
    <col min="13" max="13" width="28.85546875" style="3" customWidth="1"/>
    <col min="14" max="14" width="15.28515625" style="3" customWidth="1"/>
    <col min="15" max="15" width="28.85546875" style="3" customWidth="1"/>
    <col min="16" max="16" width="39.140625" style="3" customWidth="1"/>
    <col min="17" max="18" width="15.28515625" style="3" customWidth="1"/>
    <col min="19" max="19" width="25.28515625" style="3" customWidth="1"/>
    <col min="20" max="20" width="26.42578125" style="3" customWidth="1"/>
    <col min="21" max="21" width="14.28515625" style="3" customWidth="1"/>
    <col min="22" max="22" width="10.85546875" style="3"/>
    <col min="23" max="23" width="22.28515625" style="3" customWidth="1"/>
    <col min="24" max="24" width="22" style="3" customWidth="1"/>
    <col min="25" max="25" width="26.28515625" style="3" customWidth="1"/>
    <col min="26" max="26" width="25.28515625" style="3" customWidth="1"/>
    <col min="27" max="27" width="10.85546875" style="3"/>
    <col min="28" max="28" width="14.140625" style="3" customWidth="1"/>
    <col min="29" max="29" width="22" style="3" customWidth="1"/>
    <col min="30" max="30" width="10.85546875" style="3"/>
    <col min="31" max="31" width="16" style="3" customWidth="1"/>
    <col min="32" max="32" width="71.85546875" style="3" customWidth="1"/>
    <col min="33" max="33" width="10.85546875" style="3"/>
    <col min="34" max="34" width="22.7109375" style="3" customWidth="1"/>
    <col min="35" max="16384" width="10.85546875" style="3"/>
  </cols>
  <sheetData>
    <row r="1" spans="3:37" ht="10.5" customHeight="1" thickBot="1" x14ac:dyDescent="0.3"/>
    <row r="2" spans="3:37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3"/>
      <c r="AK2" s="124"/>
    </row>
    <row r="3" spans="3:37" x14ac:dyDescent="0.25">
      <c r="C3" s="102"/>
      <c r="D3" s="7"/>
      <c r="E3" s="7"/>
      <c r="F3" s="7"/>
      <c r="G3" s="7"/>
      <c r="H3" s="7"/>
      <c r="I3" s="7"/>
      <c r="J3" s="7" t="s">
        <v>46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7"/>
      <c r="AK3" s="103"/>
    </row>
    <row r="4" spans="3:37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7"/>
      <c r="AK4" s="103"/>
    </row>
    <row r="5" spans="3:37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J5" s="7"/>
      <c r="AK5" s="103"/>
    </row>
    <row r="6" spans="3:37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7"/>
      <c r="AK6" s="103"/>
    </row>
    <row r="7" spans="3:37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7"/>
      <c r="AI7" s="7"/>
      <c r="AJ7" s="7"/>
      <c r="AK7" s="103"/>
    </row>
    <row r="8" spans="3:37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88" t="s">
        <v>134</v>
      </c>
      <c r="AC8" s="589"/>
      <c r="AD8" s="589"/>
      <c r="AE8" s="589"/>
      <c r="AF8" s="590"/>
      <c r="AG8" s="13"/>
      <c r="AH8" s="525" t="s">
        <v>20</v>
      </c>
      <c r="AI8" s="527"/>
      <c r="AJ8" s="7"/>
      <c r="AK8" s="103"/>
    </row>
    <row r="9" spans="3:37" ht="21.75" thickBot="1" x14ac:dyDescent="0.4">
      <c r="C9" s="102"/>
      <c r="D9" s="81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30" t="s">
        <v>126</v>
      </c>
      <c r="T9" s="130" t="s">
        <v>76</v>
      </c>
      <c r="U9" s="13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281" t="s">
        <v>13</v>
      </c>
      <c r="AI9" s="282" t="s">
        <v>1</v>
      </c>
      <c r="AJ9" s="7"/>
      <c r="AK9" s="103"/>
    </row>
    <row r="10" spans="3:37" ht="18.75" x14ac:dyDescent="0.3">
      <c r="C10" s="102"/>
      <c r="D10" s="73" t="s">
        <v>2</v>
      </c>
      <c r="E10" s="74" t="s">
        <v>61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153">
        <v>9.5090000000000001E-3</v>
      </c>
      <c r="O10" s="153">
        <v>-5.0129699999999999E-2</v>
      </c>
      <c r="P10" s="154"/>
      <c r="Q10" s="88"/>
      <c r="R10" s="163"/>
      <c r="S10" s="152">
        <v>3120</v>
      </c>
      <c r="T10" s="153" t="s">
        <v>50</v>
      </c>
      <c r="U10" s="182">
        <v>0.99897999999999998</v>
      </c>
      <c r="V10" s="155"/>
      <c r="W10" s="152"/>
      <c r="X10" s="83">
        <v>4100</v>
      </c>
      <c r="Y10" s="153"/>
      <c r="Z10" s="154"/>
      <c r="AA10" s="83"/>
      <c r="AB10" s="156"/>
      <c r="AC10" s="83"/>
      <c r="AD10" s="155"/>
      <c r="AE10" s="83"/>
      <c r="AF10" s="157"/>
      <c r="AG10" s="181"/>
      <c r="AH10" s="158"/>
      <c r="AI10" s="182"/>
      <c r="AJ10" s="7"/>
      <c r="AK10" s="103"/>
    </row>
    <row r="11" spans="3:37" ht="18.75" x14ac:dyDescent="0.3">
      <c r="C11" s="102"/>
      <c r="D11" s="75" t="s">
        <v>4</v>
      </c>
      <c r="E11" s="76">
        <v>3110</v>
      </c>
      <c r="F11" s="88"/>
      <c r="G11" s="88"/>
      <c r="H11" s="75" t="s">
        <v>113</v>
      </c>
      <c r="I11" s="154">
        <v>3.702</v>
      </c>
      <c r="J11" s="88"/>
      <c r="K11" s="88"/>
      <c r="L11" s="88"/>
      <c r="M11" s="84" t="s">
        <v>122</v>
      </c>
      <c r="N11" s="153" t="s">
        <v>26</v>
      </c>
      <c r="O11" s="153" t="s">
        <v>26</v>
      </c>
      <c r="P11" s="154"/>
      <c r="Q11" s="88"/>
      <c r="R11" s="163"/>
      <c r="S11" s="152">
        <v>3120</v>
      </c>
      <c r="T11" s="153" t="s">
        <v>30</v>
      </c>
      <c r="U11" s="182">
        <v>0.99972000000000005</v>
      </c>
      <c r="V11" s="155"/>
      <c r="W11" s="158"/>
      <c r="X11" s="83">
        <v>4200</v>
      </c>
      <c r="Y11" s="155"/>
      <c r="Z11" s="157"/>
      <c r="AA11" s="83"/>
      <c r="AB11" s="156"/>
      <c r="AC11" s="83"/>
      <c r="AD11" s="155"/>
      <c r="AE11" s="83"/>
      <c r="AF11" s="157"/>
      <c r="AG11" s="181"/>
      <c r="AH11" s="158"/>
      <c r="AI11" s="157"/>
      <c r="AJ11" s="7"/>
      <c r="AK11" s="103"/>
    </row>
    <row r="12" spans="3:37" ht="18.75" x14ac:dyDescent="0.3">
      <c r="C12" s="102"/>
      <c r="D12" s="75" t="s">
        <v>90</v>
      </c>
      <c r="E12" s="76"/>
      <c r="F12" s="88"/>
      <c r="G12" s="88"/>
      <c r="H12" s="75" t="s">
        <v>114</v>
      </c>
      <c r="I12" s="154">
        <v>81.28</v>
      </c>
      <c r="J12" s="88"/>
      <c r="K12" s="88"/>
      <c r="L12" s="88"/>
      <c r="M12" s="84" t="s">
        <v>123</v>
      </c>
      <c r="N12" s="153" t="s">
        <v>30</v>
      </c>
      <c r="O12" s="153" t="s">
        <v>50</v>
      </c>
      <c r="P12" s="154"/>
      <c r="Q12" s="88"/>
      <c r="R12" s="163"/>
      <c r="S12" s="152">
        <v>3120</v>
      </c>
      <c r="T12" s="153" t="s">
        <v>32</v>
      </c>
      <c r="U12" s="182">
        <v>5.3000000000000001E-5</v>
      </c>
      <c r="V12" s="155"/>
      <c r="W12" s="158"/>
      <c r="X12" s="83"/>
      <c r="Y12" s="49"/>
      <c r="Z12" s="34"/>
      <c r="AA12" s="49"/>
      <c r="AB12" s="56"/>
      <c r="AC12" s="83"/>
      <c r="AD12" s="49"/>
      <c r="AE12" s="83"/>
      <c r="AF12" s="157"/>
      <c r="AG12" s="181"/>
      <c r="AH12" s="158"/>
      <c r="AI12" s="157"/>
      <c r="AJ12" s="7"/>
      <c r="AK12" s="103"/>
    </row>
    <row r="13" spans="3:37" ht="18.75" x14ac:dyDescent="0.3">
      <c r="C13" s="102"/>
      <c r="D13" s="75" t="s">
        <v>102</v>
      </c>
      <c r="E13" s="76" t="s">
        <v>50</v>
      </c>
      <c r="F13" s="88"/>
      <c r="G13" s="88"/>
      <c r="H13" s="75" t="s">
        <v>115</v>
      </c>
      <c r="I13" s="200">
        <v>0.67</v>
      </c>
      <c r="J13" s="88"/>
      <c r="K13" s="88"/>
      <c r="L13" s="88"/>
      <c r="M13" s="84"/>
      <c r="N13" s="83" t="s">
        <v>50</v>
      </c>
      <c r="O13" s="153" t="s">
        <v>30</v>
      </c>
      <c r="P13" s="154"/>
      <c r="Q13" s="88"/>
      <c r="R13" s="163"/>
      <c r="S13" s="158">
        <v>3120</v>
      </c>
      <c r="T13" s="153" t="s">
        <v>31</v>
      </c>
      <c r="U13" s="182">
        <v>1.848E-2</v>
      </c>
      <c r="V13" s="49"/>
      <c r="W13" s="158"/>
      <c r="X13" s="83"/>
      <c r="Y13" s="49"/>
      <c r="Z13" s="34"/>
      <c r="AA13" s="49"/>
      <c r="AB13" s="56"/>
      <c r="AC13" s="83"/>
      <c r="AD13" s="49"/>
      <c r="AE13" s="83"/>
      <c r="AF13" s="157"/>
      <c r="AG13" s="181"/>
      <c r="AH13" s="158"/>
      <c r="AI13" s="157"/>
      <c r="AJ13" s="7"/>
      <c r="AK13" s="103"/>
    </row>
    <row r="14" spans="3:37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154">
        <v>2020</v>
      </c>
      <c r="J14" s="88"/>
      <c r="K14" s="88"/>
      <c r="L14" s="88"/>
      <c r="M14" s="85"/>
      <c r="N14" s="83" t="s">
        <v>31</v>
      </c>
      <c r="O14" s="83" t="s">
        <v>32</v>
      </c>
      <c r="P14" s="76"/>
      <c r="Q14" s="88"/>
      <c r="R14" s="163"/>
      <c r="S14" s="158">
        <v>3120</v>
      </c>
      <c r="T14" s="153" t="s">
        <v>29</v>
      </c>
      <c r="U14" s="182">
        <v>1.8310000000000001E-4</v>
      </c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181"/>
      <c r="AH14" s="158"/>
      <c r="AI14" s="157"/>
      <c r="AJ14" s="7"/>
      <c r="AK14" s="103"/>
    </row>
    <row r="15" spans="3:37" ht="18.75" x14ac:dyDescent="0.3">
      <c r="C15" s="102"/>
      <c r="D15" s="75" t="s">
        <v>104</v>
      </c>
      <c r="E15" s="204">
        <v>2.6</v>
      </c>
      <c r="F15" s="88"/>
      <c r="G15" s="88"/>
      <c r="H15" s="84" t="s">
        <v>117</v>
      </c>
      <c r="I15" s="76" t="s">
        <v>26</v>
      </c>
      <c r="J15" s="88"/>
      <c r="K15" s="88"/>
      <c r="L15" s="88"/>
      <c r="M15" s="85"/>
      <c r="N15" s="83" t="s">
        <v>29</v>
      </c>
      <c r="O15" s="83" t="s">
        <v>31</v>
      </c>
      <c r="P15" s="76"/>
      <c r="Q15" s="88"/>
      <c r="R15" s="163"/>
      <c r="S15" s="158">
        <v>3120</v>
      </c>
      <c r="T15" s="153" t="s">
        <v>38</v>
      </c>
      <c r="U15" s="182">
        <v>0</v>
      </c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181"/>
      <c r="AH15" s="158"/>
      <c r="AI15" s="157"/>
      <c r="AJ15" s="7"/>
      <c r="AK15" s="103"/>
    </row>
    <row r="16" spans="3:37" ht="18.75" x14ac:dyDescent="0.3">
      <c r="C16" s="102"/>
      <c r="D16" s="75" t="s">
        <v>105</v>
      </c>
      <c r="E16" s="204">
        <v>1.44</v>
      </c>
      <c r="F16" s="88"/>
      <c r="G16" s="88"/>
      <c r="H16" s="84" t="s">
        <v>101</v>
      </c>
      <c r="I16" s="76" t="s">
        <v>50</v>
      </c>
      <c r="J16" s="88"/>
      <c r="K16" s="88"/>
      <c r="L16" s="88"/>
      <c r="M16" s="85"/>
      <c r="N16" s="83" t="s">
        <v>32</v>
      </c>
      <c r="O16" s="83" t="s">
        <v>29</v>
      </c>
      <c r="P16" s="76"/>
      <c r="Q16" s="88"/>
      <c r="R16" s="163"/>
      <c r="S16" s="158">
        <v>3120</v>
      </c>
      <c r="T16" s="153" t="s">
        <v>9</v>
      </c>
      <c r="U16" s="182">
        <v>1.5359999999999999E-4</v>
      </c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8"/>
      <c r="AI16" s="76"/>
      <c r="AJ16" s="7"/>
      <c r="AK16" s="103"/>
    </row>
    <row r="17" spans="3:37" ht="18.75" x14ac:dyDescent="0.3">
      <c r="C17" s="102"/>
      <c r="D17" s="75" t="s">
        <v>106</v>
      </c>
      <c r="E17" s="76">
        <v>160</v>
      </c>
      <c r="F17" s="88"/>
      <c r="G17" s="88"/>
      <c r="H17" s="84"/>
      <c r="I17" s="76" t="s">
        <v>29</v>
      </c>
      <c r="J17" s="88"/>
      <c r="K17" s="88"/>
      <c r="L17" s="88"/>
      <c r="M17" s="85"/>
      <c r="N17" s="83" t="s">
        <v>9</v>
      </c>
      <c r="O17" s="83" t="s">
        <v>9</v>
      </c>
      <c r="P17" s="76"/>
      <c r="Q17" s="88"/>
      <c r="R17" s="163"/>
      <c r="S17" s="152">
        <v>4100</v>
      </c>
      <c r="T17" s="153" t="s">
        <v>50</v>
      </c>
      <c r="U17" s="154">
        <v>1.0200000000000209E-3</v>
      </c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76"/>
      <c r="AJ17" s="7"/>
      <c r="AK17" s="103"/>
    </row>
    <row r="18" spans="3:37" ht="18.75" x14ac:dyDescent="0.3">
      <c r="C18" s="102"/>
      <c r="D18" s="77" t="s">
        <v>107</v>
      </c>
      <c r="E18" s="76">
        <v>35</v>
      </c>
      <c r="F18" s="88"/>
      <c r="G18" s="88"/>
      <c r="H18" s="85"/>
      <c r="I18" s="76" t="s">
        <v>31</v>
      </c>
      <c r="J18" s="88"/>
      <c r="K18" s="88"/>
      <c r="L18" s="88"/>
      <c r="M18" s="85"/>
      <c r="N18" s="83"/>
      <c r="O18" s="83"/>
      <c r="P18" s="76"/>
      <c r="Q18" s="88"/>
      <c r="R18" s="163"/>
      <c r="S18" s="152">
        <v>4100</v>
      </c>
      <c r="T18" s="153" t="s">
        <v>30</v>
      </c>
      <c r="U18" s="154">
        <v>2.7999999999994696E-4</v>
      </c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76"/>
      <c r="AJ18" s="7"/>
      <c r="AK18" s="103"/>
    </row>
    <row r="19" spans="3:37" ht="18.75" x14ac:dyDescent="0.3">
      <c r="C19" s="102"/>
      <c r="D19" s="75" t="s">
        <v>108</v>
      </c>
      <c r="E19" s="76"/>
      <c r="F19" s="88"/>
      <c r="G19" s="88"/>
      <c r="H19" s="85"/>
      <c r="I19" s="76" t="s">
        <v>30</v>
      </c>
      <c r="J19" s="88"/>
      <c r="K19" s="88"/>
      <c r="L19" s="88"/>
      <c r="M19" s="85"/>
      <c r="N19" s="83"/>
      <c r="O19" s="83"/>
      <c r="P19" s="76"/>
      <c r="Q19" s="88"/>
      <c r="R19" s="163"/>
      <c r="S19" s="158">
        <v>4100</v>
      </c>
      <c r="T19" s="153" t="s">
        <v>32</v>
      </c>
      <c r="U19" s="76">
        <v>0.99994700000000003</v>
      </c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76"/>
      <c r="AJ19" s="7"/>
      <c r="AK19" s="103"/>
    </row>
    <row r="20" spans="3:37" ht="18.75" x14ac:dyDescent="0.3">
      <c r="C20" s="102"/>
      <c r="D20" s="77" t="s">
        <v>109</v>
      </c>
      <c r="E20" s="76"/>
      <c r="F20" s="88"/>
      <c r="G20" s="88"/>
      <c r="H20" s="85"/>
      <c r="I20" s="76" t="s">
        <v>32</v>
      </c>
      <c r="J20" s="88"/>
      <c r="K20" s="88"/>
      <c r="L20" s="88"/>
      <c r="M20" s="159"/>
      <c r="N20" s="83"/>
      <c r="O20" s="83"/>
      <c r="P20" s="76"/>
      <c r="Q20" s="88"/>
      <c r="R20" s="163"/>
      <c r="S20" s="158">
        <v>4100</v>
      </c>
      <c r="T20" s="153" t="s">
        <v>31</v>
      </c>
      <c r="U20" s="76">
        <v>0.98151999999999995</v>
      </c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76"/>
      <c r="AJ20" s="7"/>
      <c r="AK20" s="103"/>
    </row>
    <row r="21" spans="3:37" ht="18.75" x14ac:dyDescent="0.3">
      <c r="C21" s="102"/>
      <c r="D21" s="77" t="s">
        <v>110</v>
      </c>
      <c r="E21" s="76"/>
      <c r="F21" s="88"/>
      <c r="G21" s="88"/>
      <c r="H21" s="159"/>
      <c r="I21" s="76" t="s">
        <v>9</v>
      </c>
      <c r="J21" s="88"/>
      <c r="K21" s="88"/>
      <c r="L21" s="88"/>
      <c r="M21" s="159"/>
      <c r="N21" s="83"/>
      <c r="O21" s="83"/>
      <c r="P21" s="76"/>
      <c r="Q21" s="88"/>
      <c r="R21" s="163"/>
      <c r="S21" s="158">
        <v>4100</v>
      </c>
      <c r="T21" s="153" t="s">
        <v>29</v>
      </c>
      <c r="U21" s="76">
        <v>0.99981690000000001</v>
      </c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76"/>
      <c r="AJ21" s="7"/>
      <c r="AK21" s="103"/>
    </row>
    <row r="22" spans="3:37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3"/>
      <c r="O22" s="83"/>
      <c r="P22" s="76"/>
      <c r="Q22" s="88"/>
      <c r="R22" s="163"/>
      <c r="S22" s="158">
        <v>4100</v>
      </c>
      <c r="T22" s="153" t="s">
        <v>38</v>
      </c>
      <c r="U22" s="76">
        <v>1</v>
      </c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76"/>
      <c r="AJ22" s="7"/>
      <c r="AK22" s="103"/>
    </row>
    <row r="23" spans="3:37" ht="18.75" x14ac:dyDescent="0.3">
      <c r="C23" s="102"/>
      <c r="D23" s="77" t="s">
        <v>112</v>
      </c>
      <c r="E23" s="76"/>
      <c r="F23" s="88"/>
      <c r="G23" s="88"/>
      <c r="H23" s="159"/>
      <c r="I23" s="76"/>
      <c r="J23" s="88"/>
      <c r="K23" s="88"/>
      <c r="L23" s="88"/>
      <c r="M23" s="159"/>
      <c r="N23" s="83"/>
      <c r="O23" s="83"/>
      <c r="P23" s="76"/>
      <c r="Q23" s="88"/>
      <c r="R23" s="163"/>
      <c r="S23" s="158">
        <v>4100</v>
      </c>
      <c r="T23" s="153" t="s">
        <v>9</v>
      </c>
      <c r="U23" s="76">
        <v>0.99984640000000002</v>
      </c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76"/>
      <c r="AJ23" s="7"/>
      <c r="AK23" s="103"/>
    </row>
    <row r="24" spans="3:37" ht="18.75" x14ac:dyDescent="0.3">
      <c r="C24" s="102"/>
      <c r="D24" s="193" t="s">
        <v>135</v>
      </c>
      <c r="E24" s="76"/>
      <c r="F24" s="88"/>
      <c r="G24" s="88"/>
      <c r="H24" s="159"/>
      <c r="I24" s="76"/>
      <c r="J24" s="88"/>
      <c r="K24" s="88"/>
      <c r="L24" s="88"/>
      <c r="M24" s="159"/>
      <c r="N24" s="83"/>
      <c r="O24" s="83"/>
      <c r="P24" s="76"/>
      <c r="Q24" s="88"/>
      <c r="R24" s="163"/>
      <c r="S24" s="152">
        <v>4200</v>
      </c>
      <c r="T24" s="153" t="s">
        <v>50</v>
      </c>
      <c r="U24" s="154">
        <v>1.0200000000000209E-3</v>
      </c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76"/>
      <c r="AJ24" s="7"/>
      <c r="AK24" s="103"/>
    </row>
    <row r="25" spans="3:37" ht="18.75" x14ac:dyDescent="0.3">
      <c r="C25" s="102"/>
      <c r="D25" s="193" t="s">
        <v>136</v>
      </c>
      <c r="E25" s="76"/>
      <c r="F25" s="88"/>
      <c r="G25" s="88"/>
      <c r="H25" s="159"/>
      <c r="I25" s="76"/>
      <c r="J25" s="88"/>
      <c r="K25" s="88"/>
      <c r="L25" s="88"/>
      <c r="M25" s="159"/>
      <c r="N25" s="83"/>
      <c r="O25" s="83"/>
      <c r="P25" s="76"/>
      <c r="Q25" s="88"/>
      <c r="R25" s="163"/>
      <c r="S25" s="152">
        <v>4200</v>
      </c>
      <c r="T25" s="153" t="s">
        <v>30</v>
      </c>
      <c r="U25" s="154">
        <v>2.7999999999994696E-4</v>
      </c>
      <c r="V25" s="83"/>
      <c r="W25" s="180"/>
      <c r="X25" s="181"/>
      <c r="Y25" s="181"/>
      <c r="Z25" s="182"/>
      <c r="AA25" s="83"/>
      <c r="AB25" s="158"/>
      <c r="AC25" s="83"/>
      <c r="AD25" s="83"/>
      <c r="AE25" s="83"/>
      <c r="AF25" s="76"/>
      <c r="AG25" s="181"/>
      <c r="AH25" s="158"/>
      <c r="AI25" s="76"/>
      <c r="AJ25" s="7"/>
      <c r="AK25" s="103"/>
    </row>
    <row r="26" spans="3:37" ht="18.75" x14ac:dyDescent="0.3">
      <c r="C26" s="102"/>
      <c r="D26" s="194" t="s">
        <v>137</v>
      </c>
      <c r="E26" s="76"/>
      <c r="F26" s="88"/>
      <c r="G26" s="88"/>
      <c r="H26" s="159"/>
      <c r="I26" s="76"/>
      <c r="J26" s="88"/>
      <c r="K26" s="88"/>
      <c r="L26" s="88"/>
      <c r="M26" s="159"/>
      <c r="N26" s="83"/>
      <c r="O26" s="83"/>
      <c r="P26" s="76"/>
      <c r="Q26" s="88"/>
      <c r="R26" s="163"/>
      <c r="S26" s="152">
        <v>4200</v>
      </c>
      <c r="T26" s="153" t="s">
        <v>32</v>
      </c>
      <c r="U26" s="76">
        <v>0.99994700000000003</v>
      </c>
      <c r="V26" s="83"/>
      <c r="W26" s="180"/>
      <c r="X26" s="181"/>
      <c r="Y26" s="181"/>
      <c r="Z26" s="182"/>
      <c r="AA26" s="83"/>
      <c r="AB26" s="158"/>
      <c r="AC26" s="83"/>
      <c r="AD26" s="83"/>
      <c r="AE26" s="83"/>
      <c r="AF26" s="76"/>
      <c r="AG26" s="181"/>
      <c r="AH26" s="158"/>
      <c r="AI26" s="76"/>
      <c r="AJ26" s="7"/>
      <c r="AK26" s="103"/>
    </row>
    <row r="27" spans="3:37" ht="19.5" thickBot="1" x14ac:dyDescent="0.35">
      <c r="C27" s="102"/>
      <c r="D27" s="160"/>
      <c r="E27" s="79"/>
      <c r="F27" s="88"/>
      <c r="G27" s="88"/>
      <c r="H27" s="160"/>
      <c r="I27" s="79"/>
      <c r="J27" s="88"/>
      <c r="K27" s="88"/>
      <c r="L27" s="88"/>
      <c r="M27" s="160"/>
      <c r="N27" s="162"/>
      <c r="O27" s="162"/>
      <c r="P27" s="79"/>
      <c r="Q27" s="88"/>
      <c r="R27" s="163"/>
      <c r="S27" s="152">
        <v>4200</v>
      </c>
      <c r="T27" s="153" t="s">
        <v>31</v>
      </c>
      <c r="U27" s="76">
        <v>0.98151999999999995</v>
      </c>
      <c r="V27" s="126"/>
      <c r="W27" s="183"/>
      <c r="X27" s="184"/>
      <c r="Y27" s="184"/>
      <c r="Z27" s="185"/>
      <c r="AA27" s="83"/>
      <c r="AB27" s="158"/>
      <c r="AC27" s="83"/>
      <c r="AD27" s="83"/>
      <c r="AE27" s="155"/>
      <c r="AF27" s="76"/>
      <c r="AG27" s="181"/>
      <c r="AH27" s="158"/>
      <c r="AI27" s="76"/>
      <c r="AJ27" s="7"/>
      <c r="AK27" s="103"/>
    </row>
    <row r="28" spans="3:37" ht="18.75" x14ac:dyDescent="0.3">
      <c r="C28" s="102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63"/>
      <c r="S28" s="152">
        <v>4200</v>
      </c>
      <c r="T28" s="153" t="s">
        <v>29</v>
      </c>
      <c r="U28" s="76">
        <v>0.99981690000000001</v>
      </c>
      <c r="V28" s="126"/>
      <c r="W28" s="158"/>
      <c r="X28" s="83"/>
      <c r="Y28" s="126"/>
      <c r="Z28" s="137"/>
      <c r="AA28" s="83"/>
      <c r="AB28" s="158"/>
      <c r="AC28" s="83"/>
      <c r="AD28" s="83"/>
      <c r="AE28" s="83"/>
      <c r="AF28" s="76"/>
      <c r="AG28" s="181"/>
      <c r="AH28" s="158"/>
      <c r="AI28" s="76"/>
      <c r="AJ28" s="7"/>
      <c r="AK28" s="103"/>
    </row>
    <row r="29" spans="3:37" ht="18.75" x14ac:dyDescent="0.3">
      <c r="C29" s="102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163"/>
      <c r="S29" s="152">
        <v>4200</v>
      </c>
      <c r="T29" s="153" t="s">
        <v>38</v>
      </c>
      <c r="U29" s="76">
        <v>1</v>
      </c>
      <c r="V29" s="155"/>
      <c r="W29" s="158"/>
      <c r="X29" s="83"/>
      <c r="Y29" s="126"/>
      <c r="Z29" s="137"/>
      <c r="AA29" s="83"/>
      <c r="AB29" s="158"/>
      <c r="AC29" s="83"/>
      <c r="AD29" s="83"/>
      <c r="AE29" s="83"/>
      <c r="AF29" s="76"/>
      <c r="AG29" s="181"/>
      <c r="AH29" s="158"/>
      <c r="AI29" s="76"/>
      <c r="AJ29" s="7"/>
      <c r="AK29" s="103"/>
    </row>
    <row r="30" spans="3:37" ht="19.5" thickBot="1" x14ac:dyDescent="0.35">
      <c r="C30" s="102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163"/>
      <c r="S30" s="152">
        <v>4200</v>
      </c>
      <c r="T30" s="153" t="s">
        <v>9</v>
      </c>
      <c r="U30" s="76">
        <v>0.99984640000000002</v>
      </c>
      <c r="V30" s="155"/>
      <c r="W30" s="161"/>
      <c r="X30" s="162"/>
      <c r="Y30" s="198"/>
      <c r="Z30" s="205"/>
      <c r="AA30" s="83"/>
      <c r="AB30" s="161"/>
      <c r="AC30" s="162"/>
      <c r="AD30" s="162"/>
      <c r="AE30" s="162"/>
      <c r="AF30" s="79"/>
      <c r="AG30" s="181"/>
      <c r="AH30" s="161"/>
      <c r="AI30" s="79"/>
      <c r="AJ30" s="7"/>
      <c r="AK30" s="103"/>
    </row>
    <row r="31" spans="3:37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44">
        <v>4100</v>
      </c>
      <c r="T31" s="144" t="s">
        <v>200</v>
      </c>
      <c r="U31" s="144">
        <v>1</v>
      </c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7"/>
      <c r="AK31" s="103"/>
    </row>
    <row r="32" spans="3:37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44">
        <v>4200</v>
      </c>
      <c r="T32" s="144" t="s">
        <v>200</v>
      </c>
      <c r="U32" s="144">
        <v>1</v>
      </c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7"/>
      <c r="AK32" s="103"/>
    </row>
    <row r="33" spans="3:37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7"/>
      <c r="AK33" s="103"/>
    </row>
    <row r="34" spans="3:37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7"/>
      <c r="AK34" s="103"/>
    </row>
    <row r="35" spans="3:37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7"/>
      <c r="AK35" s="103"/>
    </row>
    <row r="36" spans="3:37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7"/>
      <c r="AK36" s="103"/>
    </row>
    <row r="37" spans="3:37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7"/>
      <c r="AK37" s="103"/>
    </row>
    <row r="38" spans="3:37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7"/>
      <c r="AK38" s="103"/>
    </row>
    <row r="39" spans="3:37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7"/>
      <c r="AK39" s="103"/>
    </row>
    <row r="40" spans="3:37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7"/>
      <c r="AK40" s="103"/>
    </row>
    <row r="41" spans="3:37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7"/>
      <c r="AK41" s="103"/>
    </row>
    <row r="42" spans="3:37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7"/>
      <c r="AK42" s="103"/>
    </row>
    <row r="43" spans="3:37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7"/>
      <c r="AK43" s="103"/>
    </row>
    <row r="44" spans="3:37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7"/>
      <c r="AK44" s="103"/>
    </row>
    <row r="45" spans="3:37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7"/>
      <c r="AK45" s="103"/>
    </row>
    <row r="46" spans="3:37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7"/>
      <c r="T46" s="7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7"/>
      <c r="AK46" s="103"/>
    </row>
    <row r="47" spans="3:37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3"/>
      <c r="S47" s="7"/>
      <c r="T47" s="7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7"/>
      <c r="AK47" s="103"/>
    </row>
    <row r="48" spans="3:37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7"/>
      <c r="T48" s="7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7"/>
      <c r="AK48" s="103"/>
    </row>
    <row r="49" spans="3:37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7"/>
      <c r="T49" s="7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7"/>
      <c r="AK49" s="103"/>
    </row>
    <row r="50" spans="3:37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7"/>
      <c r="T50" s="7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7"/>
      <c r="AK50" s="103"/>
    </row>
    <row r="51" spans="3:37" ht="15.75" x14ac:dyDescent="0.25">
      <c r="C51" s="102"/>
      <c r="D51" s="7"/>
      <c r="E51" s="7"/>
      <c r="F51" s="9"/>
      <c r="G51" s="9"/>
      <c r="H51" s="7"/>
      <c r="I51" s="7"/>
      <c r="J51" s="12"/>
      <c r="K51" s="12"/>
      <c r="L51" s="7"/>
      <c r="M51" s="7"/>
      <c r="N51" s="7"/>
      <c r="O51" s="7"/>
      <c r="P51" s="7"/>
      <c r="Q51" s="7"/>
      <c r="R51" s="13"/>
      <c r="S51" s="7"/>
      <c r="T51" s="7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7"/>
      <c r="AK51" s="103"/>
    </row>
    <row r="52" spans="3:37" ht="15.75" x14ac:dyDescent="0.25">
      <c r="C52" s="102"/>
      <c r="D52" s="7"/>
      <c r="E52" s="7"/>
      <c r="F52" s="9"/>
      <c r="G52" s="9"/>
      <c r="H52" s="7"/>
      <c r="I52" s="7"/>
      <c r="J52" s="10"/>
      <c r="K52" s="10"/>
      <c r="L52" s="7"/>
      <c r="M52" s="7"/>
      <c r="N52" s="7"/>
      <c r="O52" s="7"/>
      <c r="P52" s="7"/>
      <c r="Q52" s="7"/>
      <c r="R52" s="13"/>
      <c r="S52" s="7"/>
      <c r="T52" s="7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7"/>
      <c r="AK52" s="103"/>
    </row>
    <row r="53" spans="3:37" ht="15.75" x14ac:dyDescent="0.25">
      <c r="C53" s="102"/>
      <c r="D53" s="7"/>
      <c r="E53" s="7"/>
      <c r="F53" s="9"/>
      <c r="G53" s="9"/>
      <c r="H53" s="7"/>
      <c r="I53" s="7"/>
      <c r="J53" s="10"/>
      <c r="K53" s="10"/>
      <c r="L53" s="7"/>
      <c r="M53" s="7"/>
      <c r="N53" s="7"/>
      <c r="O53" s="7"/>
      <c r="P53" s="7"/>
      <c r="Q53" s="7"/>
      <c r="R53" s="13"/>
      <c r="S53" s="7"/>
      <c r="T53" s="7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7"/>
      <c r="AK53" s="103"/>
    </row>
    <row r="54" spans="3:37" ht="15.75" x14ac:dyDescent="0.25">
      <c r="C54" s="102"/>
      <c r="D54" s="7"/>
      <c r="E54" s="7"/>
      <c r="F54" s="9"/>
      <c r="G54" s="9"/>
      <c r="H54" s="7"/>
      <c r="I54" s="7"/>
      <c r="J54" s="10"/>
      <c r="K54" s="10"/>
      <c r="L54" s="7"/>
      <c r="M54" s="7"/>
      <c r="N54" s="7"/>
      <c r="O54" s="7"/>
      <c r="P54" s="7"/>
      <c r="Q54" s="7"/>
      <c r="R54" s="13"/>
      <c r="S54" s="7"/>
      <c r="T54" s="7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7"/>
      <c r="AK54" s="103"/>
    </row>
    <row r="55" spans="3:37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7"/>
      <c r="T55" s="7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7"/>
      <c r="AK55" s="103"/>
    </row>
    <row r="56" spans="3:37" x14ac:dyDescent="0.25">
      <c r="C56" s="102"/>
      <c r="F56" s="7"/>
      <c r="G56" s="7"/>
      <c r="J56" s="7"/>
      <c r="K56" s="7"/>
      <c r="L56" s="7"/>
      <c r="M56" s="7"/>
      <c r="N56" s="7"/>
      <c r="O56" s="7"/>
      <c r="P56" s="7"/>
      <c r="Q56" s="7"/>
      <c r="R56" s="13"/>
      <c r="S56" s="7"/>
      <c r="T56" s="7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7"/>
      <c r="AK56" s="103"/>
    </row>
    <row r="57" spans="3:37" x14ac:dyDescent="0.25">
      <c r="C57" s="102"/>
      <c r="F57" s="7"/>
      <c r="G57" s="7"/>
      <c r="J57" s="7"/>
      <c r="K57" s="7"/>
      <c r="L57" s="7"/>
      <c r="M57" s="7"/>
      <c r="N57" s="7"/>
      <c r="O57" s="7"/>
      <c r="P57" s="7"/>
      <c r="Q57" s="7"/>
      <c r="R57" s="13"/>
      <c r="S57" s="7"/>
      <c r="T57" s="7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7"/>
      <c r="AK57" s="103"/>
    </row>
    <row r="58" spans="3:37" x14ac:dyDescent="0.25">
      <c r="C58" s="102"/>
      <c r="F58" s="7"/>
      <c r="G58" s="7"/>
      <c r="J58" s="7"/>
      <c r="K58" s="7"/>
      <c r="L58" s="7"/>
      <c r="M58" s="7"/>
      <c r="N58" s="7"/>
      <c r="O58" s="7"/>
      <c r="P58" s="7"/>
      <c r="Q58" s="7"/>
      <c r="R58" s="13"/>
      <c r="S58" s="7"/>
      <c r="T58" s="7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7"/>
      <c r="AK58" s="103"/>
    </row>
    <row r="59" spans="3:37" x14ac:dyDescent="0.25">
      <c r="C59" s="102"/>
      <c r="F59" s="7"/>
      <c r="G59" s="7"/>
      <c r="J59" s="7"/>
      <c r="K59" s="7"/>
      <c r="L59" s="7"/>
      <c r="M59" s="7"/>
      <c r="N59" s="7"/>
      <c r="O59" s="7"/>
      <c r="P59" s="7"/>
      <c r="Q59" s="7"/>
      <c r="R59" s="13"/>
      <c r="S59" s="7"/>
      <c r="T59" s="7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7"/>
      <c r="AK59" s="103"/>
    </row>
    <row r="60" spans="3:37" x14ac:dyDescent="0.25">
      <c r="C60" s="102"/>
      <c r="F60" s="7"/>
      <c r="G60" s="7"/>
      <c r="J60" s="7"/>
      <c r="K60" s="7"/>
      <c r="L60" s="7"/>
      <c r="M60" s="7"/>
      <c r="N60" s="7"/>
      <c r="O60" s="7"/>
      <c r="P60" s="7"/>
      <c r="Q60" s="7"/>
      <c r="R60" s="13"/>
      <c r="S60" s="7"/>
      <c r="T60" s="7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7"/>
      <c r="AK60" s="103"/>
    </row>
    <row r="61" spans="3:37" x14ac:dyDescent="0.25">
      <c r="C61" s="102"/>
      <c r="F61" s="7"/>
      <c r="G61" s="7"/>
      <c r="J61" s="7"/>
      <c r="K61" s="7"/>
      <c r="L61" s="7"/>
      <c r="M61" s="7"/>
      <c r="N61" s="7"/>
      <c r="O61" s="7"/>
      <c r="P61" s="7"/>
      <c r="Q61" s="7"/>
      <c r="R61" s="13"/>
      <c r="S61" s="7"/>
      <c r="T61" s="7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7"/>
      <c r="AK61" s="103"/>
    </row>
    <row r="62" spans="3:37" x14ac:dyDescent="0.25">
      <c r="C62" s="102"/>
      <c r="F62" s="7"/>
      <c r="G62" s="7"/>
      <c r="J62" s="7"/>
      <c r="K62" s="7"/>
      <c r="L62" s="7"/>
      <c r="M62" s="7"/>
      <c r="N62" s="7"/>
      <c r="O62" s="7"/>
      <c r="P62" s="7"/>
      <c r="Q62" s="7"/>
      <c r="R62" s="13"/>
      <c r="S62" s="7"/>
      <c r="T62" s="7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7"/>
      <c r="AK62" s="103"/>
    </row>
    <row r="63" spans="3:37" x14ac:dyDescent="0.25">
      <c r="C63" s="102"/>
      <c r="F63" s="7"/>
      <c r="G63" s="7"/>
      <c r="J63" s="7"/>
      <c r="K63" s="7"/>
      <c r="L63" s="7"/>
      <c r="M63" s="7"/>
      <c r="N63" s="7"/>
      <c r="O63" s="7"/>
      <c r="P63" s="7"/>
      <c r="Q63" s="7"/>
      <c r="R63" s="13"/>
      <c r="S63" s="7"/>
      <c r="T63" s="7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7"/>
      <c r="AK63" s="103"/>
    </row>
    <row r="64" spans="3:37" x14ac:dyDescent="0.25">
      <c r="C64" s="102"/>
      <c r="F64" s="7"/>
      <c r="G64" s="7"/>
      <c r="J64" s="7"/>
      <c r="K64" s="7"/>
      <c r="L64" s="7"/>
      <c r="M64" s="7"/>
      <c r="N64" s="7"/>
      <c r="O64" s="7"/>
      <c r="P64" s="7"/>
      <c r="Q64" s="7"/>
      <c r="R64" s="13"/>
      <c r="S64" s="7"/>
      <c r="T64" s="7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7"/>
      <c r="AK64" s="103"/>
    </row>
    <row r="65" spans="3:37" x14ac:dyDescent="0.25">
      <c r="C65" s="102"/>
      <c r="F65" s="7"/>
      <c r="G65" s="7"/>
      <c r="J65" s="7"/>
      <c r="K65" s="7"/>
      <c r="L65" s="7"/>
      <c r="M65" s="7"/>
      <c r="N65" s="7"/>
      <c r="O65" s="7"/>
      <c r="P65" s="7"/>
      <c r="Q65" s="7"/>
      <c r="R65" s="13"/>
      <c r="S65" s="7"/>
      <c r="T65" s="7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7"/>
      <c r="AK65" s="103"/>
    </row>
    <row r="66" spans="3:37" x14ac:dyDescent="0.25">
      <c r="C66" s="102"/>
      <c r="F66" s="7"/>
      <c r="G66" s="7"/>
      <c r="J66" s="7"/>
      <c r="K66" s="7"/>
      <c r="L66" s="7"/>
      <c r="M66" s="7"/>
      <c r="N66" s="7"/>
      <c r="O66" s="7"/>
      <c r="P66" s="7"/>
      <c r="Q66" s="7"/>
      <c r="R66" s="13"/>
      <c r="S66" s="7"/>
      <c r="T66" s="7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7"/>
      <c r="AK66" s="103"/>
    </row>
    <row r="67" spans="3:37" x14ac:dyDescent="0.25">
      <c r="C67" s="102"/>
      <c r="F67" s="7"/>
      <c r="G67" s="7"/>
      <c r="J67" s="7"/>
      <c r="K67" s="7"/>
      <c r="L67" s="7"/>
      <c r="M67" s="7"/>
      <c r="N67" s="7"/>
      <c r="O67" s="7"/>
      <c r="P67" s="7"/>
      <c r="Q67" s="7"/>
      <c r="R67" s="13"/>
      <c r="S67" s="7"/>
      <c r="T67" s="7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7"/>
      <c r="AK67" s="103"/>
    </row>
    <row r="68" spans="3:37" x14ac:dyDescent="0.25">
      <c r="C68" s="102"/>
      <c r="F68" s="7"/>
      <c r="G68" s="7"/>
      <c r="J68" s="7"/>
      <c r="K68" s="7"/>
      <c r="L68" s="7"/>
      <c r="M68" s="7"/>
      <c r="N68" s="7"/>
      <c r="O68" s="7"/>
      <c r="P68" s="7"/>
      <c r="Q68" s="7"/>
      <c r="R68" s="13"/>
      <c r="S68" s="7"/>
      <c r="T68" s="7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7"/>
      <c r="AK68" s="103"/>
    </row>
    <row r="69" spans="3:37" x14ac:dyDescent="0.25">
      <c r="C69" s="102"/>
      <c r="F69" s="7"/>
      <c r="G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7"/>
      <c r="AK69" s="103"/>
    </row>
    <row r="70" spans="3:37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04"/>
      <c r="AK70" s="70"/>
    </row>
    <row r="123" spans="17:17" x14ac:dyDescent="0.25">
      <c r="Q123" s="3" t="s">
        <v>49</v>
      </c>
    </row>
    <row r="146" spans="18:18" x14ac:dyDescent="0.25">
      <c r="R146" s="3" t="s">
        <v>49</v>
      </c>
    </row>
  </sheetData>
  <mergeCells count="12">
    <mergeCell ref="D6:E6"/>
    <mergeCell ref="H6:I6"/>
    <mergeCell ref="M6:P6"/>
    <mergeCell ref="S8:U8"/>
    <mergeCell ref="S6:AF6"/>
    <mergeCell ref="W8:Z8"/>
    <mergeCell ref="AH8:AI8"/>
    <mergeCell ref="X9:Z9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DC11C19-1755-400F-942B-EFD712D9C572}">
          <x14:formula1>
            <xm:f>DataBank!$A$3:$A$4</xm:f>
          </x14:formula1>
          <xm:sqref>AB10 AD10</xm:sqref>
        </x14:dataValidation>
        <x14:dataValidation type="list" allowBlank="1" showInputMessage="1" showErrorMessage="1" xr:uid="{0007B375-3DED-4BA3-985B-4DFADD3751B1}">
          <x14:formula1>
            <xm:f>DataBank!$A$3:$A$5</xm:f>
          </x14:formula1>
          <xm:sqref>I15 N11:P11</xm:sqref>
        </x14:dataValidation>
        <x14:dataValidation type="list" allowBlank="1" showInputMessage="1" showErrorMessage="1" xr:uid="{9C4A57D5-AA2D-42A9-B8CE-6FAE9C6C1C72}">
          <x14:formula1>
            <xm:f>Systemblatt!$E$5:$E$12</xm:f>
          </x14:formula1>
          <xm:sqref>I16:I17 N12:P13 AH10:AH30 AC10:AC24 AE10:AE24 T10:T16</xm:sqref>
        </x14:dataValidation>
        <x14:dataValidation type="whole" allowBlank="1" showInputMessage="1" showErrorMessage="1" xr:uid="{FA537C8B-9D84-436C-829B-70216B251567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EF12C426-4E90-3946-8652-AA11D0724D11}">
          <x14:formula1>
            <xm:f>'C:\Users\philippkenkel\Seafile\RESILIENTE ENERGIESYSTEME\Intern\[NEW_TEST_FILE.xlsm]Systemblatt'!#REF!</xm:f>
          </x14:formula1>
          <xm:sqref>T17:T30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4C430-4638-4EF3-8963-5E929A5CB37A}">
  <sheetPr codeName="Tabelle23"/>
  <dimension ref="C1:AK136"/>
  <sheetViews>
    <sheetView topLeftCell="R1" zoomScale="85" zoomScaleNormal="85" workbookViewId="0">
      <selection activeCell="T12" sqref="T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85546875" style="3" customWidth="1"/>
    <col min="5" max="5" width="31.28515625" style="3" customWidth="1"/>
    <col min="6" max="6" width="15.28515625" style="3" customWidth="1"/>
    <col min="7" max="7" width="6.28515625" style="3" customWidth="1"/>
    <col min="8" max="8" width="21.7109375" style="3" customWidth="1"/>
    <col min="9" max="11" width="15.28515625" style="3" customWidth="1"/>
    <col min="12" max="12" width="4.28515625" style="3" customWidth="1"/>
    <col min="13" max="13" width="28.7109375" style="3" customWidth="1"/>
    <col min="14" max="14" width="15.28515625" style="3" customWidth="1"/>
    <col min="15" max="15" width="31.42578125" style="3" customWidth="1"/>
    <col min="16" max="16" width="34.42578125" style="3" customWidth="1"/>
    <col min="17" max="17" width="15.28515625" style="3" customWidth="1"/>
    <col min="18" max="18" width="18.140625" style="3" customWidth="1"/>
    <col min="19" max="19" width="19.85546875" style="3" customWidth="1"/>
    <col min="20" max="20" width="21.28515625" style="3" customWidth="1"/>
    <col min="21" max="21" width="19.140625" style="3" customWidth="1"/>
    <col min="22" max="22" width="10.85546875" style="3"/>
    <col min="23" max="23" width="19.28515625" style="3" customWidth="1"/>
    <col min="24" max="24" width="22.7109375" style="3" customWidth="1"/>
    <col min="25" max="25" width="31.140625" style="3" customWidth="1"/>
    <col min="26" max="26" width="24.42578125" style="3" customWidth="1"/>
    <col min="27" max="27" width="10.85546875" style="3"/>
    <col min="28" max="28" width="13.42578125" style="3" customWidth="1"/>
    <col min="29" max="29" width="18.42578125" style="3" customWidth="1"/>
    <col min="30" max="30" width="10.85546875" style="3"/>
    <col min="31" max="31" width="16.140625" style="3" customWidth="1"/>
    <col min="32" max="32" width="62.85546875" style="3" customWidth="1"/>
    <col min="33" max="33" width="10.85546875" style="3"/>
    <col min="34" max="34" width="16.140625" style="3" customWidth="1"/>
    <col min="35" max="16384" width="10.85546875" style="3"/>
  </cols>
  <sheetData>
    <row r="1" spans="3:37" ht="10.5" customHeight="1" thickBot="1" x14ac:dyDescent="0.3"/>
    <row r="2" spans="3:37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3"/>
      <c r="AK2" s="124"/>
    </row>
    <row r="3" spans="3:37" x14ac:dyDescent="0.25">
      <c r="C3" s="102"/>
      <c r="D3" s="7"/>
      <c r="E3" s="7"/>
      <c r="F3" s="7"/>
      <c r="G3" s="7"/>
      <c r="H3" s="7"/>
      <c r="I3" s="7"/>
      <c r="J3" s="7" t="s">
        <v>46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7"/>
      <c r="AK3" s="103"/>
    </row>
    <row r="4" spans="3:37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7"/>
      <c r="AK4" s="103"/>
    </row>
    <row r="5" spans="3:37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7"/>
      <c r="AK5" s="103"/>
    </row>
    <row r="6" spans="3:37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7"/>
      <c r="AK6" s="103"/>
    </row>
    <row r="7" spans="3:37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7"/>
      <c r="AK7" s="103"/>
    </row>
    <row r="8" spans="3:37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13"/>
      <c r="AH8" s="591" t="s">
        <v>20</v>
      </c>
      <c r="AI8" s="592"/>
      <c r="AJ8" s="7"/>
      <c r="AK8" s="103"/>
    </row>
    <row r="9" spans="3:37" ht="21.75" thickBot="1" x14ac:dyDescent="0.4">
      <c r="C9" s="102"/>
      <c r="D9" s="81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13"/>
      <c r="AH9" s="281" t="s">
        <v>13</v>
      </c>
      <c r="AI9" s="282" t="s">
        <v>1</v>
      </c>
      <c r="AJ9" s="7"/>
      <c r="AK9" s="103"/>
    </row>
    <row r="10" spans="3:37" ht="18.75" x14ac:dyDescent="0.3">
      <c r="C10" s="102"/>
      <c r="D10" s="73" t="s">
        <v>2</v>
      </c>
      <c r="E10" s="74" t="s">
        <v>65</v>
      </c>
      <c r="F10" s="88"/>
      <c r="G10" s="88"/>
      <c r="H10" s="73" t="s">
        <v>3</v>
      </c>
      <c r="I10" s="76"/>
      <c r="J10" s="88"/>
      <c r="K10" s="88"/>
      <c r="L10" s="88"/>
      <c r="M10" s="73" t="s">
        <v>121</v>
      </c>
      <c r="N10" s="88"/>
      <c r="O10" s="153">
        <v>-0.4924</v>
      </c>
      <c r="P10" s="76"/>
      <c r="Q10" s="88"/>
      <c r="R10" s="163"/>
      <c r="S10" s="164">
        <v>6000</v>
      </c>
      <c r="T10" s="151" t="s">
        <v>50</v>
      </c>
      <c r="U10" s="165">
        <v>0.99819999999999998</v>
      </c>
      <c r="V10" s="166"/>
      <c r="W10" s="152"/>
      <c r="X10" s="83">
        <v>7100</v>
      </c>
      <c r="Y10" s="153">
        <v>6000</v>
      </c>
      <c r="Z10" s="154"/>
      <c r="AA10" s="88"/>
      <c r="AB10" s="167"/>
      <c r="AC10" s="88"/>
      <c r="AD10" s="168"/>
      <c r="AE10" s="88"/>
      <c r="AF10" s="169"/>
      <c r="AG10" s="163"/>
      <c r="AH10" s="159"/>
      <c r="AI10" s="169"/>
      <c r="AJ10" s="7"/>
      <c r="AK10" s="103"/>
    </row>
    <row r="11" spans="3:37" ht="18.75" x14ac:dyDescent="0.3">
      <c r="C11" s="102"/>
      <c r="D11" s="75" t="s">
        <v>4</v>
      </c>
      <c r="E11" s="76">
        <v>3120</v>
      </c>
      <c r="F11" s="88"/>
      <c r="G11" s="88"/>
      <c r="H11" s="75" t="s">
        <v>113</v>
      </c>
      <c r="I11" s="76">
        <v>1.7290000000000001</v>
      </c>
      <c r="J11" s="88"/>
      <c r="K11" s="88"/>
      <c r="L11" s="88"/>
      <c r="M11" s="84" t="s">
        <v>122</v>
      </c>
      <c r="N11" s="88"/>
      <c r="O11" s="153" t="s">
        <v>26</v>
      </c>
      <c r="P11" s="76"/>
      <c r="Q11" s="88"/>
      <c r="R11" s="163"/>
      <c r="S11" s="164">
        <v>6000</v>
      </c>
      <c r="T11" s="151" t="s">
        <v>30</v>
      </c>
      <c r="U11" s="165">
        <v>1E-4</v>
      </c>
      <c r="V11" s="166"/>
      <c r="W11" s="158"/>
      <c r="X11" s="83"/>
      <c r="Y11" s="155"/>
      <c r="Z11" s="157"/>
      <c r="AA11" s="88"/>
      <c r="AB11" s="167"/>
      <c r="AC11" s="88"/>
      <c r="AD11" s="168"/>
      <c r="AE11" s="88"/>
      <c r="AF11" s="169"/>
      <c r="AG11" s="163"/>
      <c r="AH11" s="159"/>
      <c r="AI11" s="169"/>
      <c r="AJ11" s="7"/>
      <c r="AK11" s="103"/>
    </row>
    <row r="12" spans="3:37" ht="18.75" x14ac:dyDescent="0.3">
      <c r="C12" s="102"/>
      <c r="D12" s="75" t="s">
        <v>90</v>
      </c>
      <c r="E12" s="76"/>
      <c r="F12" s="88"/>
      <c r="G12" s="88"/>
      <c r="H12" s="75" t="s">
        <v>114</v>
      </c>
      <c r="I12" s="76">
        <v>50.322000000000003</v>
      </c>
      <c r="J12" s="88"/>
      <c r="K12" s="88"/>
      <c r="L12" s="88"/>
      <c r="M12" s="84" t="s">
        <v>123</v>
      </c>
      <c r="N12" s="88"/>
      <c r="O12" s="153" t="s">
        <v>50</v>
      </c>
      <c r="P12" s="76"/>
      <c r="Q12" s="88"/>
      <c r="R12" s="163"/>
      <c r="S12" s="164">
        <v>6000</v>
      </c>
      <c r="T12" s="151" t="s">
        <v>29</v>
      </c>
      <c r="U12" s="165">
        <v>1</v>
      </c>
      <c r="V12" s="166"/>
      <c r="W12" s="158"/>
      <c r="X12" s="83"/>
      <c r="Y12" s="49"/>
      <c r="Z12" s="34"/>
      <c r="AA12" s="172"/>
      <c r="AB12" s="173"/>
      <c r="AC12" s="88"/>
      <c r="AD12" s="172"/>
      <c r="AE12" s="88"/>
      <c r="AF12" s="169"/>
      <c r="AG12" s="163"/>
      <c r="AH12" s="159"/>
      <c r="AI12" s="169"/>
      <c r="AJ12" s="7"/>
      <c r="AK12" s="103"/>
    </row>
    <row r="13" spans="3:37" ht="18.75" x14ac:dyDescent="0.3">
      <c r="C13" s="102"/>
      <c r="D13" s="75" t="s">
        <v>102</v>
      </c>
      <c r="E13" s="76" t="s">
        <v>50</v>
      </c>
      <c r="F13" s="88"/>
      <c r="G13" s="88"/>
      <c r="H13" s="75" t="s">
        <v>115</v>
      </c>
      <c r="I13" s="76">
        <v>0.67</v>
      </c>
      <c r="J13" s="88"/>
      <c r="K13" s="88"/>
      <c r="L13" s="88"/>
      <c r="M13" s="84"/>
      <c r="N13" s="88"/>
      <c r="O13" s="153" t="s">
        <v>30</v>
      </c>
      <c r="P13" s="76"/>
      <c r="Q13" s="88"/>
      <c r="R13" s="163"/>
      <c r="S13" s="164">
        <v>6000</v>
      </c>
      <c r="T13" s="151" t="s">
        <v>31</v>
      </c>
      <c r="U13" s="86">
        <v>1</v>
      </c>
      <c r="V13" s="25"/>
      <c r="W13" s="158"/>
      <c r="X13" s="83"/>
      <c r="Y13" s="49"/>
      <c r="Z13" s="34"/>
      <c r="AA13" s="172"/>
      <c r="AB13" s="173"/>
      <c r="AC13" s="88"/>
      <c r="AD13" s="172"/>
      <c r="AE13" s="88"/>
      <c r="AF13" s="169"/>
      <c r="AG13" s="163"/>
      <c r="AH13" s="159"/>
      <c r="AI13" s="169"/>
      <c r="AJ13" s="7"/>
      <c r="AK13" s="103"/>
    </row>
    <row r="14" spans="3:37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76">
        <v>2020</v>
      </c>
      <c r="J14" s="88"/>
      <c r="K14" s="88"/>
      <c r="L14" s="88"/>
      <c r="M14" s="85"/>
      <c r="N14" s="88"/>
      <c r="O14" s="83" t="s">
        <v>9</v>
      </c>
      <c r="P14" s="76"/>
      <c r="Q14" s="88"/>
      <c r="R14" s="163"/>
      <c r="S14" s="164">
        <v>6000</v>
      </c>
      <c r="T14" s="151" t="s">
        <v>9</v>
      </c>
      <c r="U14" s="86">
        <v>1</v>
      </c>
      <c r="V14" s="25"/>
      <c r="W14" s="158"/>
      <c r="X14" s="83"/>
      <c r="Y14" s="49"/>
      <c r="Z14" s="34"/>
      <c r="AA14" s="172"/>
      <c r="AB14" s="173"/>
      <c r="AC14" s="88"/>
      <c r="AD14" s="172"/>
      <c r="AE14" s="88"/>
      <c r="AF14" s="169"/>
      <c r="AG14" s="163"/>
      <c r="AH14" s="159"/>
      <c r="AI14" s="169"/>
      <c r="AJ14" s="7"/>
      <c r="AK14" s="103"/>
    </row>
    <row r="15" spans="3:37" ht="18.75" x14ac:dyDescent="0.3">
      <c r="C15" s="102"/>
      <c r="D15" s="75" t="s">
        <v>104</v>
      </c>
      <c r="E15" s="204">
        <v>2.6</v>
      </c>
      <c r="F15" s="88"/>
      <c r="G15" s="88"/>
      <c r="H15" s="84" t="s">
        <v>117</v>
      </c>
      <c r="I15" s="76" t="s">
        <v>27</v>
      </c>
      <c r="J15" s="88"/>
      <c r="K15" s="88"/>
      <c r="L15" s="88"/>
      <c r="M15" s="85"/>
      <c r="N15" s="88"/>
      <c r="O15" s="83" t="s">
        <v>38</v>
      </c>
      <c r="P15" s="76"/>
      <c r="Q15" s="88"/>
      <c r="R15" s="163"/>
      <c r="S15" s="164">
        <v>6000</v>
      </c>
      <c r="T15" s="151" t="s">
        <v>32</v>
      </c>
      <c r="U15" s="86">
        <v>1</v>
      </c>
      <c r="V15" s="172"/>
      <c r="W15" s="158"/>
      <c r="X15" s="83"/>
      <c r="Y15" s="83"/>
      <c r="Z15" s="76"/>
      <c r="AA15" s="88"/>
      <c r="AB15" s="159"/>
      <c r="AC15" s="88"/>
      <c r="AD15" s="88"/>
      <c r="AE15" s="88"/>
      <c r="AF15" s="169"/>
      <c r="AG15" s="163"/>
      <c r="AH15" s="159"/>
      <c r="AI15" s="169"/>
      <c r="AJ15" s="7"/>
      <c r="AK15" s="103"/>
    </row>
    <row r="16" spans="3:37" ht="18.75" x14ac:dyDescent="0.3">
      <c r="C16" s="102"/>
      <c r="D16" s="75" t="s">
        <v>105</v>
      </c>
      <c r="E16" s="204">
        <v>1.44</v>
      </c>
      <c r="F16" s="88"/>
      <c r="G16" s="88"/>
      <c r="H16" s="84" t="s">
        <v>101</v>
      </c>
      <c r="I16" s="76" t="s">
        <v>50</v>
      </c>
      <c r="J16" s="88"/>
      <c r="K16" s="88"/>
      <c r="L16" s="88"/>
      <c r="M16" s="85"/>
      <c r="N16" s="88"/>
      <c r="O16" s="83" t="s">
        <v>31</v>
      </c>
      <c r="P16" s="76"/>
      <c r="Q16" s="88"/>
      <c r="R16" s="163"/>
      <c r="S16" s="159">
        <v>7100</v>
      </c>
      <c r="T16" s="88" t="s">
        <v>30</v>
      </c>
      <c r="U16" s="86">
        <v>0.99990000000000001</v>
      </c>
      <c r="V16" s="88"/>
      <c r="W16" s="158"/>
      <c r="X16" s="83"/>
      <c r="Y16" s="83"/>
      <c r="Z16" s="76"/>
      <c r="AA16" s="88"/>
      <c r="AB16" s="159"/>
      <c r="AC16" s="88"/>
      <c r="AD16" s="88"/>
      <c r="AE16" s="88"/>
      <c r="AF16" s="86"/>
      <c r="AG16" s="163"/>
      <c r="AH16" s="159"/>
      <c r="AI16" s="86"/>
      <c r="AJ16" s="7"/>
      <c r="AK16" s="103"/>
    </row>
    <row r="17" spans="3:37" ht="18.75" x14ac:dyDescent="0.3">
      <c r="C17" s="102"/>
      <c r="D17" s="75" t="s">
        <v>106</v>
      </c>
      <c r="E17" s="76">
        <v>60</v>
      </c>
      <c r="F17" s="88"/>
      <c r="G17" s="88"/>
      <c r="H17" s="84"/>
      <c r="I17" s="76"/>
      <c r="J17" s="88"/>
      <c r="K17" s="88"/>
      <c r="L17" s="88"/>
      <c r="M17" s="85"/>
      <c r="N17" s="88"/>
      <c r="O17" s="83" t="s">
        <v>29</v>
      </c>
      <c r="P17" s="76"/>
      <c r="Q17" s="88"/>
      <c r="R17" s="163"/>
      <c r="S17" s="159">
        <v>7100</v>
      </c>
      <c r="T17" s="88" t="s">
        <v>50</v>
      </c>
      <c r="U17" s="86">
        <v>1.8E-3</v>
      </c>
      <c r="V17" s="88"/>
      <c r="W17" s="158"/>
      <c r="X17" s="83"/>
      <c r="Y17" s="83"/>
      <c r="Z17" s="76"/>
      <c r="AA17" s="88"/>
      <c r="AB17" s="159"/>
      <c r="AC17" s="88"/>
      <c r="AD17" s="88"/>
      <c r="AE17" s="88"/>
      <c r="AF17" s="86"/>
      <c r="AG17" s="163"/>
      <c r="AH17" s="159"/>
      <c r="AI17" s="86"/>
      <c r="AJ17" s="7"/>
      <c r="AK17" s="103"/>
    </row>
    <row r="18" spans="3:37" ht="18.75" x14ac:dyDescent="0.3">
      <c r="C18" s="102"/>
      <c r="D18" s="77" t="s">
        <v>107</v>
      </c>
      <c r="E18" s="76">
        <v>60</v>
      </c>
      <c r="F18" s="88"/>
      <c r="G18" s="88"/>
      <c r="H18" s="85"/>
      <c r="I18" s="76"/>
      <c r="J18" s="88"/>
      <c r="K18" s="88"/>
      <c r="L18" s="88"/>
      <c r="M18" s="85"/>
      <c r="N18" s="88"/>
      <c r="O18" s="83"/>
      <c r="P18" s="76"/>
      <c r="Q18" s="88"/>
      <c r="R18" s="163"/>
      <c r="S18" s="159"/>
      <c r="T18" s="88"/>
      <c r="U18" s="86"/>
      <c r="V18" s="88"/>
      <c r="W18" s="158"/>
      <c r="X18" s="83"/>
      <c r="Y18" s="83"/>
      <c r="Z18" s="76"/>
      <c r="AA18" s="88"/>
      <c r="AB18" s="159"/>
      <c r="AC18" s="88"/>
      <c r="AD18" s="88"/>
      <c r="AE18" s="88"/>
      <c r="AF18" s="86"/>
      <c r="AG18" s="163"/>
      <c r="AH18" s="159"/>
      <c r="AI18" s="86"/>
      <c r="AJ18" s="7"/>
      <c r="AK18" s="103"/>
    </row>
    <row r="19" spans="3:37" ht="18.75" x14ac:dyDescent="0.3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8"/>
      <c r="O19" s="83"/>
      <c r="P19" s="76"/>
      <c r="Q19" s="88"/>
      <c r="R19" s="163"/>
      <c r="S19" s="159"/>
      <c r="T19" s="88"/>
      <c r="U19" s="86"/>
      <c r="V19" s="88"/>
      <c r="W19" s="158"/>
      <c r="X19" s="83"/>
      <c r="Y19" s="83"/>
      <c r="Z19" s="76"/>
      <c r="AA19" s="88"/>
      <c r="AB19" s="159"/>
      <c r="AC19" s="88"/>
      <c r="AD19" s="88"/>
      <c r="AE19" s="88"/>
      <c r="AF19" s="86"/>
      <c r="AG19" s="163"/>
      <c r="AH19" s="159"/>
      <c r="AI19" s="86"/>
      <c r="AJ19" s="7"/>
      <c r="AK19" s="103"/>
    </row>
    <row r="20" spans="3:37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8"/>
      <c r="O20" s="83"/>
      <c r="P20" s="76"/>
      <c r="Q20" s="88"/>
      <c r="R20" s="163"/>
      <c r="S20" s="164"/>
      <c r="T20" s="151"/>
      <c r="U20" s="165"/>
      <c r="V20" s="88"/>
      <c r="W20" s="158"/>
      <c r="X20" s="83"/>
      <c r="Y20" s="83"/>
      <c r="Z20" s="76"/>
      <c r="AA20" s="88"/>
      <c r="AB20" s="159"/>
      <c r="AC20" s="88"/>
      <c r="AD20" s="88"/>
      <c r="AE20" s="88"/>
      <c r="AF20" s="86"/>
      <c r="AG20" s="163"/>
      <c r="AH20" s="159"/>
      <c r="AI20" s="86"/>
      <c r="AJ20" s="7"/>
      <c r="AK20" s="103"/>
    </row>
    <row r="21" spans="3:37" ht="18.75" x14ac:dyDescent="0.3">
      <c r="C21" s="102"/>
      <c r="D21" s="77" t="s">
        <v>110</v>
      </c>
      <c r="E21" s="76"/>
      <c r="F21" s="88"/>
      <c r="G21" s="88"/>
      <c r="H21" s="159"/>
      <c r="I21" s="76"/>
      <c r="J21" s="88"/>
      <c r="K21" s="88"/>
      <c r="L21" s="88"/>
      <c r="M21" s="159"/>
      <c r="N21" s="88"/>
      <c r="O21" s="83"/>
      <c r="P21" s="76"/>
      <c r="Q21" s="88"/>
      <c r="R21" s="163"/>
      <c r="S21" s="171"/>
      <c r="T21" s="151"/>
      <c r="U21" s="86"/>
      <c r="V21" s="88"/>
      <c r="W21" s="158"/>
      <c r="X21" s="83"/>
      <c r="Y21" s="83"/>
      <c r="Z21" s="76"/>
      <c r="AA21" s="88"/>
      <c r="AB21" s="159"/>
      <c r="AC21" s="88"/>
      <c r="AD21" s="88"/>
      <c r="AE21" s="88"/>
      <c r="AF21" s="86"/>
      <c r="AG21" s="163"/>
      <c r="AH21" s="159"/>
      <c r="AI21" s="86"/>
      <c r="AJ21" s="7"/>
      <c r="AK21" s="103"/>
    </row>
    <row r="22" spans="3:37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8"/>
      <c r="O22" s="83"/>
      <c r="P22" s="76"/>
      <c r="Q22" s="88"/>
      <c r="R22" s="163"/>
      <c r="S22" s="171"/>
      <c r="T22" s="151"/>
      <c r="U22" s="86"/>
      <c r="V22" s="88"/>
      <c r="W22" s="158"/>
      <c r="X22" s="83"/>
      <c r="Y22" s="83"/>
      <c r="Z22" s="76"/>
      <c r="AA22" s="88"/>
      <c r="AB22" s="159"/>
      <c r="AC22" s="88"/>
      <c r="AD22" s="88"/>
      <c r="AE22" s="88"/>
      <c r="AF22" s="86"/>
      <c r="AG22" s="163"/>
      <c r="AH22" s="159"/>
      <c r="AI22" s="86"/>
      <c r="AJ22" s="7"/>
      <c r="AK22" s="103"/>
    </row>
    <row r="23" spans="3:37" ht="18.75" x14ac:dyDescent="0.3">
      <c r="C23" s="102"/>
      <c r="D23" s="77" t="s">
        <v>112</v>
      </c>
      <c r="E23" s="76"/>
      <c r="F23" s="88"/>
      <c r="G23" s="88"/>
      <c r="H23" s="159"/>
      <c r="I23" s="76"/>
      <c r="J23" s="88"/>
      <c r="K23" s="88"/>
      <c r="L23" s="88"/>
      <c r="M23" s="159"/>
      <c r="N23" s="88"/>
      <c r="O23" s="83"/>
      <c r="P23" s="76"/>
      <c r="Q23" s="88"/>
      <c r="R23" s="163"/>
      <c r="S23" s="171"/>
      <c r="T23" s="151"/>
      <c r="U23" s="86"/>
      <c r="V23" s="88"/>
      <c r="W23" s="158"/>
      <c r="X23" s="83"/>
      <c r="Y23" s="83"/>
      <c r="Z23" s="76"/>
      <c r="AA23" s="88"/>
      <c r="AB23" s="159"/>
      <c r="AC23" s="88"/>
      <c r="AD23" s="88"/>
      <c r="AE23" s="88"/>
      <c r="AF23" s="86"/>
      <c r="AG23" s="163"/>
      <c r="AH23" s="159"/>
      <c r="AI23" s="86"/>
      <c r="AJ23" s="7"/>
      <c r="AK23" s="103"/>
    </row>
    <row r="24" spans="3:37" ht="18.75" x14ac:dyDescent="0.3">
      <c r="C24" s="102"/>
      <c r="D24" s="193" t="s">
        <v>135</v>
      </c>
      <c r="E24" s="76"/>
      <c r="F24" s="88"/>
      <c r="G24" s="88"/>
      <c r="H24" s="159"/>
      <c r="I24" s="76"/>
      <c r="J24" s="88"/>
      <c r="K24" s="88"/>
      <c r="L24" s="88"/>
      <c r="M24" s="159"/>
      <c r="N24" s="88"/>
      <c r="O24" s="83"/>
      <c r="P24" s="76"/>
      <c r="Q24" s="88"/>
      <c r="R24" s="163"/>
      <c r="S24" s="159"/>
      <c r="T24" s="88"/>
      <c r="U24" s="86"/>
      <c r="V24" s="88"/>
      <c r="W24" s="158"/>
      <c r="X24" s="83"/>
      <c r="Y24" s="83"/>
      <c r="Z24" s="76"/>
      <c r="AA24" s="88"/>
      <c r="AB24" s="159"/>
      <c r="AC24" s="88"/>
      <c r="AD24" s="88"/>
      <c r="AE24" s="88"/>
      <c r="AF24" s="86"/>
      <c r="AG24" s="163"/>
      <c r="AH24" s="159"/>
      <c r="AI24" s="86"/>
      <c r="AJ24" s="7"/>
      <c r="AK24" s="103"/>
    </row>
    <row r="25" spans="3:37" ht="18.75" x14ac:dyDescent="0.3">
      <c r="C25" s="102"/>
      <c r="D25" s="193" t="s">
        <v>136</v>
      </c>
      <c r="E25" s="76"/>
      <c r="F25" s="88"/>
      <c r="G25" s="88"/>
      <c r="H25" s="159"/>
      <c r="I25" s="76"/>
      <c r="J25" s="88"/>
      <c r="K25" s="88"/>
      <c r="L25" s="88"/>
      <c r="M25" s="159"/>
      <c r="N25" s="88"/>
      <c r="O25" s="83"/>
      <c r="P25" s="76"/>
      <c r="Q25" s="88"/>
      <c r="R25" s="163"/>
      <c r="S25" s="159"/>
      <c r="T25" s="88"/>
      <c r="U25" s="86"/>
      <c r="V25" s="88"/>
      <c r="W25" s="180"/>
      <c r="X25" s="181"/>
      <c r="Y25" s="181"/>
      <c r="Z25" s="182"/>
      <c r="AA25" s="88"/>
      <c r="AB25" s="159"/>
      <c r="AC25" s="88"/>
      <c r="AD25" s="88"/>
      <c r="AE25" s="88"/>
      <c r="AF25" s="86"/>
      <c r="AG25" s="163"/>
      <c r="AH25" s="159"/>
      <c r="AI25" s="86"/>
      <c r="AJ25" s="7"/>
      <c r="AK25" s="103"/>
    </row>
    <row r="26" spans="3:37" ht="19.5" thickBot="1" x14ac:dyDescent="0.35">
      <c r="C26" s="102"/>
      <c r="D26" s="195" t="s">
        <v>137</v>
      </c>
      <c r="E26" s="76"/>
      <c r="F26" s="88"/>
      <c r="G26" s="88"/>
      <c r="H26" s="159"/>
      <c r="I26" s="76"/>
      <c r="J26" s="88"/>
      <c r="K26" s="88"/>
      <c r="L26" s="88"/>
      <c r="M26" s="159"/>
      <c r="N26" s="88"/>
      <c r="O26" s="83"/>
      <c r="P26" s="76"/>
      <c r="Q26" s="88"/>
      <c r="R26" s="163"/>
      <c r="S26" s="175"/>
      <c r="T26" s="163"/>
      <c r="U26" s="176"/>
      <c r="V26" s="163"/>
      <c r="W26" s="180"/>
      <c r="X26" s="181"/>
      <c r="Y26" s="181"/>
      <c r="Z26" s="182"/>
      <c r="AA26" s="163"/>
      <c r="AB26" s="175"/>
      <c r="AC26" s="163"/>
      <c r="AD26" s="163"/>
      <c r="AE26" s="163"/>
      <c r="AF26" s="176"/>
      <c r="AG26" s="163"/>
      <c r="AH26" s="159"/>
      <c r="AI26" s="86"/>
      <c r="AJ26" s="7"/>
      <c r="AK26" s="103"/>
    </row>
    <row r="27" spans="3:37" ht="19.5" thickBot="1" x14ac:dyDescent="0.35">
      <c r="C27" s="102"/>
      <c r="D27" s="160"/>
      <c r="E27" s="79"/>
      <c r="F27" s="88"/>
      <c r="G27" s="88"/>
      <c r="H27" s="160"/>
      <c r="I27" s="79"/>
      <c r="J27" s="88"/>
      <c r="K27" s="88"/>
      <c r="L27" s="88"/>
      <c r="M27" s="160"/>
      <c r="N27" s="89"/>
      <c r="O27" s="162"/>
      <c r="P27" s="79"/>
      <c r="Q27" s="88"/>
      <c r="R27" s="163"/>
      <c r="S27" s="177"/>
      <c r="T27" s="178"/>
      <c r="U27" s="179"/>
      <c r="V27" s="163"/>
      <c r="W27" s="183"/>
      <c r="X27" s="184"/>
      <c r="Y27" s="184"/>
      <c r="Z27" s="185"/>
      <c r="AA27" s="163"/>
      <c r="AB27" s="177"/>
      <c r="AC27" s="178"/>
      <c r="AD27" s="178"/>
      <c r="AE27" s="178"/>
      <c r="AF27" s="179"/>
      <c r="AG27" s="163"/>
      <c r="AH27" s="160"/>
      <c r="AI27" s="90"/>
      <c r="AJ27" s="7"/>
      <c r="AK27" s="103"/>
    </row>
    <row r="28" spans="3:37" x14ac:dyDescent="0.25">
      <c r="C28" s="102"/>
      <c r="D28" s="7"/>
      <c r="E28" s="7"/>
      <c r="F28" s="7"/>
      <c r="G28" s="7"/>
      <c r="H28" s="7"/>
      <c r="I28" s="20"/>
      <c r="J28" s="7"/>
      <c r="K28" s="7"/>
      <c r="L28" s="7"/>
      <c r="M28" s="7"/>
      <c r="N28" s="7"/>
      <c r="O28" s="7"/>
      <c r="P28" s="7"/>
      <c r="Q28" s="7"/>
      <c r="R28" s="13"/>
      <c r="S28" s="7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7"/>
      <c r="AI28" s="7"/>
      <c r="AJ28" s="7"/>
      <c r="AK28" s="103"/>
    </row>
    <row r="29" spans="3:37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7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7"/>
      <c r="AI29" s="7"/>
      <c r="AJ29" s="7"/>
      <c r="AK29" s="103"/>
    </row>
    <row r="30" spans="3:37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7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7"/>
      <c r="AI30" s="7"/>
      <c r="AJ30" s="7"/>
      <c r="AK30" s="103"/>
    </row>
    <row r="31" spans="3:37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7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7"/>
      <c r="AI31" s="7"/>
      <c r="AJ31" s="7"/>
      <c r="AK31" s="103"/>
    </row>
    <row r="32" spans="3:37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7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7"/>
      <c r="AK32" s="103"/>
    </row>
    <row r="33" spans="3:37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7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7"/>
      <c r="AK33" s="103"/>
    </row>
    <row r="34" spans="3:37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7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7"/>
      <c r="AK34" s="103"/>
    </row>
    <row r="35" spans="3:37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7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7"/>
      <c r="AK35" s="103"/>
    </row>
    <row r="36" spans="3:37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7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7"/>
      <c r="AK36" s="103"/>
    </row>
    <row r="37" spans="3:37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7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7"/>
      <c r="AK37" s="103"/>
    </row>
    <row r="38" spans="3:37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7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7"/>
      <c r="AK38" s="103"/>
    </row>
    <row r="39" spans="3:37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7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7"/>
      <c r="AK39" s="103"/>
    </row>
    <row r="40" spans="3:37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7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7"/>
      <c r="AK40" s="103"/>
    </row>
    <row r="41" spans="3:37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7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7"/>
      <c r="AK41" s="103"/>
    </row>
    <row r="42" spans="3:37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7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7"/>
      <c r="AK42" s="103"/>
    </row>
    <row r="43" spans="3:37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7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7"/>
      <c r="AK43" s="103"/>
    </row>
    <row r="44" spans="3:37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7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7"/>
      <c r="AK44" s="103"/>
    </row>
    <row r="45" spans="3:37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7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7"/>
      <c r="AK45" s="103"/>
    </row>
    <row r="46" spans="3:37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7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7"/>
      <c r="AK46" s="103"/>
    </row>
    <row r="47" spans="3:37" ht="18.75" x14ac:dyDescent="0.25">
      <c r="C47" s="102"/>
      <c r="D47" s="7"/>
      <c r="E47" s="7"/>
      <c r="F47" s="8"/>
      <c r="G47" s="126"/>
      <c r="H47" s="7"/>
      <c r="I47" s="7"/>
      <c r="J47" s="8"/>
      <c r="K47" s="126"/>
      <c r="L47" s="7"/>
      <c r="M47" s="7"/>
      <c r="N47" s="7"/>
      <c r="O47" s="7"/>
      <c r="P47" s="11"/>
      <c r="Q47" s="7"/>
      <c r="R47" s="13"/>
      <c r="S47" s="7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7"/>
      <c r="AK47" s="103"/>
    </row>
    <row r="48" spans="3:37" ht="15.75" x14ac:dyDescent="0.25">
      <c r="C48" s="102"/>
      <c r="D48" s="7"/>
      <c r="E48" s="7"/>
      <c r="F48" s="125"/>
      <c r="G48" s="125"/>
      <c r="H48" s="7"/>
      <c r="I48" s="7"/>
      <c r="J48" s="125"/>
      <c r="K48" s="125"/>
      <c r="L48" s="7"/>
      <c r="M48" s="7"/>
      <c r="N48" s="7"/>
      <c r="O48" s="7"/>
      <c r="P48" s="7"/>
      <c r="Q48" s="7"/>
      <c r="R48" s="13"/>
      <c r="S48" s="7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7"/>
      <c r="AK48" s="103"/>
    </row>
    <row r="49" spans="3:37" ht="15.75" x14ac:dyDescent="0.25">
      <c r="C49" s="102"/>
      <c r="D49" s="7"/>
      <c r="E49" s="7"/>
      <c r="F49" s="9"/>
      <c r="G49" s="9"/>
      <c r="H49" s="7"/>
      <c r="I49" s="7"/>
      <c r="J49" s="12"/>
      <c r="K49" s="12"/>
      <c r="L49" s="7"/>
      <c r="M49" s="7"/>
      <c r="N49" s="7"/>
      <c r="O49" s="7"/>
      <c r="P49" s="7"/>
      <c r="Q49" s="7"/>
      <c r="R49" s="13"/>
      <c r="S49" s="7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7"/>
      <c r="AK49" s="103"/>
    </row>
    <row r="50" spans="3:37" ht="15.75" x14ac:dyDescent="0.25">
      <c r="C50" s="102"/>
      <c r="D50" s="7"/>
      <c r="E50" s="7"/>
      <c r="F50" s="9"/>
      <c r="G50" s="9"/>
      <c r="H50" s="7"/>
      <c r="I50" s="7"/>
      <c r="J50" s="12"/>
      <c r="K50" s="12"/>
      <c r="L50" s="7"/>
      <c r="M50" s="7"/>
      <c r="N50" s="7"/>
      <c r="O50" s="7"/>
      <c r="P50" s="7"/>
      <c r="Q50" s="7"/>
      <c r="R50" s="13"/>
      <c r="S50" s="7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7"/>
      <c r="AK50" s="103"/>
    </row>
    <row r="51" spans="3:37" ht="15.75" x14ac:dyDescent="0.25">
      <c r="C51" s="102"/>
      <c r="D51" s="7"/>
      <c r="E51" s="7"/>
      <c r="F51" s="9"/>
      <c r="G51" s="9"/>
      <c r="H51" s="7"/>
      <c r="I51" s="7"/>
      <c r="J51" s="12"/>
      <c r="K51" s="12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7"/>
      <c r="AK51" s="103"/>
    </row>
    <row r="52" spans="3:37" ht="15.75" x14ac:dyDescent="0.25">
      <c r="C52" s="102"/>
      <c r="D52" s="7"/>
      <c r="E52" s="7"/>
      <c r="F52" s="9"/>
      <c r="G52" s="9"/>
      <c r="H52" s="7"/>
      <c r="I52" s="7"/>
      <c r="J52" s="10"/>
      <c r="K52" s="10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7"/>
      <c r="AK52" s="103"/>
    </row>
    <row r="53" spans="3:37" ht="15.75" x14ac:dyDescent="0.25">
      <c r="C53" s="102"/>
      <c r="D53" s="7"/>
      <c r="E53" s="7"/>
      <c r="F53" s="9"/>
      <c r="G53" s="9"/>
      <c r="H53" s="7"/>
      <c r="I53" s="7"/>
      <c r="J53" s="10"/>
      <c r="K53" s="10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7"/>
      <c r="AK53" s="103"/>
    </row>
    <row r="54" spans="3:37" ht="15.75" x14ac:dyDescent="0.25">
      <c r="C54" s="102"/>
      <c r="D54" s="7"/>
      <c r="E54" s="7"/>
      <c r="F54" s="9"/>
      <c r="G54" s="9"/>
      <c r="H54" s="7"/>
      <c r="I54" s="7"/>
      <c r="J54" s="10"/>
      <c r="K54" s="10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7"/>
      <c r="AK54" s="103"/>
    </row>
    <row r="55" spans="3:37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7"/>
      <c r="AK55" s="103"/>
    </row>
    <row r="56" spans="3:37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7"/>
      <c r="AK56" s="103"/>
    </row>
    <row r="57" spans="3:37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7"/>
      <c r="AK57" s="103"/>
    </row>
    <row r="58" spans="3:37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7"/>
      <c r="AK58" s="103"/>
    </row>
    <row r="59" spans="3:37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7"/>
      <c r="AK59" s="103"/>
    </row>
    <row r="60" spans="3:37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7"/>
      <c r="AK60" s="103"/>
    </row>
    <row r="61" spans="3:37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7"/>
      <c r="AK61" s="103"/>
    </row>
    <row r="62" spans="3:37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7"/>
      <c r="AK62" s="103"/>
    </row>
    <row r="63" spans="3:37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7"/>
      <c r="AK63" s="103"/>
    </row>
    <row r="64" spans="3:37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7"/>
      <c r="AK64" s="103"/>
    </row>
    <row r="65" spans="3:37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7"/>
      <c r="AK65" s="103"/>
    </row>
    <row r="66" spans="3:37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7"/>
      <c r="AK66" s="103"/>
    </row>
    <row r="67" spans="3:37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7"/>
      <c r="AK67" s="103"/>
    </row>
    <row r="68" spans="3:37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7"/>
      <c r="AK68" s="103"/>
    </row>
    <row r="69" spans="3:37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7"/>
      <c r="AK69" s="103"/>
    </row>
    <row r="70" spans="3:37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04"/>
      <c r="AK70" s="70"/>
    </row>
    <row r="71" spans="3:37" x14ac:dyDescent="0.25"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</row>
    <row r="136" spans="18:18" x14ac:dyDescent="0.25">
      <c r="R136" s="3" t="s">
        <v>49</v>
      </c>
    </row>
  </sheetData>
  <mergeCells count="12">
    <mergeCell ref="D6:E6"/>
    <mergeCell ref="H6:I6"/>
    <mergeCell ref="M6:P6"/>
    <mergeCell ref="D8:E8"/>
    <mergeCell ref="H8:I8"/>
    <mergeCell ref="M8:P8"/>
    <mergeCell ref="AH8:AI8"/>
    <mergeCell ref="X9:Z9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6EBC4FD-B606-4170-BE86-48D2AC167D68}">
          <x14:formula1>
            <xm:f>DataBank!$A$3:$A$4</xm:f>
          </x14:formula1>
          <xm:sqref>AB10 AD10</xm:sqref>
        </x14:dataValidation>
        <x14:dataValidation type="list" allowBlank="1" showInputMessage="1" showErrorMessage="1" xr:uid="{6C1682CF-05A0-4302-A4B0-AC7679CF19D0}">
          <x14:formula1>
            <xm:f>DataBank!$A$3:$A$5</xm:f>
          </x14:formula1>
          <xm:sqref>I15 N11:P11</xm:sqref>
        </x14:dataValidation>
        <x14:dataValidation type="list" allowBlank="1" showInputMessage="1" showErrorMessage="1" xr:uid="{125C9CC3-5CED-460C-AB42-BA00074BC031}">
          <x14:formula1>
            <xm:f>Systemblatt!$E$5:$E$12</xm:f>
          </x14:formula1>
          <xm:sqref>I16:I17 AH10:AH30 N12:P13 AC10:AC24 AE10:AE24 T10:T24</xm:sqref>
        </x14:dataValidation>
        <x14:dataValidation type="whole" allowBlank="1" showInputMessage="1" showErrorMessage="1" xr:uid="{016E2EDA-48BD-498A-8D88-C6885DC1CCF7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351F4-A370-401E-A604-26DB3F9FB550}">
  <sheetPr codeName="Tabelle24"/>
  <dimension ref="C1:AU137"/>
  <sheetViews>
    <sheetView topLeftCell="P2" zoomScale="58" zoomScaleNormal="58" workbookViewId="0">
      <selection activeCell="W12" sqref="W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28515625" style="3" customWidth="1"/>
    <col min="5" max="5" width="21.85546875" style="3" customWidth="1"/>
    <col min="6" max="6" width="15.28515625" style="3" customWidth="1"/>
    <col min="7" max="7" width="6.28515625" style="3" customWidth="1"/>
    <col min="8" max="8" width="24.85546875" style="3" customWidth="1"/>
    <col min="9" max="11" width="15.28515625" style="3" customWidth="1"/>
    <col min="12" max="12" width="4.28515625" style="3" customWidth="1"/>
    <col min="13" max="13" width="27.42578125" style="3" customWidth="1"/>
    <col min="14" max="14" width="15.28515625" style="3" customWidth="1"/>
    <col min="15" max="15" width="31" style="3" customWidth="1"/>
    <col min="16" max="16" width="29.85546875" style="3" customWidth="1"/>
    <col min="17" max="18" width="15.28515625" style="3" customWidth="1"/>
    <col min="19" max="19" width="24.85546875" style="3" customWidth="1"/>
    <col min="20" max="20" width="19.85546875" style="3" customWidth="1"/>
    <col min="21" max="22" width="10.85546875" style="3"/>
    <col min="23" max="23" width="16.140625" style="3" customWidth="1"/>
    <col min="24" max="24" width="23" style="3" customWidth="1"/>
    <col min="25" max="25" width="20.7109375" style="3" customWidth="1"/>
    <col min="26" max="26" width="22.7109375" style="3" customWidth="1"/>
    <col min="27" max="28" width="10.85546875" style="3"/>
    <col min="29" max="29" width="19.7109375" style="3" customWidth="1"/>
    <col min="30" max="30" width="10.85546875" style="3"/>
    <col min="31" max="31" width="15.140625" style="3" customWidth="1"/>
    <col min="32" max="32" width="69.85546875" style="3" customWidth="1"/>
    <col min="33" max="33" width="8.140625" style="3" customWidth="1"/>
    <col min="34" max="34" width="18.28515625" style="3" customWidth="1"/>
    <col min="35" max="35" width="15.140625" style="3" customWidth="1"/>
    <col min="36" max="38" width="10.85546875" style="3"/>
    <col min="39" max="39" width="18.42578125" style="3" customWidth="1"/>
    <col min="40" max="40" width="20.85546875" style="3" customWidth="1"/>
    <col min="41" max="16384" width="10.85546875" style="3"/>
  </cols>
  <sheetData>
    <row r="1" spans="3:47" ht="10.5" customHeight="1" x14ac:dyDescent="0.25"/>
    <row r="2" spans="3:47" ht="6.95" customHeight="1" thickBot="1" x14ac:dyDescent="0.3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</row>
    <row r="3" spans="3:47" x14ac:dyDescent="0.25">
      <c r="C3" s="112"/>
      <c r="D3" s="113"/>
      <c r="E3" s="113"/>
      <c r="F3" s="113"/>
      <c r="G3" s="113"/>
      <c r="H3" s="113"/>
      <c r="I3" s="113"/>
      <c r="J3" s="113" t="s">
        <v>42</v>
      </c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24"/>
    </row>
    <row r="4" spans="3:47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03"/>
    </row>
    <row r="5" spans="3:47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03"/>
    </row>
    <row r="6" spans="3:47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127"/>
      <c r="AH6" s="127"/>
      <c r="AI6" s="127"/>
      <c r="AJ6" s="127"/>
      <c r="AK6" s="127"/>
      <c r="AL6" s="127"/>
      <c r="AM6" s="127"/>
      <c r="AN6" s="127"/>
      <c r="AO6" s="7"/>
      <c r="AP6" s="103"/>
    </row>
    <row r="7" spans="3:47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7"/>
      <c r="AJ7" s="7"/>
      <c r="AK7" s="7"/>
      <c r="AL7" s="7"/>
      <c r="AM7" s="7"/>
      <c r="AN7" s="7"/>
      <c r="AO7" s="7"/>
      <c r="AP7" s="103"/>
    </row>
    <row r="8" spans="3:47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22" t="s">
        <v>124</v>
      </c>
      <c r="T8" s="523"/>
      <c r="U8" s="524"/>
      <c r="V8" s="14"/>
      <c r="W8" s="525" t="s">
        <v>197</v>
      </c>
      <c r="X8" s="526"/>
      <c r="Y8" s="526"/>
      <c r="Z8" s="527"/>
      <c r="AA8" s="13"/>
      <c r="AB8" s="525" t="s">
        <v>134</v>
      </c>
      <c r="AC8" s="526"/>
      <c r="AD8" s="526"/>
      <c r="AE8" s="526"/>
      <c r="AF8" s="527"/>
      <c r="AG8" s="7"/>
      <c r="AH8" s="588" t="s">
        <v>11</v>
      </c>
      <c r="AI8" s="589"/>
      <c r="AJ8" s="590"/>
      <c r="AK8" s="16"/>
      <c r="AL8" s="525" t="s">
        <v>12</v>
      </c>
      <c r="AM8" s="526"/>
      <c r="AN8" s="527"/>
      <c r="AO8" s="7"/>
      <c r="AP8" s="103"/>
    </row>
    <row r="9" spans="3:47" ht="21.75" thickBot="1" x14ac:dyDescent="0.4">
      <c r="C9" s="102"/>
      <c r="D9" s="81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100" t="s">
        <v>126</v>
      </c>
      <c r="T9" s="100" t="s">
        <v>76</v>
      </c>
      <c r="U9" s="100" t="s">
        <v>127</v>
      </c>
      <c r="V9" s="15"/>
      <c r="W9" s="100" t="s">
        <v>188</v>
      </c>
      <c r="X9" s="507"/>
      <c r="Y9" s="508"/>
      <c r="Z9" s="509"/>
      <c r="AA9" s="13"/>
      <c r="AB9" s="100" t="s">
        <v>131</v>
      </c>
      <c r="AC9" s="100" t="s">
        <v>130</v>
      </c>
      <c r="AD9" s="100" t="s">
        <v>8</v>
      </c>
      <c r="AE9" s="100" t="s">
        <v>132</v>
      </c>
      <c r="AF9" s="100" t="s">
        <v>133</v>
      </c>
      <c r="AG9" s="7"/>
      <c r="AH9" s="281" t="s">
        <v>13</v>
      </c>
      <c r="AI9" s="283" t="s">
        <v>14</v>
      </c>
      <c r="AJ9" s="282" t="s">
        <v>1</v>
      </c>
      <c r="AK9" s="15"/>
      <c r="AL9" s="281" t="s">
        <v>15</v>
      </c>
      <c r="AM9" s="283" t="s">
        <v>16</v>
      </c>
      <c r="AN9" s="282" t="s">
        <v>17</v>
      </c>
      <c r="AO9" s="7"/>
      <c r="AP9" s="103"/>
    </row>
    <row r="10" spans="3:47" ht="18.75" x14ac:dyDescent="0.3">
      <c r="C10" s="102"/>
      <c r="D10" s="73" t="s">
        <v>2</v>
      </c>
      <c r="E10" s="74" t="s">
        <v>66</v>
      </c>
      <c r="F10" s="88"/>
      <c r="G10" s="88"/>
      <c r="H10" s="75" t="s">
        <v>3</v>
      </c>
      <c r="I10" s="76"/>
      <c r="J10" s="88"/>
      <c r="K10" s="88"/>
      <c r="L10" s="88"/>
      <c r="M10" s="75" t="s">
        <v>121</v>
      </c>
      <c r="N10" s="83"/>
      <c r="O10" s="83"/>
      <c r="P10" s="76"/>
      <c r="Q10" s="88"/>
      <c r="R10" s="88"/>
      <c r="S10" s="156"/>
      <c r="T10" s="83"/>
      <c r="U10" s="157"/>
      <c r="V10" s="155"/>
      <c r="W10" s="152">
        <v>110</v>
      </c>
      <c r="X10" s="83"/>
      <c r="Y10" s="153"/>
      <c r="Z10" s="154"/>
      <c r="AA10" s="83"/>
      <c r="AB10" s="187" t="s">
        <v>27</v>
      </c>
      <c r="AC10" s="186" t="s">
        <v>9</v>
      </c>
      <c r="AD10" s="186" t="s">
        <v>27</v>
      </c>
      <c r="AE10" s="186" t="s">
        <v>9</v>
      </c>
      <c r="AF10" s="188">
        <v>0.1</v>
      </c>
      <c r="AG10" s="83"/>
      <c r="AH10" s="187" t="s">
        <v>9</v>
      </c>
      <c r="AI10" s="186">
        <v>2</v>
      </c>
      <c r="AJ10" s="188">
        <v>-1.5</v>
      </c>
      <c r="AK10" s="155"/>
      <c r="AL10" s="187">
        <v>2</v>
      </c>
      <c r="AM10" s="186" t="s">
        <v>50</v>
      </c>
      <c r="AN10" s="188">
        <v>1</v>
      </c>
      <c r="AO10" s="7"/>
      <c r="AP10" s="103"/>
      <c r="AQ10" s="7"/>
      <c r="AR10" s="7"/>
      <c r="AS10" s="7"/>
      <c r="AT10" s="7"/>
      <c r="AU10" s="7"/>
    </row>
    <row r="11" spans="3:47" ht="18.75" x14ac:dyDescent="0.3">
      <c r="C11" s="102"/>
      <c r="D11" s="75" t="s">
        <v>4</v>
      </c>
      <c r="E11" s="76">
        <v>4100</v>
      </c>
      <c r="F11" s="88"/>
      <c r="G11" s="88"/>
      <c r="H11" s="75" t="s">
        <v>113</v>
      </c>
      <c r="I11" s="76">
        <v>0.54700000000000004</v>
      </c>
      <c r="J11" s="88"/>
      <c r="K11" s="88"/>
      <c r="L11" s="88"/>
      <c r="M11" s="84" t="s">
        <v>122</v>
      </c>
      <c r="N11" s="83"/>
      <c r="O11" s="83"/>
      <c r="P11" s="76"/>
      <c r="Q11" s="88"/>
      <c r="R11" s="88"/>
      <c r="S11" s="156"/>
      <c r="T11" s="83"/>
      <c r="U11" s="157"/>
      <c r="V11" s="155"/>
      <c r="W11" s="158">
        <v>116</v>
      </c>
      <c r="X11" s="83"/>
      <c r="Y11" s="155"/>
      <c r="Z11" s="157"/>
      <c r="AA11" s="83"/>
      <c r="AB11" s="156"/>
      <c r="AC11" s="83"/>
      <c r="AD11" s="155"/>
      <c r="AE11" s="49" t="s">
        <v>30</v>
      </c>
      <c r="AF11" s="157"/>
      <c r="AG11" s="83"/>
      <c r="AH11" s="187" t="s">
        <v>30</v>
      </c>
      <c r="AI11" s="186">
        <v>2</v>
      </c>
      <c r="AJ11" s="188">
        <v>1.125</v>
      </c>
      <c r="AK11" s="155"/>
      <c r="AL11" s="187">
        <v>3</v>
      </c>
      <c r="AM11" s="186" t="s">
        <v>32</v>
      </c>
      <c r="AN11" s="188">
        <v>1</v>
      </c>
      <c r="AO11" s="7"/>
      <c r="AP11" s="103"/>
      <c r="AQ11" s="7"/>
      <c r="AR11" s="7"/>
      <c r="AS11" s="7"/>
      <c r="AT11" s="7"/>
      <c r="AU11" s="7"/>
    </row>
    <row r="12" spans="3:47" ht="18.75" x14ac:dyDescent="0.3">
      <c r="C12" s="102"/>
      <c r="D12" s="75" t="s">
        <v>90</v>
      </c>
      <c r="E12" s="76" t="s">
        <v>52</v>
      </c>
      <c r="F12" s="88"/>
      <c r="G12" s="88"/>
      <c r="H12" s="75" t="s">
        <v>114</v>
      </c>
      <c r="I12" s="76">
        <v>1</v>
      </c>
      <c r="J12" s="88"/>
      <c r="K12" s="88"/>
      <c r="L12" s="88"/>
      <c r="M12" s="84" t="s">
        <v>123</v>
      </c>
      <c r="N12" s="83"/>
      <c r="O12" s="83"/>
      <c r="P12" s="76"/>
      <c r="Q12" s="88"/>
      <c r="R12" s="88"/>
      <c r="S12" s="156"/>
      <c r="T12" s="83"/>
      <c r="U12" s="157"/>
      <c r="V12" s="155"/>
      <c r="W12" s="158"/>
      <c r="X12" s="83"/>
      <c r="Y12" s="49"/>
      <c r="Z12" s="34"/>
      <c r="AA12" s="49"/>
      <c r="AB12" s="56"/>
      <c r="AC12" s="83"/>
      <c r="AD12" s="49"/>
      <c r="AE12" s="49" t="s">
        <v>38</v>
      </c>
      <c r="AF12" s="157"/>
      <c r="AG12" s="83"/>
      <c r="AH12" s="187" t="s">
        <v>31</v>
      </c>
      <c r="AI12" s="186">
        <v>2</v>
      </c>
      <c r="AJ12" s="188">
        <v>1.375</v>
      </c>
      <c r="AK12" s="155"/>
      <c r="AL12" s="187">
        <v>4</v>
      </c>
      <c r="AM12" s="186" t="s">
        <v>29</v>
      </c>
      <c r="AN12" s="188">
        <v>1</v>
      </c>
      <c r="AO12" s="7"/>
      <c r="AP12" s="103"/>
      <c r="AQ12" s="7"/>
      <c r="AR12" s="7"/>
      <c r="AS12" s="7"/>
      <c r="AT12" s="7"/>
      <c r="AU12" s="7"/>
    </row>
    <row r="13" spans="3:47" ht="18.75" x14ac:dyDescent="0.3">
      <c r="C13" s="102"/>
      <c r="D13" s="75" t="s">
        <v>102</v>
      </c>
      <c r="E13" s="76"/>
      <c r="F13" s="88"/>
      <c r="G13" s="88"/>
      <c r="H13" s="75" t="s">
        <v>115</v>
      </c>
      <c r="I13" s="76">
        <v>1</v>
      </c>
      <c r="J13" s="88"/>
      <c r="K13" s="88"/>
      <c r="L13" s="88"/>
      <c r="M13" s="84"/>
      <c r="N13" s="83"/>
      <c r="O13" s="83"/>
      <c r="P13" s="76"/>
      <c r="Q13" s="88"/>
      <c r="R13" s="88"/>
      <c r="S13" s="56"/>
      <c r="T13" s="83"/>
      <c r="U13" s="34"/>
      <c r="V13" s="49"/>
      <c r="W13" s="158"/>
      <c r="X13" s="83"/>
      <c r="Y13" s="49"/>
      <c r="Z13" s="34"/>
      <c r="AA13" s="49"/>
      <c r="AB13" s="56"/>
      <c r="AC13" s="83"/>
      <c r="AD13" s="49"/>
      <c r="AE13" s="49" t="s">
        <v>31</v>
      </c>
      <c r="AF13" s="157"/>
      <c r="AG13" s="83"/>
      <c r="AH13" s="187" t="s">
        <v>50</v>
      </c>
      <c r="AI13" s="186">
        <v>2</v>
      </c>
      <c r="AJ13" s="188">
        <v>-1</v>
      </c>
      <c r="AK13" s="155"/>
      <c r="AL13" s="180">
        <v>6</v>
      </c>
      <c r="AM13" s="181" t="s">
        <v>200</v>
      </c>
      <c r="AN13" s="182">
        <v>1</v>
      </c>
      <c r="AO13" s="7"/>
      <c r="AP13" s="103"/>
      <c r="AQ13" s="7"/>
      <c r="AR13" s="7"/>
      <c r="AS13" s="7"/>
      <c r="AT13" s="7"/>
      <c r="AU13" s="7"/>
    </row>
    <row r="14" spans="3:47" ht="18.75" x14ac:dyDescent="0.3">
      <c r="C14" s="102"/>
      <c r="D14" s="75" t="s">
        <v>103</v>
      </c>
      <c r="E14" s="76">
        <v>25</v>
      </c>
      <c r="F14" s="88"/>
      <c r="G14" s="88"/>
      <c r="H14" s="75" t="s">
        <v>116</v>
      </c>
      <c r="I14" s="76">
        <v>2004</v>
      </c>
      <c r="J14" s="88"/>
      <c r="K14" s="88"/>
      <c r="L14" s="88"/>
      <c r="M14" s="85"/>
      <c r="N14" s="83"/>
      <c r="O14" s="83"/>
      <c r="P14" s="76"/>
      <c r="Q14" s="88"/>
      <c r="R14" s="88"/>
      <c r="S14" s="56"/>
      <c r="T14" s="83"/>
      <c r="U14" s="34"/>
      <c r="V14" s="49"/>
      <c r="W14" s="158"/>
      <c r="X14" s="83"/>
      <c r="Y14" s="49"/>
      <c r="Z14" s="34"/>
      <c r="AA14" s="49"/>
      <c r="AB14" s="56"/>
      <c r="AC14" s="83"/>
      <c r="AD14" s="49"/>
      <c r="AE14" s="83"/>
      <c r="AF14" s="157"/>
      <c r="AG14" s="83"/>
      <c r="AH14" s="187" t="s">
        <v>32</v>
      </c>
      <c r="AI14" s="186">
        <v>3</v>
      </c>
      <c r="AJ14" s="188">
        <v>-1</v>
      </c>
      <c r="AK14" s="155"/>
      <c r="AL14" s="56"/>
      <c r="AM14" s="83"/>
      <c r="AN14" s="34"/>
      <c r="AO14" s="7"/>
      <c r="AP14" s="103"/>
      <c r="AQ14" s="7"/>
      <c r="AR14" s="7"/>
      <c r="AS14" s="7"/>
      <c r="AT14" s="7"/>
      <c r="AU14" s="7"/>
    </row>
    <row r="15" spans="3:47" ht="18.75" x14ac:dyDescent="0.3">
      <c r="C15" s="102"/>
      <c r="D15" s="75" t="s">
        <v>104</v>
      </c>
      <c r="E15" s="204">
        <v>2.6</v>
      </c>
      <c r="F15" s="88"/>
      <c r="G15" s="88"/>
      <c r="H15" s="84" t="s">
        <v>117</v>
      </c>
      <c r="I15" s="76" t="s">
        <v>53</v>
      </c>
      <c r="J15" s="88"/>
      <c r="K15" s="88"/>
      <c r="L15" s="88"/>
      <c r="M15" s="85"/>
      <c r="N15" s="83"/>
      <c r="O15" s="83"/>
      <c r="P15" s="76"/>
      <c r="Q15" s="88"/>
      <c r="R15" s="88"/>
      <c r="S15" s="56"/>
      <c r="T15" s="83"/>
      <c r="U15" s="34"/>
      <c r="V15" s="49"/>
      <c r="W15" s="158"/>
      <c r="X15" s="83"/>
      <c r="Y15" s="83"/>
      <c r="Z15" s="76"/>
      <c r="AA15" s="83"/>
      <c r="AB15" s="158"/>
      <c r="AC15" s="83"/>
      <c r="AD15" s="83"/>
      <c r="AE15" s="83"/>
      <c r="AF15" s="157"/>
      <c r="AG15" s="83"/>
      <c r="AH15" s="187" t="s">
        <v>9</v>
      </c>
      <c r="AI15" s="186">
        <v>3</v>
      </c>
      <c r="AJ15" s="188">
        <v>-8</v>
      </c>
      <c r="AK15" s="155"/>
      <c r="AL15" s="56"/>
      <c r="AM15" s="83"/>
      <c r="AN15" s="34"/>
      <c r="AO15" s="7"/>
      <c r="AP15" s="103"/>
      <c r="AQ15" s="7"/>
      <c r="AR15" s="7"/>
      <c r="AS15" s="7"/>
      <c r="AT15" s="7"/>
      <c r="AU15" s="7"/>
    </row>
    <row r="16" spans="3:47" ht="18.75" x14ac:dyDescent="0.3">
      <c r="C16" s="102"/>
      <c r="D16" s="75" t="s">
        <v>105</v>
      </c>
      <c r="E16" s="204">
        <v>1.44</v>
      </c>
      <c r="F16" s="88"/>
      <c r="G16" s="88"/>
      <c r="H16" s="84" t="s">
        <v>101</v>
      </c>
      <c r="I16" s="76"/>
      <c r="J16" s="88"/>
      <c r="K16" s="88"/>
      <c r="L16" s="88"/>
      <c r="M16" s="85"/>
      <c r="N16" s="83"/>
      <c r="O16" s="83"/>
      <c r="P16" s="76"/>
      <c r="Q16" s="88"/>
      <c r="R16" s="88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83"/>
      <c r="AH16" s="180" t="s">
        <v>30</v>
      </c>
      <c r="AI16" s="181">
        <v>3</v>
      </c>
      <c r="AJ16" s="182">
        <v>9</v>
      </c>
      <c r="AK16" s="83"/>
      <c r="AL16" s="158"/>
      <c r="AM16" s="83"/>
      <c r="AN16" s="76"/>
      <c r="AO16" s="7"/>
      <c r="AP16" s="103"/>
      <c r="AQ16" s="7"/>
      <c r="AR16" s="7"/>
      <c r="AS16" s="7"/>
      <c r="AT16" s="7"/>
      <c r="AU16" s="7"/>
    </row>
    <row r="17" spans="3:47" ht="18.75" x14ac:dyDescent="0.3">
      <c r="C17" s="102"/>
      <c r="D17" s="75" t="s">
        <v>106</v>
      </c>
      <c r="E17" s="76"/>
      <c r="F17" s="88"/>
      <c r="G17" s="88"/>
      <c r="H17" s="84"/>
      <c r="I17" s="76"/>
      <c r="J17" s="88"/>
      <c r="K17" s="88"/>
      <c r="L17" s="88"/>
      <c r="M17" s="85"/>
      <c r="N17" s="83"/>
      <c r="O17" s="83"/>
      <c r="P17" s="76"/>
      <c r="Q17" s="88"/>
      <c r="R17" s="88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83"/>
      <c r="AH17" s="180" t="s">
        <v>29</v>
      </c>
      <c r="AI17" s="181">
        <v>4</v>
      </c>
      <c r="AJ17" s="182">
        <v>-1</v>
      </c>
      <c r="AK17" s="83"/>
      <c r="AL17" s="158"/>
      <c r="AM17" s="83"/>
      <c r="AN17" s="76"/>
      <c r="AO17" s="7"/>
      <c r="AP17" s="103"/>
      <c r="AQ17" s="7"/>
      <c r="AR17" s="7"/>
      <c r="AS17" s="7"/>
      <c r="AT17" s="7"/>
      <c r="AU17" s="7"/>
    </row>
    <row r="18" spans="3:47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3"/>
      <c r="O18" s="83"/>
      <c r="P18" s="76"/>
      <c r="Q18" s="88"/>
      <c r="R18" s="88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83"/>
      <c r="AH18" s="180" t="s">
        <v>9</v>
      </c>
      <c r="AI18" s="181">
        <v>4</v>
      </c>
      <c r="AJ18" s="182">
        <v>-0.57099999999999995</v>
      </c>
      <c r="AK18" s="83"/>
      <c r="AL18" s="158"/>
      <c r="AM18" s="83"/>
      <c r="AN18" s="76"/>
      <c r="AO18" s="7"/>
      <c r="AP18" s="103"/>
      <c r="AQ18" s="7"/>
      <c r="AR18" s="7"/>
      <c r="AS18" s="7"/>
      <c r="AT18" s="7"/>
      <c r="AU18" s="7"/>
    </row>
    <row r="19" spans="3:47" ht="19.5" thickBot="1" x14ac:dyDescent="0.35">
      <c r="C19" s="102"/>
      <c r="D19" s="75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3"/>
      <c r="O19" s="83"/>
      <c r="P19" s="76"/>
      <c r="Q19" s="88"/>
      <c r="R19" s="88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83"/>
      <c r="AH19" s="180" t="s">
        <v>31</v>
      </c>
      <c r="AI19" s="181">
        <v>4</v>
      </c>
      <c r="AJ19" s="182">
        <v>1.571</v>
      </c>
      <c r="AK19" s="83"/>
      <c r="AL19" s="158"/>
      <c r="AM19" s="83"/>
      <c r="AN19" s="76"/>
      <c r="AO19" s="7"/>
      <c r="AP19" s="103"/>
      <c r="AQ19" s="7"/>
      <c r="AR19" s="7"/>
      <c r="AS19" s="7"/>
      <c r="AT19" s="7"/>
      <c r="AU19" s="7"/>
    </row>
    <row r="20" spans="3:47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3"/>
      <c r="O20" s="83"/>
      <c r="P20" s="76"/>
      <c r="Q20" s="88"/>
      <c r="R20" s="88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83"/>
      <c r="AH20" s="287" t="s">
        <v>200</v>
      </c>
      <c r="AI20" s="284">
        <v>6</v>
      </c>
      <c r="AJ20" s="203">
        <v>-1</v>
      </c>
      <c r="AK20" s="83"/>
      <c r="AL20" s="158"/>
      <c r="AM20" s="83"/>
      <c r="AN20" s="76"/>
      <c r="AO20" s="7"/>
      <c r="AP20" s="103"/>
      <c r="AQ20" s="7"/>
      <c r="AR20" s="7"/>
      <c r="AS20" s="7"/>
      <c r="AT20" s="7"/>
      <c r="AU20" s="7"/>
    </row>
    <row r="21" spans="3:47" ht="18.75" x14ac:dyDescent="0.3">
      <c r="C21" s="102"/>
      <c r="D21" s="77" t="s">
        <v>110</v>
      </c>
      <c r="E21" s="76">
        <v>0.83</v>
      </c>
      <c r="F21" s="88"/>
      <c r="G21" s="88"/>
      <c r="H21" s="159"/>
      <c r="I21" s="76"/>
      <c r="J21" s="88"/>
      <c r="K21" s="88"/>
      <c r="L21" s="88"/>
      <c r="M21" s="159"/>
      <c r="N21" s="83"/>
      <c r="O21" s="83"/>
      <c r="P21" s="76"/>
      <c r="Q21" s="88"/>
      <c r="R21" s="88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83"/>
      <c r="AH21" s="158" t="s">
        <v>9</v>
      </c>
      <c r="AI21" s="186">
        <v>6</v>
      </c>
      <c r="AJ21" s="188">
        <v>-4</v>
      </c>
      <c r="AK21" s="83"/>
      <c r="AL21" s="158"/>
      <c r="AM21" s="83"/>
      <c r="AN21" s="76"/>
      <c r="AO21" s="7"/>
      <c r="AP21" s="103"/>
      <c r="AQ21" s="7"/>
      <c r="AR21" s="7"/>
      <c r="AS21" s="7"/>
      <c r="AT21" s="7"/>
      <c r="AU21" s="7"/>
    </row>
    <row r="22" spans="3:47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3"/>
      <c r="O22" s="83"/>
      <c r="P22" s="76"/>
      <c r="Q22" s="88"/>
      <c r="R22" s="88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83"/>
      <c r="AH22" s="158" t="s">
        <v>31</v>
      </c>
      <c r="AI22" s="186">
        <v>6</v>
      </c>
      <c r="AJ22" s="188">
        <v>2.75</v>
      </c>
      <c r="AK22" s="83"/>
      <c r="AL22" s="158"/>
      <c r="AM22" s="83"/>
      <c r="AN22" s="76"/>
      <c r="AO22" s="7"/>
      <c r="AP22" s="103"/>
      <c r="AQ22" s="7"/>
      <c r="AR22" s="7"/>
      <c r="AS22" s="7"/>
      <c r="AT22" s="7"/>
      <c r="AU22" s="7"/>
    </row>
    <row r="23" spans="3:47" ht="18.75" x14ac:dyDescent="0.3">
      <c r="C23" s="102"/>
      <c r="D23" s="77" t="s">
        <v>112</v>
      </c>
      <c r="E23" s="76"/>
      <c r="F23" s="88"/>
      <c r="G23" s="88"/>
      <c r="H23" s="159"/>
      <c r="I23" s="76"/>
      <c r="J23" s="88"/>
      <c r="K23" s="88"/>
      <c r="L23" s="88"/>
      <c r="M23" s="159"/>
      <c r="N23" s="83"/>
      <c r="O23" s="83"/>
      <c r="P23" s="76"/>
      <c r="Q23" s="88"/>
      <c r="R23" s="88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83"/>
      <c r="AH23" s="158" t="s">
        <v>30</v>
      </c>
      <c r="AI23" s="387">
        <v>6</v>
      </c>
      <c r="AJ23" s="386">
        <v>2.25</v>
      </c>
      <c r="AK23" s="83"/>
      <c r="AL23" s="158"/>
      <c r="AM23" s="83"/>
      <c r="AN23" s="76"/>
      <c r="AO23" s="7"/>
      <c r="AP23" s="103"/>
      <c r="AQ23" s="7"/>
      <c r="AR23" s="7"/>
      <c r="AS23" s="7"/>
      <c r="AT23" s="7"/>
      <c r="AU23" s="7"/>
    </row>
    <row r="24" spans="3:47" ht="18.75" x14ac:dyDescent="0.3">
      <c r="C24" s="102"/>
      <c r="D24" s="193" t="s">
        <v>135</v>
      </c>
      <c r="E24" s="76"/>
      <c r="F24" s="88"/>
      <c r="G24" s="88"/>
      <c r="H24" s="159"/>
      <c r="I24" s="76"/>
      <c r="J24" s="88"/>
      <c r="K24" s="88"/>
      <c r="L24" s="88"/>
      <c r="M24" s="159"/>
      <c r="N24" s="83"/>
      <c r="O24" s="83"/>
      <c r="P24" s="76"/>
      <c r="Q24" s="88"/>
      <c r="R24" s="88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83"/>
      <c r="AH24" s="158"/>
      <c r="AI24" s="83"/>
      <c r="AJ24" s="76"/>
      <c r="AK24" s="83"/>
      <c r="AL24" s="158"/>
      <c r="AM24" s="83"/>
      <c r="AN24" s="76"/>
      <c r="AO24" s="7"/>
      <c r="AP24" s="103"/>
      <c r="AQ24" s="7"/>
      <c r="AR24" s="7"/>
      <c r="AS24" s="7"/>
      <c r="AT24" s="7"/>
      <c r="AU24" s="7"/>
    </row>
    <row r="25" spans="3:47" ht="18.75" x14ac:dyDescent="0.3">
      <c r="C25" s="102"/>
      <c r="D25" s="193" t="s">
        <v>136</v>
      </c>
      <c r="E25" s="182"/>
      <c r="F25" s="163"/>
      <c r="G25" s="163"/>
      <c r="H25" s="175"/>
      <c r="I25" s="182"/>
      <c r="J25" s="163"/>
      <c r="K25" s="163"/>
      <c r="L25" s="163"/>
      <c r="M25" s="175"/>
      <c r="N25" s="181"/>
      <c r="O25" s="181"/>
      <c r="P25" s="182"/>
      <c r="Q25" s="163"/>
      <c r="R25" s="88"/>
      <c r="S25" s="158"/>
      <c r="T25" s="83"/>
      <c r="U25" s="76"/>
      <c r="V25" s="83"/>
      <c r="W25" s="180"/>
      <c r="X25" s="181"/>
      <c r="Y25" s="181"/>
      <c r="Z25" s="182"/>
      <c r="AA25" s="83"/>
      <c r="AB25" s="158"/>
      <c r="AC25" s="83"/>
      <c r="AD25" s="83"/>
      <c r="AE25" s="83"/>
      <c r="AF25" s="76"/>
      <c r="AG25" s="83"/>
      <c r="AH25" s="158"/>
      <c r="AI25" s="83"/>
      <c r="AJ25" s="76"/>
      <c r="AK25" s="83"/>
      <c r="AL25" s="158"/>
      <c r="AM25" s="83"/>
      <c r="AN25" s="76"/>
      <c r="AO25" s="7"/>
      <c r="AP25" s="103"/>
      <c r="AQ25" s="7"/>
      <c r="AR25" s="7"/>
      <c r="AS25" s="7"/>
      <c r="AT25" s="7"/>
      <c r="AU25" s="7"/>
    </row>
    <row r="26" spans="3:47" ht="19.5" thickBot="1" x14ac:dyDescent="0.35">
      <c r="C26" s="102"/>
      <c r="D26" s="195" t="s">
        <v>137</v>
      </c>
      <c r="E26" s="76"/>
      <c r="F26" s="88"/>
      <c r="G26" s="88"/>
      <c r="H26" s="159"/>
      <c r="I26" s="76"/>
      <c r="J26" s="88"/>
      <c r="K26" s="88"/>
      <c r="L26" s="88"/>
      <c r="M26" s="159"/>
      <c r="N26" s="83"/>
      <c r="O26" s="83"/>
      <c r="P26" s="76"/>
      <c r="Q26" s="88"/>
      <c r="R26" s="88"/>
      <c r="S26" s="158"/>
      <c r="T26" s="83"/>
      <c r="U26" s="76"/>
      <c r="V26" s="83"/>
      <c r="W26" s="180"/>
      <c r="X26" s="181"/>
      <c r="Y26" s="181"/>
      <c r="Z26" s="182"/>
      <c r="AA26" s="83"/>
      <c r="AB26" s="158"/>
      <c r="AC26" s="83"/>
      <c r="AD26" s="83"/>
      <c r="AE26" s="83"/>
      <c r="AF26" s="76"/>
      <c r="AG26" s="83"/>
      <c r="AH26" s="158"/>
      <c r="AI26" s="83"/>
      <c r="AJ26" s="76"/>
      <c r="AK26" s="83"/>
      <c r="AL26" s="158"/>
      <c r="AM26" s="83"/>
      <c r="AN26" s="76"/>
      <c r="AO26" s="7"/>
      <c r="AP26" s="103"/>
      <c r="AQ26" s="7"/>
      <c r="AR26" s="7"/>
      <c r="AS26" s="7"/>
      <c r="AT26" s="7"/>
      <c r="AU26" s="7"/>
    </row>
    <row r="27" spans="3:47" ht="19.5" thickBot="1" x14ac:dyDescent="0.35">
      <c r="C27" s="102"/>
      <c r="D27" s="160"/>
      <c r="E27" s="79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88"/>
      <c r="S27" s="161"/>
      <c r="T27" s="162"/>
      <c r="U27" s="79"/>
      <c r="V27" s="83"/>
      <c r="W27" s="183"/>
      <c r="X27" s="184"/>
      <c r="Y27" s="184"/>
      <c r="Z27" s="185"/>
      <c r="AA27" s="83"/>
      <c r="AB27" s="161"/>
      <c r="AC27" s="162"/>
      <c r="AD27" s="162"/>
      <c r="AE27" s="162"/>
      <c r="AF27" s="79"/>
      <c r="AG27" s="83"/>
      <c r="AH27" s="161"/>
      <c r="AI27" s="162"/>
      <c r="AJ27" s="79"/>
      <c r="AK27" s="83"/>
      <c r="AL27" s="161"/>
      <c r="AM27" s="162"/>
      <c r="AN27" s="79"/>
      <c r="AO27" s="7"/>
      <c r="AP27" s="103"/>
      <c r="AQ27" s="7"/>
      <c r="AR27" s="7"/>
      <c r="AS27" s="7"/>
      <c r="AT27" s="7"/>
      <c r="AU27" s="7"/>
    </row>
    <row r="28" spans="3:47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03"/>
      <c r="AQ28" s="7"/>
      <c r="AR28" s="7"/>
      <c r="AS28" s="7"/>
      <c r="AT28" s="7"/>
      <c r="AU28" s="7"/>
    </row>
    <row r="29" spans="3:47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03"/>
      <c r="AQ29" s="7"/>
      <c r="AR29" s="7"/>
      <c r="AS29" s="7"/>
      <c r="AT29" s="7"/>
      <c r="AU29" s="7"/>
    </row>
    <row r="30" spans="3:47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03"/>
      <c r="AQ30" s="7"/>
      <c r="AR30" s="7"/>
      <c r="AS30" s="7"/>
      <c r="AT30" s="7"/>
      <c r="AU30" s="7"/>
    </row>
    <row r="31" spans="3:47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03"/>
      <c r="AQ31" s="7"/>
      <c r="AR31" s="7"/>
      <c r="AS31" s="7"/>
      <c r="AT31" s="7"/>
      <c r="AU31" s="7"/>
    </row>
    <row r="32" spans="3:47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03"/>
      <c r="AQ32" s="7"/>
      <c r="AR32" s="7"/>
      <c r="AS32" s="7"/>
      <c r="AT32" s="7"/>
      <c r="AU32" s="7"/>
    </row>
    <row r="33" spans="3:47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03"/>
      <c r="AQ33" s="7"/>
      <c r="AR33" s="7"/>
      <c r="AS33" s="7"/>
      <c r="AT33" s="7"/>
      <c r="AU33" s="7"/>
    </row>
    <row r="34" spans="3:47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03"/>
      <c r="AQ34" s="7"/>
      <c r="AR34" s="7"/>
      <c r="AS34" s="7"/>
      <c r="AT34" s="7"/>
      <c r="AU34" s="7"/>
    </row>
    <row r="35" spans="3:47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03"/>
      <c r="AQ35" s="7"/>
      <c r="AR35" s="7"/>
      <c r="AS35" s="7"/>
      <c r="AT35" s="7"/>
      <c r="AU35" s="7"/>
    </row>
    <row r="36" spans="3:47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03"/>
      <c r="AQ36" s="7"/>
      <c r="AR36" s="7"/>
      <c r="AS36" s="7"/>
      <c r="AT36" s="7"/>
      <c r="AU36" s="7"/>
    </row>
    <row r="37" spans="3:47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03"/>
      <c r="AQ37" s="7"/>
      <c r="AR37" s="7"/>
      <c r="AS37" s="7"/>
      <c r="AT37" s="7"/>
      <c r="AU37" s="7"/>
    </row>
    <row r="38" spans="3:47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03"/>
      <c r="AQ38" s="7"/>
      <c r="AR38" s="7"/>
      <c r="AS38" s="7"/>
      <c r="AT38" s="7"/>
      <c r="AU38" s="7"/>
    </row>
    <row r="39" spans="3:47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03"/>
      <c r="AQ39" s="7"/>
      <c r="AR39" s="7"/>
      <c r="AS39" s="7"/>
      <c r="AT39" s="7"/>
      <c r="AU39" s="7"/>
    </row>
    <row r="40" spans="3:47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03"/>
      <c r="AQ40" s="7"/>
      <c r="AR40" s="7"/>
      <c r="AS40" s="7"/>
      <c r="AT40" s="7"/>
      <c r="AU40" s="7"/>
    </row>
    <row r="41" spans="3:47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03"/>
      <c r="AQ41" s="7"/>
      <c r="AR41" s="7"/>
      <c r="AS41" s="7"/>
      <c r="AT41" s="7"/>
      <c r="AU41" s="7"/>
    </row>
    <row r="42" spans="3:47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03"/>
      <c r="AQ42" s="7"/>
      <c r="AR42" s="7"/>
      <c r="AS42" s="7"/>
      <c r="AT42" s="7"/>
      <c r="AU42" s="7"/>
    </row>
    <row r="43" spans="3:47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03"/>
      <c r="AQ43" s="7"/>
      <c r="AR43" s="7"/>
      <c r="AS43" s="7"/>
      <c r="AT43" s="7"/>
      <c r="AU43" s="7"/>
    </row>
    <row r="44" spans="3:47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03"/>
      <c r="AQ44" s="7"/>
      <c r="AR44" s="7"/>
      <c r="AS44" s="7"/>
      <c r="AT44" s="7"/>
      <c r="AU44" s="7"/>
    </row>
    <row r="45" spans="3:47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03"/>
      <c r="AQ45" s="7"/>
      <c r="AR45" s="7"/>
      <c r="AS45" s="7"/>
      <c r="AT45" s="7"/>
      <c r="AU45" s="7"/>
    </row>
    <row r="46" spans="3:47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03"/>
      <c r="AQ46" s="7"/>
      <c r="AR46" s="7"/>
      <c r="AS46" s="7"/>
      <c r="AT46" s="7"/>
      <c r="AU46" s="7"/>
    </row>
    <row r="47" spans="3:47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1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03"/>
      <c r="AQ47" s="7"/>
      <c r="AR47" s="7"/>
      <c r="AS47" s="7"/>
      <c r="AT47" s="7"/>
      <c r="AU47" s="7"/>
    </row>
    <row r="48" spans="3:47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03"/>
      <c r="AQ48" s="7"/>
      <c r="AR48" s="7"/>
      <c r="AS48" s="7"/>
      <c r="AT48" s="7"/>
      <c r="AU48" s="7"/>
    </row>
    <row r="49" spans="3:47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03"/>
      <c r="AQ49" s="7"/>
      <c r="AR49" s="7"/>
      <c r="AS49" s="7"/>
      <c r="AT49" s="7"/>
      <c r="AU49" s="7"/>
    </row>
    <row r="50" spans="3:47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03"/>
      <c r="AQ50" s="7"/>
      <c r="AR50" s="7"/>
      <c r="AS50" s="7"/>
      <c r="AT50" s="7"/>
      <c r="AU50" s="7"/>
    </row>
    <row r="51" spans="3:47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03"/>
      <c r="AQ51" s="7"/>
      <c r="AR51" s="7"/>
      <c r="AS51" s="7"/>
      <c r="AT51" s="7"/>
      <c r="AU51" s="7"/>
    </row>
    <row r="52" spans="3:47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03"/>
      <c r="AQ52" s="7"/>
      <c r="AR52" s="7"/>
      <c r="AS52" s="7"/>
      <c r="AT52" s="7"/>
      <c r="AU52" s="7"/>
    </row>
    <row r="53" spans="3:47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03"/>
      <c r="AQ53" s="7"/>
      <c r="AR53" s="7"/>
      <c r="AS53" s="7"/>
      <c r="AT53" s="7"/>
      <c r="AU53" s="7"/>
    </row>
    <row r="54" spans="3:47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03"/>
      <c r="AQ54" s="7"/>
      <c r="AR54" s="7"/>
      <c r="AS54" s="7"/>
      <c r="AT54" s="7"/>
      <c r="AU54" s="7"/>
    </row>
    <row r="55" spans="3:47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03"/>
      <c r="AQ55" s="7"/>
      <c r="AR55" s="7"/>
      <c r="AS55" s="7"/>
      <c r="AT55" s="7"/>
      <c r="AU55" s="7"/>
    </row>
    <row r="56" spans="3:47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03"/>
      <c r="AQ56" s="7"/>
      <c r="AR56" s="7"/>
      <c r="AS56" s="7"/>
      <c r="AT56" s="7"/>
      <c r="AU56" s="7"/>
    </row>
    <row r="57" spans="3:47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03"/>
      <c r="AQ57" s="7"/>
      <c r="AR57" s="7"/>
      <c r="AS57" s="7"/>
      <c r="AT57" s="7"/>
      <c r="AU57" s="7"/>
    </row>
    <row r="58" spans="3:47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03"/>
      <c r="AQ58" s="7"/>
      <c r="AR58" s="7"/>
      <c r="AS58" s="7"/>
      <c r="AT58" s="7"/>
      <c r="AU58" s="7"/>
    </row>
    <row r="59" spans="3:47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03"/>
      <c r="AQ59" s="7"/>
      <c r="AR59" s="7"/>
      <c r="AS59" s="7"/>
      <c r="AT59" s="7"/>
      <c r="AU59" s="7"/>
    </row>
    <row r="60" spans="3:47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03"/>
      <c r="AQ60" s="7"/>
      <c r="AR60" s="7"/>
      <c r="AS60" s="7"/>
      <c r="AT60" s="7"/>
      <c r="AU60" s="7"/>
    </row>
    <row r="61" spans="3:47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03"/>
      <c r="AQ61" s="7"/>
      <c r="AR61" s="7"/>
      <c r="AS61" s="7"/>
      <c r="AT61" s="7"/>
      <c r="AU61" s="7"/>
    </row>
    <row r="62" spans="3:47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03"/>
      <c r="AQ62" s="7"/>
      <c r="AR62" s="7"/>
      <c r="AS62" s="7"/>
      <c r="AT62" s="7"/>
      <c r="AU62" s="7"/>
    </row>
    <row r="63" spans="3:47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03"/>
      <c r="AQ63" s="7"/>
      <c r="AR63" s="7"/>
      <c r="AS63" s="7"/>
      <c r="AT63" s="7"/>
      <c r="AU63" s="7"/>
    </row>
    <row r="64" spans="3:47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03"/>
      <c r="AQ64" s="7"/>
      <c r="AR64" s="7"/>
      <c r="AS64" s="7"/>
      <c r="AT64" s="7"/>
      <c r="AU64" s="7"/>
    </row>
    <row r="65" spans="3:47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03"/>
      <c r="AQ65" s="7"/>
      <c r="AR65" s="7"/>
      <c r="AS65" s="7"/>
      <c r="AT65" s="7"/>
      <c r="AU65" s="7"/>
    </row>
    <row r="66" spans="3:47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03"/>
      <c r="AQ66" s="7"/>
      <c r="AR66" s="7"/>
      <c r="AS66" s="7"/>
      <c r="AT66" s="7"/>
      <c r="AU66" s="7"/>
    </row>
    <row r="67" spans="3:47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03"/>
      <c r="AQ67" s="7"/>
      <c r="AR67" s="7"/>
      <c r="AS67" s="7"/>
      <c r="AT67" s="7"/>
      <c r="AU67" s="7"/>
    </row>
    <row r="68" spans="3:47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03"/>
      <c r="AQ68" s="7"/>
      <c r="AR68" s="7"/>
      <c r="AS68" s="7"/>
      <c r="AT68" s="7"/>
      <c r="AU68" s="7"/>
    </row>
    <row r="69" spans="3:47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03"/>
      <c r="AQ69" s="7"/>
      <c r="AR69" s="7"/>
      <c r="AS69" s="7"/>
      <c r="AT69" s="7"/>
      <c r="AU69" s="7"/>
    </row>
    <row r="70" spans="3:47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70"/>
      <c r="AQ70" s="7"/>
      <c r="AR70" s="7"/>
      <c r="AS70" s="7"/>
      <c r="AT70" s="7"/>
      <c r="AU70" s="7"/>
    </row>
    <row r="71" spans="3:47" x14ac:dyDescent="0.25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 x14ac:dyDescent="0.25">
      <c r="H127" s="3" t="s">
        <v>49</v>
      </c>
    </row>
    <row r="137" spans="17:17" x14ac:dyDescent="0.25">
      <c r="Q137" s="3" t="s">
        <v>49</v>
      </c>
    </row>
  </sheetData>
  <mergeCells count="13">
    <mergeCell ref="AL8:AN8"/>
    <mergeCell ref="X9:Z9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385113A-A1EA-4143-BDA4-8BECDFE9D1F5}">
          <x14:formula1>
            <xm:f>DataBank!$A$3:$A$5</xm:f>
          </x14:formula1>
          <xm:sqref>N11:P11</xm:sqref>
        </x14:dataValidation>
        <x14:dataValidation type="list" allowBlank="1" showInputMessage="1" showErrorMessage="1" xr:uid="{A397D358-BDB2-40E5-B491-D8128F807941}">
          <x14:formula1>
            <xm:f>Systemblatt!$E$5:$E$12</xm:f>
          </x14:formula1>
          <xm:sqref>I16:I17 T10:T24 N12:P13 AM14:AM30 AH24:AH30 AE14:AE24 AC11:AC24</xm:sqref>
        </x14:dataValidation>
        <x14:dataValidation type="list" allowBlank="1" showInputMessage="1" showErrorMessage="1" xr:uid="{D2D39D36-2E6F-43FA-BC98-0BAEDEE29A67}">
          <x14:formula1>
            <xm:f>DataBank!$A$3:$A$6</xm:f>
          </x14:formula1>
          <xm:sqref>I15</xm:sqref>
        </x14:dataValidation>
        <x14:dataValidation type="whole" allowBlank="1" showInputMessage="1" showErrorMessage="1" xr:uid="{62B8C8D6-0222-4C53-A26C-A9DD5B2D5859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0B31925E-6E46-074A-A2E9-9DEC6E740268}">
          <x14:formula1>
            <xm:f>'C:\Users\philippkenkel\Seafile\RESILIENTE ENERGIESYSTEME\Intern\[TEST_CASE.xlsm]Systemblatt'!#REF!</xm:f>
          </x14:formula1>
          <xm:sqref>AH20:AH23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52C1-4A36-8B40-9578-501B0ABBD717}">
  <sheetPr codeName="Tabelle66"/>
  <dimension ref="C1:AO130"/>
  <sheetViews>
    <sheetView topLeftCell="L1" zoomScale="89" zoomScaleNormal="58" workbookViewId="0">
      <selection activeCell="Y11" sqref="Y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112"/>
      <c r="D2" s="113" t="s">
        <v>231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13"/>
      <c r="AL2" s="113"/>
      <c r="AM2" s="113"/>
      <c r="AN2" s="113"/>
      <c r="AO2" s="124"/>
    </row>
    <row r="3" spans="3:41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7"/>
      <c r="AL3" s="7"/>
      <c r="AM3" s="7"/>
      <c r="AN3" s="7"/>
      <c r="AO3" s="103"/>
    </row>
    <row r="4" spans="3:41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7"/>
      <c r="AL4" s="7"/>
      <c r="AM4" s="7"/>
      <c r="AN4" s="7"/>
      <c r="AO4" s="103"/>
    </row>
    <row r="5" spans="3:41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7"/>
      <c r="AL5" s="7"/>
      <c r="AM5" s="7"/>
      <c r="AN5" s="7"/>
      <c r="AO5" s="103"/>
    </row>
    <row r="6" spans="3:41" x14ac:dyDescent="0.25">
      <c r="C6" s="102"/>
      <c r="D6" s="513"/>
      <c r="E6" s="513"/>
      <c r="F6" s="7"/>
      <c r="G6" s="7"/>
      <c r="H6" s="513"/>
      <c r="I6" s="513"/>
      <c r="J6" s="20"/>
      <c r="K6" s="20"/>
      <c r="L6" s="7"/>
      <c r="M6" s="513" t="s">
        <v>232</v>
      </c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3"/>
      <c r="AL6" s="13"/>
      <c r="AM6" s="13"/>
      <c r="AN6" s="13"/>
      <c r="AO6" s="103"/>
    </row>
    <row r="7" spans="3:41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7"/>
      <c r="AJ7" s="7"/>
      <c r="AK7" s="7"/>
      <c r="AL7" s="7"/>
      <c r="AM7" s="7"/>
      <c r="AN7" s="7"/>
      <c r="AO7" s="103"/>
    </row>
    <row r="8" spans="3:41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99" t="s">
        <v>124</v>
      </c>
      <c r="T8" s="600"/>
      <c r="U8" s="601"/>
      <c r="V8" s="401"/>
      <c r="W8" s="602" t="s">
        <v>197</v>
      </c>
      <c r="X8" s="603"/>
      <c r="Y8" s="603"/>
      <c r="Z8" s="604"/>
      <c r="AA8" s="13"/>
      <c r="AB8" s="602" t="s">
        <v>134</v>
      </c>
      <c r="AC8" s="603"/>
      <c r="AD8" s="603"/>
      <c r="AE8" s="603"/>
      <c r="AF8" s="604"/>
      <c r="AG8" s="13"/>
      <c r="AH8" s="593" t="s">
        <v>11</v>
      </c>
      <c r="AI8" s="594"/>
      <c r="AJ8" s="595"/>
      <c r="AK8" s="402"/>
      <c r="AL8" s="593" t="s">
        <v>12</v>
      </c>
      <c r="AM8" s="594"/>
      <c r="AN8" s="595"/>
      <c r="AO8" s="103"/>
    </row>
    <row r="9" spans="3:41" ht="21.75" thickBot="1" x14ac:dyDescent="0.4">
      <c r="C9" s="102"/>
      <c r="D9" s="403" t="s">
        <v>73</v>
      </c>
      <c r="E9" s="404" t="s">
        <v>1</v>
      </c>
      <c r="F9" s="7"/>
      <c r="G9" s="7"/>
      <c r="H9" s="82" t="s">
        <v>73</v>
      </c>
      <c r="I9" s="405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406" t="s">
        <v>126</v>
      </c>
      <c r="T9" s="406" t="s">
        <v>76</v>
      </c>
      <c r="U9" s="406" t="s">
        <v>127</v>
      </c>
      <c r="V9" s="407"/>
      <c r="W9" s="408" t="s">
        <v>188</v>
      </c>
      <c r="X9" s="596"/>
      <c r="Y9" s="597"/>
      <c r="Z9" s="598"/>
      <c r="AA9" s="13"/>
      <c r="AB9" s="406" t="s">
        <v>131</v>
      </c>
      <c r="AC9" s="406" t="s">
        <v>130</v>
      </c>
      <c r="AD9" s="406" t="s">
        <v>8</v>
      </c>
      <c r="AE9" s="406" t="s">
        <v>132</v>
      </c>
      <c r="AF9" s="406" t="s">
        <v>133</v>
      </c>
      <c r="AG9" s="13"/>
      <c r="AH9" s="409" t="s">
        <v>13</v>
      </c>
      <c r="AI9" s="409" t="s">
        <v>14</v>
      </c>
      <c r="AJ9" s="409" t="s">
        <v>1</v>
      </c>
      <c r="AK9" s="410"/>
      <c r="AL9" s="409" t="s">
        <v>15</v>
      </c>
      <c r="AM9" s="409" t="s">
        <v>16</v>
      </c>
      <c r="AN9" s="409" t="s">
        <v>17</v>
      </c>
      <c r="AO9" s="103"/>
    </row>
    <row r="10" spans="3:41" ht="18.75" x14ac:dyDescent="0.3">
      <c r="C10" s="102"/>
      <c r="D10" s="411" t="s">
        <v>2</v>
      </c>
      <c r="E10" s="74" t="s">
        <v>233</v>
      </c>
      <c r="F10" s="88"/>
      <c r="G10" s="88"/>
      <c r="H10" s="412" t="s">
        <v>3</v>
      </c>
      <c r="I10" s="76"/>
      <c r="J10" s="88"/>
      <c r="K10" s="88"/>
      <c r="L10" s="88"/>
      <c r="M10" s="412" t="s">
        <v>121</v>
      </c>
      <c r="N10" s="186">
        <v>2.1000000000000001E-2</v>
      </c>
      <c r="O10" s="186"/>
      <c r="P10" s="86"/>
      <c r="Q10" s="88"/>
      <c r="R10" s="163"/>
      <c r="S10" s="152">
        <v>6110</v>
      </c>
      <c r="T10" s="153" t="s">
        <v>31</v>
      </c>
      <c r="U10" s="154">
        <v>0.9</v>
      </c>
      <c r="V10" s="413"/>
      <c r="W10" s="152">
        <v>116</v>
      </c>
      <c r="X10" s="83">
        <v>6110</v>
      </c>
      <c r="Y10" s="153">
        <v>666</v>
      </c>
      <c r="Z10" s="154"/>
      <c r="AA10" s="83"/>
      <c r="AB10" s="414"/>
      <c r="AC10" s="93"/>
      <c r="AD10" s="415"/>
      <c r="AE10" s="93"/>
      <c r="AF10" s="416"/>
      <c r="AG10" s="181"/>
      <c r="AH10" s="187"/>
      <c r="AI10" s="186"/>
      <c r="AJ10" s="188"/>
      <c r="AK10" s="417"/>
      <c r="AL10" s="189"/>
      <c r="AM10" s="190"/>
      <c r="AN10" s="191"/>
      <c r="AO10" s="103"/>
    </row>
    <row r="11" spans="3:41" ht="18.75" x14ac:dyDescent="0.3">
      <c r="C11" s="102"/>
      <c r="D11" s="412" t="s">
        <v>4</v>
      </c>
      <c r="E11" s="154">
        <v>6100</v>
      </c>
      <c r="F11" s="88"/>
      <c r="G11" s="88"/>
      <c r="H11" s="412" t="s">
        <v>113</v>
      </c>
      <c r="I11" s="154">
        <f>3.73*0.85</f>
        <v>3.1705000000000001</v>
      </c>
      <c r="J11" s="88"/>
      <c r="K11" s="88"/>
      <c r="L11" s="88"/>
      <c r="M11" s="418" t="s">
        <v>122</v>
      </c>
      <c r="N11" s="186" t="s">
        <v>234</v>
      </c>
      <c r="O11" s="186"/>
      <c r="P11" s="86"/>
      <c r="Q11" s="88"/>
      <c r="R11" s="163"/>
      <c r="S11" s="152">
        <v>6110</v>
      </c>
      <c r="T11" s="153" t="s">
        <v>200</v>
      </c>
      <c r="U11" s="154">
        <v>0.01</v>
      </c>
      <c r="V11" s="413"/>
      <c r="W11" s="158"/>
      <c r="X11" s="83"/>
      <c r="Y11" s="413"/>
      <c r="Z11" s="419"/>
      <c r="AA11" s="83"/>
      <c r="AB11" s="420"/>
      <c r="AC11" s="83"/>
      <c r="AD11" s="413"/>
      <c r="AE11" s="83"/>
      <c r="AF11" s="419"/>
      <c r="AG11" s="181"/>
      <c r="AH11" s="187"/>
      <c r="AI11" s="186"/>
      <c r="AJ11" s="188"/>
      <c r="AK11" s="417"/>
      <c r="AL11" s="421"/>
      <c r="AM11" s="422"/>
      <c r="AN11" s="423"/>
      <c r="AO11" s="103"/>
    </row>
    <row r="12" spans="3:41" ht="18.75" x14ac:dyDescent="0.3">
      <c r="C12" s="102"/>
      <c r="D12" s="412" t="s">
        <v>90</v>
      </c>
      <c r="E12" s="154"/>
      <c r="F12" s="88"/>
      <c r="G12" s="88"/>
      <c r="H12" s="412" t="s">
        <v>114</v>
      </c>
      <c r="I12" s="154">
        <v>17.600000000000001</v>
      </c>
      <c r="J12" s="88"/>
      <c r="K12" s="88"/>
      <c r="L12" s="88"/>
      <c r="M12" s="418" t="s">
        <v>123</v>
      </c>
      <c r="N12" s="186" t="s">
        <v>31</v>
      </c>
      <c r="O12" s="186"/>
      <c r="P12" s="86"/>
      <c r="Q12" s="88"/>
      <c r="R12" s="163"/>
      <c r="S12" s="187">
        <v>666</v>
      </c>
      <c r="T12" s="186" t="s">
        <v>31</v>
      </c>
      <c r="U12" s="188">
        <v>0.1</v>
      </c>
      <c r="V12" s="413"/>
      <c r="W12" s="158"/>
      <c r="X12" s="83"/>
      <c r="Y12" s="424"/>
      <c r="Z12" s="425"/>
      <c r="AA12" s="424"/>
      <c r="AB12" s="426"/>
      <c r="AC12" s="83"/>
      <c r="AD12" s="424"/>
      <c r="AE12" s="83"/>
      <c r="AF12" s="419"/>
      <c r="AG12" s="181"/>
      <c r="AH12" s="187"/>
      <c r="AI12" s="186"/>
      <c r="AJ12" s="188"/>
      <c r="AK12" s="417"/>
      <c r="AL12" s="421"/>
      <c r="AM12" s="422"/>
      <c r="AN12" s="423"/>
      <c r="AO12" s="103"/>
    </row>
    <row r="13" spans="3:41" ht="18.75" x14ac:dyDescent="0.3">
      <c r="C13" s="102"/>
      <c r="D13" s="412" t="s">
        <v>102</v>
      </c>
      <c r="E13" s="154" t="s">
        <v>233</v>
      </c>
      <c r="F13" s="88"/>
      <c r="G13" s="88"/>
      <c r="H13" s="412" t="s">
        <v>115</v>
      </c>
      <c r="I13" s="154">
        <v>0.6</v>
      </c>
      <c r="J13" s="88"/>
      <c r="K13" s="88"/>
      <c r="L13" s="88"/>
      <c r="M13" s="418"/>
      <c r="N13" s="83" t="s">
        <v>200</v>
      </c>
      <c r="O13" s="83"/>
      <c r="P13" s="86"/>
      <c r="Q13" s="88"/>
      <c r="R13" s="163"/>
      <c r="S13" s="180">
        <v>666</v>
      </c>
      <c r="T13" s="181" t="s">
        <v>200</v>
      </c>
      <c r="U13" s="182">
        <v>0.99</v>
      </c>
      <c r="V13" s="424"/>
      <c r="W13" s="158"/>
      <c r="X13" s="83"/>
      <c r="Y13" s="424"/>
      <c r="Z13" s="425"/>
      <c r="AA13" s="424"/>
      <c r="AB13" s="426"/>
      <c r="AC13" s="83"/>
      <c r="AD13" s="424"/>
      <c r="AE13" s="83"/>
      <c r="AF13" s="419"/>
      <c r="AG13" s="181"/>
      <c r="AH13" s="420"/>
      <c r="AI13" s="413"/>
      <c r="AJ13" s="419"/>
      <c r="AK13" s="417"/>
      <c r="AL13" s="427"/>
      <c r="AM13" s="422"/>
      <c r="AN13" s="428"/>
      <c r="AO13" s="103"/>
    </row>
    <row r="14" spans="3:41" ht="18.75" x14ac:dyDescent="0.3">
      <c r="C14" s="102"/>
      <c r="D14" s="412" t="s">
        <v>103</v>
      </c>
      <c r="E14" s="76">
        <v>20</v>
      </c>
      <c r="F14" s="88"/>
      <c r="G14" s="88"/>
      <c r="H14" s="412" t="s">
        <v>116</v>
      </c>
      <c r="I14" s="154">
        <v>2013</v>
      </c>
      <c r="J14" s="88"/>
      <c r="K14" s="88"/>
      <c r="L14" s="88"/>
      <c r="M14" s="85"/>
      <c r="N14" s="88"/>
      <c r="O14" s="88"/>
      <c r="P14" s="86"/>
      <c r="Q14" s="88"/>
      <c r="R14" s="163"/>
      <c r="S14" s="426"/>
      <c r="T14" s="186"/>
      <c r="U14" s="188"/>
      <c r="V14" s="424"/>
      <c r="W14" s="158"/>
      <c r="X14" s="83"/>
      <c r="Y14" s="424"/>
      <c r="Z14" s="425"/>
      <c r="AA14" s="424"/>
      <c r="AB14" s="426"/>
      <c r="AC14" s="83"/>
      <c r="AD14" s="424"/>
      <c r="AE14" s="83"/>
      <c r="AF14" s="419"/>
      <c r="AG14" s="181"/>
      <c r="AH14" s="420"/>
      <c r="AI14" s="413"/>
      <c r="AJ14" s="419"/>
      <c r="AK14" s="417"/>
      <c r="AL14" s="427"/>
      <c r="AM14" s="422"/>
      <c r="AN14" s="428"/>
      <c r="AO14" s="103"/>
    </row>
    <row r="15" spans="3:41" ht="18.75" x14ac:dyDescent="0.3">
      <c r="C15" s="102"/>
      <c r="D15" s="412" t="s">
        <v>104</v>
      </c>
      <c r="E15" s="76">
        <v>2.6</v>
      </c>
      <c r="F15" s="88"/>
      <c r="G15" s="88"/>
      <c r="H15" s="418" t="s">
        <v>117</v>
      </c>
      <c r="I15" s="76" t="s">
        <v>27</v>
      </c>
      <c r="J15" s="88"/>
      <c r="K15" s="88"/>
      <c r="L15" s="88"/>
      <c r="M15" s="85"/>
      <c r="N15" s="88"/>
      <c r="O15" s="88"/>
      <c r="P15" s="86"/>
      <c r="Q15" s="88"/>
      <c r="R15" s="163"/>
      <c r="S15" s="426"/>
      <c r="T15" s="181"/>
      <c r="U15" s="182"/>
      <c r="V15" s="424"/>
      <c r="W15" s="158"/>
      <c r="X15" s="83"/>
      <c r="Y15" s="83"/>
      <c r="Z15" s="76"/>
      <c r="AA15" s="83"/>
      <c r="AB15" s="158"/>
      <c r="AC15" s="83"/>
      <c r="AD15" s="83"/>
      <c r="AE15" s="83"/>
      <c r="AF15" s="419"/>
      <c r="AG15" s="181"/>
      <c r="AH15" s="420"/>
      <c r="AI15" s="413"/>
      <c r="AJ15" s="419"/>
      <c r="AK15" s="417"/>
      <c r="AL15" s="427"/>
      <c r="AM15" s="422"/>
      <c r="AN15" s="428"/>
      <c r="AO15" s="103"/>
    </row>
    <row r="16" spans="3:41" ht="18.75" x14ac:dyDescent="0.3">
      <c r="C16" s="102"/>
      <c r="D16" s="412" t="s">
        <v>105</v>
      </c>
      <c r="E16" s="76">
        <v>1.44</v>
      </c>
      <c r="F16" s="88"/>
      <c r="G16" s="88"/>
      <c r="H16" s="418" t="s">
        <v>101</v>
      </c>
      <c r="I16" s="76" t="s">
        <v>31</v>
      </c>
      <c r="J16" s="88"/>
      <c r="K16" s="88"/>
      <c r="L16" s="88"/>
      <c r="M16" s="85"/>
      <c r="N16" s="88"/>
      <c r="O16" s="88"/>
      <c r="P16" s="8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420"/>
      <c r="AI16" s="83"/>
      <c r="AJ16" s="76"/>
      <c r="AK16" s="88"/>
      <c r="AL16" s="159"/>
      <c r="AM16" s="422"/>
      <c r="AN16" s="86"/>
      <c r="AO16" s="103"/>
    </row>
    <row r="17" spans="3:41" ht="18.75" x14ac:dyDescent="0.3">
      <c r="C17" s="102"/>
      <c r="D17" s="412" t="s">
        <v>106</v>
      </c>
      <c r="E17" s="76"/>
      <c r="F17" s="88"/>
      <c r="G17" s="88"/>
      <c r="H17" s="418"/>
      <c r="I17" s="76"/>
      <c r="J17" s="88"/>
      <c r="K17" s="88"/>
      <c r="L17" s="88"/>
      <c r="M17" s="85"/>
      <c r="N17" s="88"/>
      <c r="O17" s="88"/>
      <c r="P17" s="8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420"/>
      <c r="AI17" s="83"/>
      <c r="AJ17" s="76"/>
      <c r="AK17" s="88"/>
      <c r="AL17" s="159"/>
      <c r="AM17" s="422"/>
      <c r="AN17" s="86"/>
      <c r="AO17" s="103"/>
    </row>
    <row r="18" spans="3:41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8"/>
      <c r="O18" s="88"/>
      <c r="P18" s="8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420"/>
      <c r="AI18" s="83"/>
      <c r="AJ18" s="76"/>
      <c r="AK18" s="88"/>
      <c r="AL18" s="159"/>
      <c r="AM18" s="422"/>
      <c r="AN18" s="86"/>
      <c r="AO18" s="103"/>
    </row>
    <row r="19" spans="3:41" ht="18.75" x14ac:dyDescent="0.3">
      <c r="C19" s="102"/>
      <c r="D19" s="412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8"/>
      <c r="O19" s="88"/>
      <c r="P19" s="8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420"/>
      <c r="AI19" s="83"/>
      <c r="AJ19" s="76"/>
      <c r="AK19" s="88"/>
      <c r="AL19" s="159"/>
      <c r="AM19" s="422"/>
      <c r="AN19" s="86"/>
      <c r="AO19" s="103"/>
    </row>
    <row r="20" spans="3:41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8"/>
      <c r="O20" s="88"/>
      <c r="P20" s="8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420"/>
      <c r="AI20" s="83"/>
      <c r="AJ20" s="76"/>
      <c r="AK20" s="88"/>
      <c r="AL20" s="159"/>
      <c r="AM20" s="422"/>
      <c r="AN20" s="86"/>
      <c r="AO20" s="103"/>
    </row>
    <row r="21" spans="3:41" ht="18.75" x14ac:dyDescent="0.3">
      <c r="C21" s="102"/>
      <c r="D21" s="77" t="s">
        <v>110</v>
      </c>
      <c r="E21" s="213" t="s">
        <v>144</v>
      </c>
      <c r="F21" s="88"/>
      <c r="G21" s="88"/>
      <c r="H21" s="159"/>
      <c r="I21" s="76"/>
      <c r="J21" s="88"/>
      <c r="K21" s="88"/>
      <c r="L21" s="88"/>
      <c r="M21" s="159"/>
      <c r="N21" s="88"/>
      <c r="O21" s="88"/>
      <c r="P21" s="8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420"/>
      <c r="AI21" s="83"/>
      <c r="AJ21" s="76"/>
      <c r="AK21" s="88"/>
      <c r="AL21" s="159"/>
      <c r="AM21" s="422"/>
      <c r="AN21" s="86"/>
      <c r="AO21" s="103"/>
    </row>
    <row r="22" spans="3:41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8"/>
      <c r="O22" s="88"/>
      <c r="P22" s="8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420"/>
      <c r="AI22" s="83"/>
      <c r="AJ22" s="76"/>
      <c r="AK22" s="88"/>
      <c r="AL22" s="159"/>
      <c r="AM22" s="422"/>
      <c r="AN22" s="86"/>
      <c r="AO22" s="103"/>
    </row>
    <row r="23" spans="3:41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8"/>
      <c r="O23" s="88"/>
      <c r="P23" s="8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420"/>
      <c r="AI23" s="83"/>
      <c r="AJ23" s="76"/>
      <c r="AK23" s="88"/>
      <c r="AL23" s="159"/>
      <c r="AM23" s="422"/>
      <c r="AN23" s="86"/>
      <c r="AO23" s="103"/>
    </row>
    <row r="24" spans="3:41" ht="18.75" x14ac:dyDescent="0.3">
      <c r="C24" s="102"/>
      <c r="D24" s="193" t="s">
        <v>135</v>
      </c>
      <c r="E24" s="76"/>
      <c r="F24" s="88"/>
      <c r="G24" s="88"/>
      <c r="H24" s="159"/>
      <c r="I24" s="86"/>
      <c r="J24" s="88"/>
      <c r="K24" s="88"/>
      <c r="L24" s="88"/>
      <c r="M24" s="159"/>
      <c r="N24" s="88"/>
      <c r="O24" s="88"/>
      <c r="P24" s="8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420"/>
      <c r="AI24" s="83"/>
      <c r="AJ24" s="76"/>
      <c r="AK24" s="88"/>
      <c r="AL24" s="159"/>
      <c r="AM24" s="422"/>
      <c r="AN24" s="86"/>
      <c r="AO24" s="103"/>
    </row>
    <row r="25" spans="3:41" ht="18.75" x14ac:dyDescent="0.3">
      <c r="C25" s="102"/>
      <c r="D25" s="193" t="s">
        <v>136</v>
      </c>
      <c r="E25" s="76"/>
      <c r="F25" s="88"/>
      <c r="G25" s="88"/>
      <c r="H25" s="159"/>
      <c r="I25" s="86"/>
      <c r="J25" s="88"/>
      <c r="K25" s="88"/>
      <c r="L25" s="88"/>
      <c r="M25" s="159"/>
      <c r="N25" s="88"/>
      <c r="O25" s="88"/>
      <c r="P25" s="8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420"/>
      <c r="AI25" s="83"/>
      <c r="AJ25" s="76"/>
      <c r="AK25" s="88"/>
      <c r="AL25" s="159"/>
      <c r="AM25" s="422"/>
      <c r="AN25" s="86"/>
      <c r="AO25" s="103"/>
    </row>
    <row r="26" spans="3:41" ht="18.75" x14ac:dyDescent="0.3">
      <c r="C26" s="102"/>
      <c r="D26" s="194" t="s">
        <v>139</v>
      </c>
      <c r="E26" s="76"/>
      <c r="F26" s="88"/>
      <c r="G26" s="88"/>
      <c r="H26" s="159"/>
      <c r="I26" s="86"/>
      <c r="J26" s="88"/>
      <c r="K26" s="88"/>
      <c r="L26" s="88"/>
      <c r="M26" s="159"/>
      <c r="N26" s="88"/>
      <c r="O26" s="88"/>
      <c r="P26" s="8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81"/>
      <c r="AH26" s="420"/>
      <c r="AI26" s="83"/>
      <c r="AJ26" s="76"/>
      <c r="AK26" s="88"/>
      <c r="AL26" s="159"/>
      <c r="AM26" s="422"/>
      <c r="AN26" s="86"/>
      <c r="AO26" s="103"/>
    </row>
    <row r="27" spans="3:41" ht="19.5" thickBot="1" x14ac:dyDescent="0.35">
      <c r="C27" s="102"/>
      <c r="D27" s="195" t="s">
        <v>145</v>
      </c>
      <c r="E27" s="79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81"/>
      <c r="AH27" s="429"/>
      <c r="AI27" s="162"/>
      <c r="AJ27" s="79"/>
      <c r="AK27" s="88"/>
      <c r="AL27" s="160"/>
      <c r="AM27" s="430"/>
      <c r="AN27" s="90"/>
      <c r="AO27" s="103"/>
    </row>
    <row r="28" spans="3:41" ht="15.75" x14ac:dyDescent="0.25">
      <c r="C28" s="102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431"/>
      <c r="AI28" s="7"/>
      <c r="AJ28" s="7"/>
      <c r="AK28" s="7"/>
      <c r="AL28" s="7"/>
      <c r="AM28" s="432"/>
      <c r="AN28" s="7"/>
      <c r="AO28" s="103"/>
    </row>
    <row r="29" spans="3:41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431"/>
      <c r="AI29" s="7"/>
      <c r="AJ29" s="7"/>
      <c r="AK29" s="7"/>
      <c r="AL29" s="7"/>
      <c r="AM29" s="432"/>
      <c r="AN29" s="7"/>
      <c r="AO29" s="103"/>
    </row>
    <row r="30" spans="3:41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431"/>
      <c r="AI30" s="7"/>
      <c r="AJ30" s="7"/>
      <c r="AK30" s="7"/>
      <c r="AL30" s="7"/>
      <c r="AM30" s="432"/>
      <c r="AN30" s="7"/>
      <c r="AO30" s="103"/>
    </row>
    <row r="31" spans="3:41" x14ac:dyDescent="0.25">
      <c r="C31" s="102"/>
      <c r="D31" s="7"/>
      <c r="E31" s="7"/>
      <c r="F31" s="7"/>
      <c r="G31" s="7"/>
      <c r="H31" s="433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7"/>
      <c r="AL31" s="7"/>
      <c r="AM31" s="7"/>
      <c r="AN31" s="7"/>
      <c r="AO31" s="103"/>
    </row>
    <row r="32" spans="3:41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7"/>
      <c r="AL32" s="7"/>
      <c r="AM32" s="7"/>
      <c r="AN32" s="7"/>
      <c r="AO32" s="103"/>
    </row>
    <row r="33" spans="3:41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7"/>
      <c r="AL33" s="7"/>
      <c r="AM33" s="7"/>
      <c r="AN33" s="7"/>
      <c r="AO33" s="103"/>
    </row>
    <row r="34" spans="3:41" x14ac:dyDescent="0.25">
      <c r="C34" s="102"/>
      <c r="D34" s="7"/>
      <c r="E34" s="7"/>
      <c r="F34" s="7"/>
      <c r="G34" s="7"/>
      <c r="H34" s="7"/>
      <c r="I34" s="433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7"/>
      <c r="AL34" s="7"/>
      <c r="AM34" s="7"/>
      <c r="AN34" s="7"/>
      <c r="AO34" s="103"/>
    </row>
    <row r="35" spans="3:41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7"/>
      <c r="AL35" s="7"/>
      <c r="AM35" s="7"/>
      <c r="AN35" s="7"/>
      <c r="AO35" s="103"/>
    </row>
    <row r="36" spans="3:41" x14ac:dyDescent="0.25">
      <c r="C36" s="102"/>
      <c r="D36" s="7"/>
      <c r="E36" s="7"/>
      <c r="F36" s="7"/>
      <c r="G36" s="7"/>
      <c r="H36" s="433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7"/>
      <c r="AL36" s="7"/>
      <c r="AM36" s="7"/>
      <c r="AN36" s="7"/>
      <c r="AO36" s="103"/>
    </row>
    <row r="37" spans="3:41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7"/>
      <c r="AL37" s="7"/>
      <c r="AM37" s="7"/>
      <c r="AN37" s="7"/>
      <c r="AO37" s="103"/>
    </row>
    <row r="38" spans="3:41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7"/>
      <c r="AL38" s="7"/>
      <c r="AM38" s="7"/>
      <c r="AN38" s="7"/>
      <c r="AO38" s="103"/>
    </row>
    <row r="39" spans="3:41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7"/>
      <c r="AL39" s="7"/>
      <c r="AM39" s="7"/>
      <c r="AN39" s="7"/>
      <c r="AO39" s="103"/>
    </row>
    <row r="40" spans="3:41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7"/>
      <c r="AL40" s="7"/>
      <c r="AM40" s="7"/>
      <c r="AN40" s="7"/>
      <c r="AO40" s="103"/>
    </row>
    <row r="41" spans="3:41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7"/>
      <c r="AL41" s="7"/>
      <c r="AM41" s="7"/>
      <c r="AN41" s="7"/>
      <c r="AO41" s="103"/>
    </row>
    <row r="42" spans="3:41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7"/>
      <c r="AL42" s="7"/>
      <c r="AM42" s="7"/>
      <c r="AN42" s="7"/>
      <c r="AO42" s="103"/>
    </row>
    <row r="43" spans="3:41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7"/>
      <c r="AL43" s="7"/>
      <c r="AM43" s="7"/>
      <c r="AN43" s="7"/>
      <c r="AO43" s="103"/>
    </row>
    <row r="44" spans="3:41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7"/>
      <c r="AL44" s="7"/>
      <c r="AM44" s="7"/>
      <c r="AN44" s="7"/>
      <c r="AO44" s="103"/>
    </row>
    <row r="45" spans="3:41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7"/>
      <c r="AL45" s="7"/>
      <c r="AM45" s="7"/>
      <c r="AN45" s="7"/>
      <c r="AO45" s="103"/>
    </row>
    <row r="46" spans="3:41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7"/>
      <c r="AL46" s="7"/>
      <c r="AM46" s="7"/>
      <c r="AN46" s="7"/>
      <c r="AO46" s="103"/>
    </row>
    <row r="47" spans="3:41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43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7"/>
      <c r="AL47" s="7"/>
      <c r="AM47" s="7"/>
      <c r="AN47" s="7"/>
      <c r="AO47" s="103"/>
    </row>
    <row r="48" spans="3:41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7"/>
      <c r="AL48" s="7"/>
      <c r="AM48" s="7"/>
      <c r="AN48" s="7"/>
      <c r="AO48" s="103"/>
    </row>
    <row r="49" spans="3:41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7"/>
      <c r="AL49" s="7"/>
      <c r="AM49" s="7"/>
      <c r="AN49" s="7"/>
      <c r="AO49" s="103"/>
    </row>
    <row r="50" spans="3:41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7"/>
      <c r="AL50" s="7"/>
      <c r="AM50" s="7"/>
      <c r="AN50" s="7"/>
      <c r="AO50" s="103"/>
    </row>
    <row r="51" spans="3:41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7"/>
      <c r="AL51" s="7"/>
      <c r="AM51" s="7"/>
      <c r="AN51" s="7"/>
      <c r="AO51" s="103"/>
    </row>
    <row r="52" spans="3:41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7"/>
      <c r="AL52" s="7"/>
      <c r="AM52" s="7"/>
      <c r="AN52" s="7"/>
      <c r="AO52" s="103"/>
    </row>
    <row r="53" spans="3:41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7"/>
      <c r="AL53" s="7"/>
      <c r="AM53" s="7"/>
      <c r="AN53" s="7"/>
      <c r="AO53" s="103"/>
    </row>
    <row r="54" spans="3:41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7"/>
      <c r="AL54" s="7"/>
      <c r="AM54" s="7"/>
      <c r="AN54" s="7"/>
      <c r="AO54" s="103"/>
    </row>
    <row r="55" spans="3:41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7"/>
      <c r="AL55" s="7"/>
      <c r="AM55" s="7"/>
      <c r="AN55" s="7"/>
      <c r="AO55" s="103"/>
    </row>
    <row r="56" spans="3:41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7"/>
      <c r="AL56" s="7"/>
      <c r="AM56" s="7"/>
      <c r="AN56" s="7"/>
      <c r="AO56" s="103"/>
    </row>
    <row r="57" spans="3:41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7"/>
      <c r="AL57" s="7"/>
      <c r="AM57" s="7"/>
      <c r="AN57" s="7"/>
      <c r="AO57" s="103"/>
    </row>
    <row r="58" spans="3:41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7"/>
      <c r="AL58" s="7"/>
      <c r="AM58" s="7"/>
      <c r="AN58" s="7"/>
      <c r="AO58" s="103"/>
    </row>
    <row r="59" spans="3:41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7"/>
      <c r="AL59" s="7"/>
      <c r="AM59" s="7"/>
      <c r="AN59" s="7"/>
      <c r="AO59" s="103"/>
    </row>
    <row r="60" spans="3:41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7"/>
      <c r="AL60" s="7"/>
      <c r="AM60" s="7"/>
      <c r="AN60" s="7"/>
      <c r="AO60" s="103"/>
    </row>
    <row r="61" spans="3:41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7"/>
      <c r="AL61" s="7"/>
      <c r="AM61" s="7"/>
      <c r="AN61" s="7"/>
      <c r="AO61" s="103"/>
    </row>
    <row r="62" spans="3:41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7"/>
      <c r="AL62" s="7"/>
      <c r="AM62" s="7"/>
      <c r="AN62" s="7"/>
      <c r="AO62" s="103"/>
    </row>
    <row r="63" spans="3:41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7"/>
      <c r="AL63" s="7"/>
      <c r="AM63" s="7"/>
      <c r="AN63" s="7"/>
      <c r="AO63" s="103"/>
    </row>
    <row r="64" spans="3:41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7"/>
      <c r="AL64" s="7"/>
      <c r="AM64" s="7"/>
      <c r="AN64" s="7"/>
      <c r="AO64" s="103"/>
    </row>
    <row r="65" spans="3:41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7"/>
      <c r="AL65" s="7"/>
      <c r="AM65" s="7"/>
      <c r="AN65" s="7"/>
      <c r="AO65" s="103"/>
    </row>
    <row r="66" spans="3:41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7"/>
      <c r="AL66" s="7"/>
      <c r="AM66" s="7"/>
      <c r="AN66" s="7"/>
      <c r="AO66" s="103"/>
    </row>
    <row r="67" spans="3:41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7"/>
      <c r="AL67" s="7"/>
      <c r="AM67" s="7"/>
      <c r="AN67" s="7"/>
      <c r="AO67" s="103"/>
    </row>
    <row r="68" spans="3:41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7"/>
      <c r="AL68" s="7"/>
      <c r="AM68" s="7"/>
      <c r="AN68" s="7"/>
      <c r="AO68" s="103"/>
    </row>
    <row r="69" spans="3:41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7"/>
      <c r="AL69" s="7"/>
      <c r="AM69" s="7"/>
      <c r="AN69" s="7"/>
      <c r="AO69" s="103"/>
    </row>
    <row r="70" spans="3:41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04"/>
      <c r="AL70" s="104"/>
      <c r="AM70" s="104"/>
      <c r="AN70" s="104"/>
      <c r="AO70" s="70"/>
    </row>
    <row r="130" spans="18:18" x14ac:dyDescent="0.25">
      <c r="R130" s="3" t="s">
        <v>49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D0E78-70C2-7E4C-9EE2-232C4386E0E6}">
  <sheetPr codeName="Tabelle67"/>
  <dimension ref="C1:AO130"/>
  <sheetViews>
    <sheetView topLeftCell="Q1" zoomScale="89" zoomScaleNormal="58" workbookViewId="0">
      <selection activeCell="S12" sqref="S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2.1406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112"/>
      <c r="D2" s="113" t="s">
        <v>231</v>
      </c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13"/>
      <c r="AL2" s="113"/>
      <c r="AM2" s="113"/>
      <c r="AN2" s="113"/>
      <c r="AO2" s="124"/>
    </row>
    <row r="3" spans="3:41" x14ac:dyDescent="0.25">
      <c r="C3" s="102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7"/>
      <c r="AL3" s="7"/>
      <c r="AM3" s="7"/>
      <c r="AN3" s="7"/>
      <c r="AO3" s="103"/>
    </row>
    <row r="4" spans="3:41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7"/>
      <c r="AL4" s="7"/>
      <c r="AM4" s="7"/>
      <c r="AN4" s="7"/>
      <c r="AO4" s="103"/>
    </row>
    <row r="5" spans="3:41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7"/>
      <c r="AL5" s="7"/>
      <c r="AM5" s="7"/>
      <c r="AN5" s="7"/>
      <c r="AO5" s="103"/>
    </row>
    <row r="6" spans="3:41" x14ac:dyDescent="0.25">
      <c r="C6" s="102"/>
      <c r="D6" s="513"/>
      <c r="E6" s="513"/>
      <c r="F6" s="7"/>
      <c r="G6" s="7"/>
      <c r="H6" s="513"/>
      <c r="I6" s="513"/>
      <c r="J6" s="20"/>
      <c r="K6" s="20"/>
      <c r="L6" s="7"/>
      <c r="M6" s="513" t="s">
        <v>232</v>
      </c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3"/>
      <c r="AL6" s="13"/>
      <c r="AM6" s="13"/>
      <c r="AN6" s="13"/>
      <c r="AO6" s="103"/>
    </row>
    <row r="7" spans="3:41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7"/>
      <c r="AJ7" s="7"/>
      <c r="AK7" s="7"/>
      <c r="AL7" s="7"/>
      <c r="AM7" s="7"/>
      <c r="AN7" s="7"/>
      <c r="AO7" s="103"/>
    </row>
    <row r="8" spans="3:41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99" t="s">
        <v>124</v>
      </c>
      <c r="T8" s="600"/>
      <c r="U8" s="601"/>
      <c r="V8" s="401"/>
      <c r="W8" s="602" t="s">
        <v>197</v>
      </c>
      <c r="X8" s="603"/>
      <c r="Y8" s="603"/>
      <c r="Z8" s="604"/>
      <c r="AA8" s="13"/>
      <c r="AB8" s="602" t="s">
        <v>134</v>
      </c>
      <c r="AC8" s="603"/>
      <c r="AD8" s="603"/>
      <c r="AE8" s="603"/>
      <c r="AF8" s="604"/>
      <c r="AG8" s="13"/>
      <c r="AH8" s="593" t="s">
        <v>11</v>
      </c>
      <c r="AI8" s="594"/>
      <c r="AJ8" s="595"/>
      <c r="AK8" s="402"/>
      <c r="AL8" s="593" t="s">
        <v>12</v>
      </c>
      <c r="AM8" s="594"/>
      <c r="AN8" s="595"/>
      <c r="AO8" s="103"/>
    </row>
    <row r="9" spans="3:41" ht="21.75" thickBot="1" x14ac:dyDescent="0.4">
      <c r="C9" s="102"/>
      <c r="D9" s="403" t="s">
        <v>73</v>
      </c>
      <c r="E9" s="404" t="s">
        <v>1</v>
      </c>
      <c r="F9" s="7"/>
      <c r="G9" s="7"/>
      <c r="H9" s="82" t="s">
        <v>73</v>
      </c>
      <c r="I9" s="405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406" t="s">
        <v>126</v>
      </c>
      <c r="T9" s="406" t="s">
        <v>76</v>
      </c>
      <c r="U9" s="406" t="s">
        <v>127</v>
      </c>
      <c r="V9" s="407"/>
      <c r="W9" s="408" t="s">
        <v>188</v>
      </c>
      <c r="X9" s="596"/>
      <c r="Y9" s="597"/>
      <c r="Z9" s="598"/>
      <c r="AA9" s="13"/>
      <c r="AB9" s="406" t="s">
        <v>131</v>
      </c>
      <c r="AC9" s="406" t="s">
        <v>130</v>
      </c>
      <c r="AD9" s="406" t="s">
        <v>8</v>
      </c>
      <c r="AE9" s="406" t="s">
        <v>132</v>
      </c>
      <c r="AF9" s="406" t="s">
        <v>133</v>
      </c>
      <c r="AG9" s="13"/>
      <c r="AH9" s="409" t="s">
        <v>13</v>
      </c>
      <c r="AI9" s="409" t="s">
        <v>14</v>
      </c>
      <c r="AJ9" s="409" t="s">
        <v>1</v>
      </c>
      <c r="AK9" s="410"/>
      <c r="AL9" s="409" t="s">
        <v>15</v>
      </c>
      <c r="AM9" s="409" t="s">
        <v>16</v>
      </c>
      <c r="AN9" s="409" t="s">
        <v>17</v>
      </c>
      <c r="AO9" s="103"/>
    </row>
    <row r="10" spans="3:41" ht="18.75" x14ac:dyDescent="0.3">
      <c r="C10" s="102"/>
      <c r="D10" s="411" t="s">
        <v>2</v>
      </c>
      <c r="E10" s="74" t="s">
        <v>235</v>
      </c>
      <c r="F10" s="88"/>
      <c r="G10" s="88"/>
      <c r="H10" s="412" t="s">
        <v>3</v>
      </c>
      <c r="I10" s="76"/>
      <c r="J10" s="88"/>
      <c r="K10" s="88"/>
      <c r="L10" s="88"/>
      <c r="M10" s="412" t="s">
        <v>121</v>
      </c>
      <c r="N10" s="186">
        <f>11.03*0.2778</f>
        <v>3.0641339999999997</v>
      </c>
      <c r="O10" s="186"/>
      <c r="P10" s="86"/>
      <c r="Q10" s="88"/>
      <c r="R10" s="163"/>
      <c r="S10" s="152">
        <v>1110</v>
      </c>
      <c r="T10" s="153" t="s">
        <v>31</v>
      </c>
      <c r="U10" s="154">
        <v>1</v>
      </c>
      <c r="V10" s="413"/>
      <c r="W10" s="152"/>
      <c r="X10" s="83"/>
      <c r="Y10" s="153"/>
      <c r="Z10" s="154"/>
      <c r="AA10" s="83"/>
      <c r="AB10" s="414"/>
      <c r="AC10" s="93"/>
      <c r="AD10" s="415"/>
      <c r="AE10" s="93"/>
      <c r="AF10" s="416"/>
      <c r="AG10" s="181"/>
      <c r="AH10" s="187"/>
      <c r="AI10" s="186"/>
      <c r="AJ10" s="188"/>
      <c r="AK10" s="417"/>
      <c r="AL10" s="189"/>
      <c r="AM10" s="190"/>
      <c r="AN10" s="191"/>
      <c r="AO10" s="103"/>
    </row>
    <row r="11" spans="3:41" ht="18.75" x14ac:dyDescent="0.3">
      <c r="C11" s="102"/>
      <c r="D11" s="412" t="s">
        <v>4</v>
      </c>
      <c r="E11" s="154">
        <v>6110</v>
      </c>
      <c r="F11" s="88"/>
      <c r="G11" s="88"/>
      <c r="H11" s="412" t="s">
        <v>113</v>
      </c>
      <c r="I11" s="154">
        <v>0</v>
      </c>
      <c r="J11" s="88"/>
      <c r="K11" s="88"/>
      <c r="L11" s="88"/>
      <c r="M11" s="418" t="s">
        <v>122</v>
      </c>
      <c r="N11" s="186" t="s">
        <v>234</v>
      </c>
      <c r="O11" s="186"/>
      <c r="P11" s="86"/>
      <c r="Q11" s="88"/>
      <c r="R11" s="163"/>
      <c r="S11" s="152">
        <v>1110</v>
      </c>
      <c r="T11" s="153" t="s">
        <v>200</v>
      </c>
      <c r="U11" s="154">
        <v>1</v>
      </c>
      <c r="V11" s="413"/>
      <c r="W11" s="158"/>
      <c r="X11" s="83"/>
      <c r="Y11" s="413"/>
      <c r="Z11" s="419"/>
      <c r="AA11" s="83"/>
      <c r="AB11" s="420"/>
      <c r="AC11" s="83"/>
      <c r="AD11" s="413"/>
      <c r="AE11" s="83"/>
      <c r="AF11" s="419"/>
      <c r="AG11" s="181"/>
      <c r="AH11" s="187"/>
      <c r="AI11" s="186"/>
      <c r="AJ11" s="188"/>
      <c r="AK11" s="417"/>
      <c r="AL11" s="421"/>
      <c r="AM11" s="422"/>
      <c r="AN11" s="423"/>
      <c r="AO11" s="103"/>
    </row>
    <row r="12" spans="3:41" ht="18.75" x14ac:dyDescent="0.3">
      <c r="C12" s="102"/>
      <c r="D12" s="412" t="s">
        <v>90</v>
      </c>
      <c r="E12" s="154"/>
      <c r="F12" s="88"/>
      <c r="G12" s="88"/>
      <c r="H12" s="412" t="s">
        <v>114</v>
      </c>
      <c r="I12" s="154">
        <v>1</v>
      </c>
      <c r="J12" s="88"/>
      <c r="K12" s="88"/>
      <c r="L12" s="88"/>
      <c r="M12" s="418" t="s">
        <v>123</v>
      </c>
      <c r="N12" s="186" t="s">
        <v>31</v>
      </c>
      <c r="O12" s="186"/>
      <c r="P12" s="86"/>
      <c r="Q12" s="88"/>
      <c r="R12" s="163"/>
      <c r="S12" s="187"/>
      <c r="T12" s="153"/>
      <c r="U12" s="154"/>
      <c r="V12" s="413"/>
      <c r="W12" s="158"/>
      <c r="X12" s="83"/>
      <c r="Y12" s="424"/>
      <c r="Z12" s="425"/>
      <c r="AA12" s="424"/>
      <c r="AB12" s="426"/>
      <c r="AC12" s="83"/>
      <c r="AD12" s="424"/>
      <c r="AE12" s="83"/>
      <c r="AF12" s="419"/>
      <c r="AG12" s="181"/>
      <c r="AH12" s="187"/>
      <c r="AI12" s="186"/>
      <c r="AJ12" s="188"/>
      <c r="AK12" s="417"/>
      <c r="AL12" s="421"/>
      <c r="AM12" s="422"/>
      <c r="AN12" s="423"/>
      <c r="AO12" s="103"/>
    </row>
    <row r="13" spans="3:41" ht="18.75" x14ac:dyDescent="0.3">
      <c r="C13" s="102"/>
      <c r="D13" s="412" t="s">
        <v>102</v>
      </c>
      <c r="E13" s="154" t="s">
        <v>233</v>
      </c>
      <c r="F13" s="88"/>
      <c r="G13" s="88"/>
      <c r="H13" s="412" t="s">
        <v>115</v>
      </c>
      <c r="I13" s="154">
        <v>0.6</v>
      </c>
      <c r="J13" s="88"/>
      <c r="K13" s="88"/>
      <c r="L13" s="88"/>
      <c r="M13" s="418"/>
      <c r="N13" s="83" t="s">
        <v>200</v>
      </c>
      <c r="O13" s="83"/>
      <c r="P13" s="86"/>
      <c r="Q13" s="88"/>
      <c r="R13" s="163"/>
      <c r="S13" s="180"/>
      <c r="T13" s="153"/>
      <c r="U13" s="154"/>
      <c r="V13" s="424"/>
      <c r="W13" s="158"/>
      <c r="X13" s="83"/>
      <c r="Y13" s="424"/>
      <c r="Z13" s="425"/>
      <c r="AA13" s="424"/>
      <c r="AB13" s="426"/>
      <c r="AC13" s="83"/>
      <c r="AD13" s="424"/>
      <c r="AE13" s="83"/>
      <c r="AF13" s="419"/>
      <c r="AG13" s="181"/>
      <c r="AH13" s="420"/>
      <c r="AI13" s="413"/>
      <c r="AJ13" s="419"/>
      <c r="AK13" s="417"/>
      <c r="AL13" s="427"/>
      <c r="AM13" s="422"/>
      <c r="AN13" s="428"/>
      <c r="AO13" s="103"/>
    </row>
    <row r="14" spans="3:41" ht="18.75" x14ac:dyDescent="0.3">
      <c r="C14" s="102"/>
      <c r="D14" s="412" t="s">
        <v>103</v>
      </c>
      <c r="E14" s="76">
        <v>20</v>
      </c>
      <c r="F14" s="88"/>
      <c r="G14" s="88"/>
      <c r="H14" s="412" t="s">
        <v>116</v>
      </c>
      <c r="I14" s="154">
        <v>2018</v>
      </c>
      <c r="J14" s="88"/>
      <c r="K14" s="88"/>
      <c r="L14" s="88"/>
      <c r="M14" s="85"/>
      <c r="N14" s="88"/>
      <c r="O14" s="88"/>
      <c r="P14" s="86"/>
      <c r="Q14" s="88"/>
      <c r="R14" s="163"/>
      <c r="S14" s="426"/>
      <c r="T14" s="186"/>
      <c r="U14" s="188"/>
      <c r="V14" s="424"/>
      <c r="W14" s="158"/>
      <c r="X14" s="83"/>
      <c r="Y14" s="424"/>
      <c r="Z14" s="425"/>
      <c r="AA14" s="424"/>
      <c r="AB14" s="426"/>
      <c r="AC14" s="83"/>
      <c r="AD14" s="424"/>
      <c r="AE14" s="83"/>
      <c r="AF14" s="419"/>
      <c r="AG14" s="181"/>
      <c r="AH14" s="420"/>
      <c r="AI14" s="413"/>
      <c r="AJ14" s="419"/>
      <c r="AK14" s="417"/>
      <c r="AL14" s="427"/>
      <c r="AM14" s="422"/>
      <c r="AN14" s="428"/>
      <c r="AO14" s="103"/>
    </row>
    <row r="15" spans="3:41" ht="18.75" x14ac:dyDescent="0.3">
      <c r="C15" s="102"/>
      <c r="D15" s="412" t="s">
        <v>104</v>
      </c>
      <c r="E15" s="76">
        <v>2.6</v>
      </c>
      <c r="F15" s="88"/>
      <c r="G15" s="88"/>
      <c r="H15" s="418" t="s">
        <v>117</v>
      </c>
      <c r="I15" s="76" t="s">
        <v>26</v>
      </c>
      <c r="J15" s="88"/>
      <c r="K15" s="88"/>
      <c r="L15" s="88"/>
      <c r="M15" s="85"/>
      <c r="N15" s="88"/>
      <c r="O15" s="88"/>
      <c r="P15" s="86"/>
      <c r="Q15" s="88"/>
      <c r="R15" s="163"/>
      <c r="S15" s="426"/>
      <c r="T15" s="181"/>
      <c r="U15" s="182"/>
      <c r="V15" s="424"/>
      <c r="W15" s="158"/>
      <c r="X15" s="83"/>
      <c r="Y15" s="83"/>
      <c r="Z15" s="76"/>
      <c r="AA15" s="83"/>
      <c r="AB15" s="158"/>
      <c r="AC15" s="83"/>
      <c r="AD15" s="83"/>
      <c r="AE15" s="83"/>
      <c r="AF15" s="419"/>
      <c r="AG15" s="181"/>
      <c r="AH15" s="420"/>
      <c r="AI15" s="413"/>
      <c r="AJ15" s="419"/>
      <c r="AK15" s="417"/>
      <c r="AL15" s="427"/>
      <c r="AM15" s="422"/>
      <c r="AN15" s="428"/>
      <c r="AO15" s="103"/>
    </row>
    <row r="16" spans="3:41" ht="18.75" x14ac:dyDescent="0.3">
      <c r="C16" s="102"/>
      <c r="D16" s="412" t="s">
        <v>105</v>
      </c>
      <c r="E16" s="76">
        <v>1.44</v>
      </c>
      <c r="F16" s="88"/>
      <c r="G16" s="88"/>
      <c r="H16" s="418" t="s">
        <v>101</v>
      </c>
      <c r="I16" s="76" t="s">
        <v>31</v>
      </c>
      <c r="J16" s="88"/>
      <c r="K16" s="88"/>
      <c r="L16" s="88"/>
      <c r="M16" s="85"/>
      <c r="N16" s="88"/>
      <c r="O16" s="88"/>
      <c r="P16" s="8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420"/>
      <c r="AI16" s="83"/>
      <c r="AJ16" s="76"/>
      <c r="AK16" s="88"/>
      <c r="AL16" s="159"/>
      <c r="AM16" s="422"/>
      <c r="AN16" s="86"/>
      <c r="AO16" s="103"/>
    </row>
    <row r="17" spans="3:41" ht="18.75" x14ac:dyDescent="0.3">
      <c r="C17" s="102"/>
      <c r="D17" s="412" t="s">
        <v>106</v>
      </c>
      <c r="E17" s="76"/>
      <c r="F17" s="88"/>
      <c r="G17" s="88"/>
      <c r="H17" s="418"/>
      <c r="I17" s="76"/>
      <c r="J17" s="88"/>
      <c r="K17" s="88"/>
      <c r="L17" s="88"/>
      <c r="M17" s="85"/>
      <c r="N17" s="88"/>
      <c r="O17" s="88"/>
      <c r="P17" s="8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420"/>
      <c r="AI17" s="83"/>
      <c r="AJ17" s="76"/>
      <c r="AK17" s="88"/>
      <c r="AL17" s="159"/>
      <c r="AM17" s="422"/>
      <c r="AN17" s="86"/>
      <c r="AO17" s="103"/>
    </row>
    <row r="18" spans="3:41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8"/>
      <c r="O18" s="88"/>
      <c r="P18" s="8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420"/>
      <c r="AI18" s="83"/>
      <c r="AJ18" s="76"/>
      <c r="AK18" s="88"/>
      <c r="AL18" s="159"/>
      <c r="AM18" s="422"/>
      <c r="AN18" s="86"/>
      <c r="AO18" s="103"/>
    </row>
    <row r="19" spans="3:41" ht="18.75" x14ac:dyDescent="0.3">
      <c r="C19" s="102"/>
      <c r="D19" s="412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8"/>
      <c r="O19" s="88"/>
      <c r="P19" s="8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420"/>
      <c r="AI19" s="83"/>
      <c r="AJ19" s="76"/>
      <c r="AK19" s="88"/>
      <c r="AL19" s="159"/>
      <c r="AM19" s="422"/>
      <c r="AN19" s="86"/>
      <c r="AO19" s="103"/>
    </row>
    <row r="20" spans="3:41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8"/>
      <c r="O20" s="88"/>
      <c r="P20" s="8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420"/>
      <c r="AI20" s="83"/>
      <c r="AJ20" s="76"/>
      <c r="AK20" s="88"/>
      <c r="AL20" s="159"/>
      <c r="AM20" s="422"/>
      <c r="AN20" s="86"/>
      <c r="AO20" s="103"/>
    </row>
    <row r="21" spans="3:41" ht="18.75" x14ac:dyDescent="0.3">
      <c r="C21" s="102"/>
      <c r="D21" s="77" t="s">
        <v>110</v>
      </c>
      <c r="E21" s="213" t="s">
        <v>144</v>
      </c>
      <c r="F21" s="88"/>
      <c r="G21" s="88"/>
      <c r="H21" s="159"/>
      <c r="I21" s="76"/>
      <c r="J21" s="88"/>
      <c r="K21" s="88"/>
      <c r="L21" s="88"/>
      <c r="M21" s="159"/>
      <c r="N21" s="88"/>
      <c r="O21" s="88"/>
      <c r="P21" s="8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420"/>
      <c r="AI21" s="83"/>
      <c r="AJ21" s="76"/>
      <c r="AK21" s="88"/>
      <c r="AL21" s="159"/>
      <c r="AM21" s="422"/>
      <c r="AN21" s="86"/>
      <c r="AO21" s="103"/>
    </row>
    <row r="22" spans="3:41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8"/>
      <c r="O22" s="88"/>
      <c r="P22" s="8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420"/>
      <c r="AI22" s="83"/>
      <c r="AJ22" s="76"/>
      <c r="AK22" s="88"/>
      <c r="AL22" s="159"/>
      <c r="AM22" s="422"/>
      <c r="AN22" s="86"/>
      <c r="AO22" s="103"/>
    </row>
    <row r="23" spans="3:41" ht="18.75" x14ac:dyDescent="0.3"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8"/>
      <c r="O23" s="88"/>
      <c r="P23" s="8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420"/>
      <c r="AI23" s="83"/>
      <c r="AJ23" s="76"/>
      <c r="AK23" s="88"/>
      <c r="AL23" s="159"/>
      <c r="AM23" s="422"/>
      <c r="AN23" s="86"/>
      <c r="AO23" s="103"/>
    </row>
    <row r="24" spans="3:41" ht="18.75" x14ac:dyDescent="0.3">
      <c r="C24" s="102"/>
      <c r="D24" s="193" t="s">
        <v>135</v>
      </c>
      <c r="E24" s="76"/>
      <c r="F24" s="88"/>
      <c r="G24" s="88"/>
      <c r="H24" s="159"/>
      <c r="I24" s="86"/>
      <c r="J24" s="88"/>
      <c r="K24" s="88"/>
      <c r="L24" s="88"/>
      <c r="M24" s="159"/>
      <c r="N24" s="88"/>
      <c r="O24" s="88"/>
      <c r="P24" s="8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420"/>
      <c r="AI24" s="83"/>
      <c r="AJ24" s="76"/>
      <c r="AK24" s="88"/>
      <c r="AL24" s="159"/>
      <c r="AM24" s="422"/>
      <c r="AN24" s="86"/>
      <c r="AO24" s="103"/>
    </row>
    <row r="25" spans="3:41" ht="18.75" x14ac:dyDescent="0.3">
      <c r="C25" s="102"/>
      <c r="D25" s="193" t="s">
        <v>136</v>
      </c>
      <c r="E25" s="76"/>
      <c r="F25" s="88"/>
      <c r="G25" s="88"/>
      <c r="H25" s="159"/>
      <c r="I25" s="86"/>
      <c r="J25" s="88"/>
      <c r="K25" s="88"/>
      <c r="L25" s="88"/>
      <c r="M25" s="159"/>
      <c r="N25" s="88"/>
      <c r="O25" s="88"/>
      <c r="P25" s="86"/>
      <c r="Q25" s="88"/>
      <c r="R25" s="163"/>
      <c r="S25" s="180"/>
      <c r="T25" s="181"/>
      <c r="U25" s="182"/>
      <c r="V25" s="181"/>
      <c r="W25" s="180"/>
      <c r="X25" s="181"/>
      <c r="Y25" s="181"/>
      <c r="Z25" s="182"/>
      <c r="AA25" s="181"/>
      <c r="AB25" s="180"/>
      <c r="AC25" s="181"/>
      <c r="AD25" s="181"/>
      <c r="AE25" s="181"/>
      <c r="AF25" s="182"/>
      <c r="AG25" s="181"/>
      <c r="AH25" s="420"/>
      <c r="AI25" s="83"/>
      <c r="AJ25" s="76"/>
      <c r="AK25" s="88"/>
      <c r="AL25" s="159"/>
      <c r="AM25" s="422"/>
      <c r="AN25" s="86"/>
      <c r="AO25" s="103"/>
    </row>
    <row r="26" spans="3:41" ht="18.75" x14ac:dyDescent="0.3">
      <c r="C26" s="102"/>
      <c r="D26" s="194" t="s">
        <v>139</v>
      </c>
      <c r="E26" s="76"/>
      <c r="F26" s="88"/>
      <c r="G26" s="88"/>
      <c r="H26" s="159"/>
      <c r="I26" s="86"/>
      <c r="J26" s="88"/>
      <c r="K26" s="88"/>
      <c r="L26" s="88"/>
      <c r="M26" s="159"/>
      <c r="N26" s="88"/>
      <c r="O26" s="88"/>
      <c r="P26" s="86"/>
      <c r="Q26" s="88"/>
      <c r="R26" s="163"/>
      <c r="S26" s="180"/>
      <c r="T26" s="181"/>
      <c r="U26" s="182"/>
      <c r="V26" s="181"/>
      <c r="W26" s="180"/>
      <c r="X26" s="181"/>
      <c r="Y26" s="181"/>
      <c r="Z26" s="182"/>
      <c r="AA26" s="181"/>
      <c r="AB26" s="180"/>
      <c r="AC26" s="181"/>
      <c r="AD26" s="181"/>
      <c r="AE26" s="181"/>
      <c r="AF26" s="182"/>
      <c r="AG26" s="181"/>
      <c r="AH26" s="420"/>
      <c r="AI26" s="83"/>
      <c r="AJ26" s="76"/>
      <c r="AK26" s="88"/>
      <c r="AL26" s="159"/>
      <c r="AM26" s="422"/>
      <c r="AN26" s="86"/>
      <c r="AO26" s="103"/>
    </row>
    <row r="27" spans="3:41" ht="19.5" thickBot="1" x14ac:dyDescent="0.35">
      <c r="C27" s="102"/>
      <c r="D27" s="195" t="s">
        <v>145</v>
      </c>
      <c r="E27" s="79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163"/>
      <c r="S27" s="183"/>
      <c r="T27" s="184"/>
      <c r="U27" s="185"/>
      <c r="V27" s="181"/>
      <c r="W27" s="183"/>
      <c r="X27" s="184"/>
      <c r="Y27" s="184"/>
      <c r="Z27" s="185"/>
      <c r="AA27" s="181"/>
      <c r="AB27" s="183"/>
      <c r="AC27" s="184"/>
      <c r="AD27" s="184"/>
      <c r="AE27" s="184"/>
      <c r="AF27" s="185"/>
      <c r="AG27" s="181"/>
      <c r="AH27" s="429"/>
      <c r="AI27" s="162"/>
      <c r="AJ27" s="79"/>
      <c r="AK27" s="88"/>
      <c r="AL27" s="160"/>
      <c r="AM27" s="430"/>
      <c r="AN27" s="90"/>
      <c r="AO27" s="103"/>
    </row>
    <row r="28" spans="3:41" ht="15.75" x14ac:dyDescent="0.25">
      <c r="C28" s="102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431"/>
      <c r="AI28" s="7"/>
      <c r="AJ28" s="7"/>
      <c r="AK28" s="7"/>
      <c r="AL28" s="7"/>
      <c r="AM28" s="432"/>
      <c r="AN28" s="7"/>
      <c r="AO28" s="103"/>
    </row>
    <row r="29" spans="3:41" ht="15.75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431"/>
      <c r="AI29" s="7"/>
      <c r="AJ29" s="7"/>
      <c r="AK29" s="7"/>
      <c r="AL29" s="7"/>
      <c r="AM29" s="432"/>
      <c r="AN29" s="7"/>
      <c r="AO29" s="103"/>
    </row>
    <row r="30" spans="3:41" ht="15.75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431"/>
      <c r="AI30" s="7"/>
      <c r="AJ30" s="7"/>
      <c r="AK30" s="7"/>
      <c r="AL30" s="7"/>
      <c r="AM30" s="432"/>
      <c r="AN30" s="7"/>
      <c r="AO30" s="103"/>
    </row>
    <row r="31" spans="3:41" x14ac:dyDescent="0.25">
      <c r="C31" s="102"/>
      <c r="D31" s="7"/>
      <c r="E31" s="7"/>
      <c r="F31" s="7"/>
      <c r="G31" s="7"/>
      <c r="H31" s="433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7"/>
      <c r="AL31" s="7"/>
      <c r="AM31" s="7"/>
      <c r="AN31" s="7"/>
      <c r="AO31" s="103"/>
    </row>
    <row r="32" spans="3:41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7"/>
      <c r="AL32" s="7"/>
      <c r="AM32" s="7"/>
      <c r="AN32" s="7"/>
      <c r="AO32" s="103"/>
    </row>
    <row r="33" spans="3:41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7"/>
      <c r="AL33" s="7"/>
      <c r="AM33" s="7"/>
      <c r="AN33" s="7"/>
      <c r="AO33" s="103"/>
    </row>
    <row r="34" spans="3:41" x14ac:dyDescent="0.25">
      <c r="C34" s="102"/>
      <c r="D34" s="7"/>
      <c r="E34" s="7"/>
      <c r="F34" s="7"/>
      <c r="G34" s="7"/>
      <c r="H34" s="7"/>
      <c r="I34" s="433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7"/>
      <c r="AL34" s="7"/>
      <c r="AM34" s="7"/>
      <c r="AN34" s="7"/>
      <c r="AO34" s="103"/>
    </row>
    <row r="35" spans="3:41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7"/>
      <c r="AL35" s="7"/>
      <c r="AM35" s="7"/>
      <c r="AN35" s="7"/>
      <c r="AO35" s="103"/>
    </row>
    <row r="36" spans="3:41" x14ac:dyDescent="0.25">
      <c r="C36" s="102"/>
      <c r="D36" s="7"/>
      <c r="E36" s="7"/>
      <c r="F36" s="7"/>
      <c r="G36" s="7"/>
      <c r="H36" s="433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7"/>
      <c r="AL36" s="7"/>
      <c r="AM36" s="7"/>
      <c r="AN36" s="7"/>
      <c r="AO36" s="103"/>
    </row>
    <row r="37" spans="3:41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7"/>
      <c r="AL37" s="7"/>
      <c r="AM37" s="7"/>
      <c r="AN37" s="7"/>
      <c r="AO37" s="103"/>
    </row>
    <row r="38" spans="3:41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7"/>
      <c r="AL38" s="7"/>
      <c r="AM38" s="7"/>
      <c r="AN38" s="7"/>
      <c r="AO38" s="103"/>
    </row>
    <row r="39" spans="3:41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7"/>
      <c r="AL39" s="7"/>
      <c r="AM39" s="7"/>
      <c r="AN39" s="7"/>
      <c r="AO39" s="103"/>
    </row>
    <row r="40" spans="3:41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7"/>
      <c r="AL40" s="7"/>
      <c r="AM40" s="7"/>
      <c r="AN40" s="7"/>
      <c r="AO40" s="103"/>
    </row>
    <row r="41" spans="3:41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7"/>
      <c r="AL41" s="7"/>
      <c r="AM41" s="7"/>
      <c r="AN41" s="7"/>
      <c r="AO41" s="103"/>
    </row>
    <row r="42" spans="3:41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7"/>
      <c r="AL42" s="7"/>
      <c r="AM42" s="7"/>
      <c r="AN42" s="7"/>
      <c r="AO42" s="103"/>
    </row>
    <row r="43" spans="3:41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7"/>
      <c r="AL43" s="7"/>
      <c r="AM43" s="7"/>
      <c r="AN43" s="7"/>
      <c r="AO43" s="103"/>
    </row>
    <row r="44" spans="3:41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7"/>
      <c r="AL44" s="7"/>
      <c r="AM44" s="7"/>
      <c r="AN44" s="7"/>
      <c r="AO44" s="103"/>
    </row>
    <row r="45" spans="3:41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7"/>
      <c r="AL45" s="7"/>
      <c r="AM45" s="7"/>
      <c r="AN45" s="7"/>
      <c r="AO45" s="103"/>
    </row>
    <row r="46" spans="3:41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7"/>
      <c r="AL46" s="7"/>
      <c r="AM46" s="7"/>
      <c r="AN46" s="7"/>
      <c r="AO46" s="103"/>
    </row>
    <row r="47" spans="3:41" ht="15.75" x14ac:dyDescent="0.25">
      <c r="C47" s="102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431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7"/>
      <c r="AL47" s="7"/>
      <c r="AM47" s="7"/>
      <c r="AN47" s="7"/>
      <c r="AO47" s="103"/>
    </row>
    <row r="48" spans="3:41" x14ac:dyDescent="0.25">
      <c r="C48" s="102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7"/>
      <c r="AL48" s="7"/>
      <c r="AM48" s="7"/>
      <c r="AN48" s="7"/>
      <c r="AO48" s="103"/>
    </row>
    <row r="49" spans="3:41" x14ac:dyDescent="0.25">
      <c r="C49" s="102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7"/>
      <c r="AL49" s="7"/>
      <c r="AM49" s="7"/>
      <c r="AN49" s="7"/>
      <c r="AO49" s="103"/>
    </row>
    <row r="50" spans="3:41" x14ac:dyDescent="0.25">
      <c r="C50" s="102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7"/>
      <c r="AL50" s="7"/>
      <c r="AM50" s="7"/>
      <c r="AN50" s="7"/>
      <c r="AO50" s="103"/>
    </row>
    <row r="51" spans="3:41" x14ac:dyDescent="0.25">
      <c r="C51" s="102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7"/>
      <c r="AL51" s="7"/>
      <c r="AM51" s="7"/>
      <c r="AN51" s="7"/>
      <c r="AO51" s="103"/>
    </row>
    <row r="52" spans="3:41" x14ac:dyDescent="0.25">
      <c r="C52" s="102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7"/>
      <c r="AL52" s="7"/>
      <c r="AM52" s="7"/>
      <c r="AN52" s="7"/>
      <c r="AO52" s="103"/>
    </row>
    <row r="53" spans="3:41" x14ac:dyDescent="0.25">
      <c r="C53" s="102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7"/>
      <c r="AL53" s="7"/>
      <c r="AM53" s="7"/>
      <c r="AN53" s="7"/>
      <c r="AO53" s="103"/>
    </row>
    <row r="54" spans="3:41" x14ac:dyDescent="0.25">
      <c r="C54" s="102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7"/>
      <c r="AL54" s="7"/>
      <c r="AM54" s="7"/>
      <c r="AN54" s="7"/>
      <c r="AO54" s="103"/>
    </row>
    <row r="55" spans="3:41" x14ac:dyDescent="0.25"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7"/>
      <c r="AL55" s="7"/>
      <c r="AM55" s="7"/>
      <c r="AN55" s="7"/>
      <c r="AO55" s="103"/>
    </row>
    <row r="56" spans="3:41" x14ac:dyDescent="0.25"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7"/>
      <c r="AL56" s="7"/>
      <c r="AM56" s="7"/>
      <c r="AN56" s="7"/>
      <c r="AO56" s="103"/>
    </row>
    <row r="57" spans="3:41" x14ac:dyDescent="0.25"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7"/>
      <c r="AL57" s="7"/>
      <c r="AM57" s="7"/>
      <c r="AN57" s="7"/>
      <c r="AO57" s="103"/>
    </row>
    <row r="58" spans="3:41" x14ac:dyDescent="0.25"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7"/>
      <c r="AL58" s="7"/>
      <c r="AM58" s="7"/>
      <c r="AN58" s="7"/>
      <c r="AO58" s="103"/>
    </row>
    <row r="59" spans="3:41" x14ac:dyDescent="0.25"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7"/>
      <c r="AL59" s="7"/>
      <c r="AM59" s="7"/>
      <c r="AN59" s="7"/>
      <c r="AO59" s="103"/>
    </row>
    <row r="60" spans="3:41" x14ac:dyDescent="0.25"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7"/>
      <c r="AL60" s="7"/>
      <c r="AM60" s="7"/>
      <c r="AN60" s="7"/>
      <c r="AO60" s="103"/>
    </row>
    <row r="61" spans="3:41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7"/>
      <c r="AL61" s="7"/>
      <c r="AM61" s="7"/>
      <c r="AN61" s="7"/>
      <c r="AO61" s="103"/>
    </row>
    <row r="62" spans="3:41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7"/>
      <c r="AL62" s="7"/>
      <c r="AM62" s="7"/>
      <c r="AN62" s="7"/>
      <c r="AO62" s="103"/>
    </row>
    <row r="63" spans="3:41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7"/>
      <c r="AL63" s="7"/>
      <c r="AM63" s="7"/>
      <c r="AN63" s="7"/>
      <c r="AO63" s="103"/>
    </row>
    <row r="64" spans="3:41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7"/>
      <c r="AL64" s="7"/>
      <c r="AM64" s="7"/>
      <c r="AN64" s="7"/>
      <c r="AO64" s="103"/>
    </row>
    <row r="65" spans="3:41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7"/>
      <c r="AL65" s="7"/>
      <c r="AM65" s="7"/>
      <c r="AN65" s="7"/>
      <c r="AO65" s="103"/>
    </row>
    <row r="66" spans="3:41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7"/>
      <c r="AL66" s="7"/>
      <c r="AM66" s="7"/>
      <c r="AN66" s="7"/>
      <c r="AO66" s="103"/>
    </row>
    <row r="67" spans="3:41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7"/>
      <c r="AL67" s="7"/>
      <c r="AM67" s="7"/>
      <c r="AN67" s="7"/>
      <c r="AO67" s="103"/>
    </row>
    <row r="68" spans="3:41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7"/>
      <c r="AL68" s="7"/>
      <c r="AM68" s="7"/>
      <c r="AN68" s="7"/>
      <c r="AO68" s="103"/>
    </row>
    <row r="69" spans="3:41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7"/>
      <c r="AL69" s="7"/>
      <c r="AM69" s="7"/>
      <c r="AN69" s="7"/>
      <c r="AO69" s="103"/>
    </row>
    <row r="70" spans="3:41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04"/>
      <c r="AL70" s="104"/>
      <c r="AM70" s="104"/>
      <c r="AN70" s="104"/>
      <c r="AO70" s="70"/>
    </row>
    <row r="130" spans="18:18" x14ac:dyDescent="0.25">
      <c r="R130" s="3" t="s">
        <v>49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8A36B-63CA-A246-BBE6-871C0539B510}">
  <sheetPr codeName="Tabelle36"/>
  <dimension ref="A1:AJ144"/>
  <sheetViews>
    <sheetView topLeftCell="C1" zoomScaleNormal="47" workbookViewId="0">
      <selection activeCell="AF11" sqref="AF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221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/>
      <c r="O10" s="93"/>
      <c r="P10" s="74"/>
      <c r="Q10" s="7"/>
      <c r="R10" s="7"/>
      <c r="S10" s="380">
        <v>5110</v>
      </c>
      <c r="T10" s="93" t="s">
        <v>200</v>
      </c>
      <c r="U10" s="381">
        <v>1</v>
      </c>
      <c r="V10" s="382"/>
      <c r="W10" s="152">
        <v>110</v>
      </c>
      <c r="X10" s="83"/>
      <c r="Y10" s="153"/>
      <c r="Z10" s="154"/>
      <c r="AA10" s="20"/>
      <c r="AB10" s="207" t="s">
        <v>26</v>
      </c>
      <c r="AC10" s="93" t="s">
        <v>9</v>
      </c>
      <c r="AD10" s="208" t="s">
        <v>26</v>
      </c>
      <c r="AE10" s="93" t="s">
        <v>200</v>
      </c>
      <c r="AF10" s="150">
        <v>1.831</v>
      </c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5100</v>
      </c>
      <c r="F11" s="7"/>
      <c r="G11" s="7"/>
      <c r="H11" s="383" t="s">
        <v>113</v>
      </c>
      <c r="I11" s="76">
        <v>0</v>
      </c>
      <c r="J11" s="7"/>
      <c r="K11" s="7"/>
      <c r="L11" s="7"/>
      <c r="M11" s="384" t="s">
        <v>122</v>
      </c>
      <c r="N11" s="83"/>
      <c r="O11" s="83"/>
      <c r="P11" s="76"/>
      <c r="Q11" s="7"/>
      <c r="R11" s="7"/>
      <c r="S11" s="385">
        <v>5110</v>
      </c>
      <c r="T11" s="83" t="s">
        <v>9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1</v>
      </c>
      <c r="J12" s="7"/>
      <c r="K12" s="7"/>
      <c r="L12" s="7"/>
      <c r="M12" s="384" t="s">
        <v>123</v>
      </c>
      <c r="N12" s="83"/>
      <c r="O12" s="83"/>
      <c r="P12" s="76"/>
      <c r="Q12" s="7"/>
      <c r="R12" s="7"/>
      <c r="S12" s="385">
        <v>5110</v>
      </c>
      <c r="T12" s="83" t="s">
        <v>30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 t="s">
        <v>277</v>
      </c>
      <c r="F13" s="7"/>
      <c r="G13" s="7"/>
      <c r="H13" s="383" t="s">
        <v>115</v>
      </c>
      <c r="I13" s="76">
        <v>0</v>
      </c>
      <c r="J13" s="7"/>
      <c r="K13" s="7"/>
      <c r="L13" s="7"/>
      <c r="M13" s="384"/>
      <c r="N13" s="83"/>
      <c r="O13" s="83"/>
      <c r="P13" s="76"/>
      <c r="Q13" s="7"/>
      <c r="R13" s="7"/>
      <c r="S13" s="391">
        <v>5110</v>
      </c>
      <c r="T13" s="83" t="s">
        <v>38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/>
      <c r="O14" s="83"/>
      <c r="P14" s="76"/>
      <c r="Q14" s="7"/>
      <c r="R14" s="7"/>
      <c r="S14" s="391">
        <v>5110</v>
      </c>
      <c r="T14" s="83" t="s">
        <v>31</v>
      </c>
      <c r="U14" s="389">
        <v>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/>
      <c r="O15" s="83"/>
      <c r="P15" s="76"/>
      <c r="Q15" s="7"/>
      <c r="R15" s="7"/>
      <c r="S15" s="391"/>
      <c r="T15" s="83"/>
      <c r="U15" s="389"/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200</v>
      </c>
      <c r="J16" s="7"/>
      <c r="K16" s="7"/>
      <c r="L16" s="7"/>
      <c r="M16" s="85"/>
      <c r="N16" s="83"/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/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86"/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86"/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86"/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1CB50A-8E23-6146-B916-B0CFDE5E53A3}">
          <x14:formula1>
            <xm:f>'C:\Users\philippkenkel\Seafile\RESILIENTE ENERGIESYSTEME\Intern\[TEST_CASE.xlsm]Systemblatt'!#REF!</xm:f>
          </x14:formula1>
          <xm:sqref>N12:P22 AC10:AC24 I16:K17 AE10:AE24 T15:T24</xm:sqref>
        </x14:dataValidation>
        <x14:dataValidation type="whole" allowBlank="1" showInputMessage="1" showErrorMessage="1" xr:uid="{97632D7C-8EF1-434A-996E-BD916F0A4AC3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97194F01-266E-F542-AC11-8A4DAD9EEE37}">
          <x14:formula1>
            <xm:f>'C:\Users\philippkenkel\Seafile\RESILIENTE ENERGIESYSTEME\Intern\[TEST_CASE.xlsm]DataBank'!#REF!</xm:f>
          </x14:formula1>
          <xm:sqref>I15:K15 N11:P11 AB10 AD10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15402-7A7F-264A-B839-98685CB0C5BF}">
  <sheetPr codeName="Tabelle15"/>
  <dimension ref="A1:AO137"/>
  <sheetViews>
    <sheetView topLeftCell="D1" zoomScale="85" zoomScaleNormal="60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25" style="3" customWidth="1"/>
    <col min="24" max="24" width="23.140625" style="3" customWidth="1"/>
    <col min="25" max="25" width="16.7109375" style="3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5" width="20" style="3" customWidth="1"/>
    <col min="36" max="16384" width="10.85546875" style="3"/>
  </cols>
  <sheetData>
    <row r="1" spans="1:41" ht="10.5" customHeight="1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</row>
    <row r="2" spans="1:41" ht="6.95" customHeight="1" thickBot="1" x14ac:dyDescent="0.3">
      <c r="A2" s="7"/>
      <c r="B2" s="7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7"/>
      <c r="AL2" s="7"/>
      <c r="AM2" s="7"/>
      <c r="AN2" s="7"/>
      <c r="AO2" s="7"/>
    </row>
    <row r="3" spans="1:41" x14ac:dyDescent="0.25">
      <c r="A3" s="7"/>
      <c r="B3" s="7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4"/>
      <c r="AL3" s="7"/>
      <c r="AM3" s="7"/>
      <c r="AN3" s="7"/>
      <c r="AO3" s="7"/>
    </row>
    <row r="4" spans="1:41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03"/>
      <c r="AL4" s="7"/>
      <c r="AM4" s="7"/>
      <c r="AN4" s="7"/>
      <c r="AO4" s="7"/>
    </row>
    <row r="5" spans="1:41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03"/>
      <c r="AL5" s="7"/>
      <c r="AM5" s="7"/>
      <c r="AN5" s="7"/>
      <c r="AO5" s="7"/>
    </row>
    <row r="6" spans="1:41" x14ac:dyDescent="0.25">
      <c r="A6" s="7"/>
      <c r="B6" s="7"/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03"/>
      <c r="AL6" s="7"/>
      <c r="AM6" s="7"/>
      <c r="AN6" s="7"/>
      <c r="AO6" s="7"/>
    </row>
    <row r="7" spans="1:41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I7" s="7"/>
      <c r="AJ7" s="13"/>
      <c r="AK7" s="103"/>
      <c r="AL7" s="7"/>
      <c r="AM7" s="7"/>
      <c r="AN7" s="7"/>
      <c r="AO7" s="7"/>
    </row>
    <row r="8" spans="1:41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125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13"/>
      <c r="AH8" s="612" t="s">
        <v>20</v>
      </c>
      <c r="AI8" s="614"/>
      <c r="AJ8" s="13"/>
      <c r="AK8" s="103"/>
      <c r="AL8" s="7"/>
      <c r="AM8" s="7"/>
      <c r="AN8" s="7"/>
      <c r="AO8" s="7"/>
    </row>
    <row r="9" spans="1:41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78" t="s">
        <v>126</v>
      </c>
      <c r="T9" s="378" t="s">
        <v>76</v>
      </c>
      <c r="U9" s="378" t="s">
        <v>127</v>
      </c>
      <c r="V9" s="377"/>
      <c r="W9" s="378" t="s">
        <v>76</v>
      </c>
      <c r="X9" s="378" t="s">
        <v>57</v>
      </c>
      <c r="Y9" s="378" t="s">
        <v>128</v>
      </c>
      <c r="Z9" s="378" t="s">
        <v>129</v>
      </c>
      <c r="AA9" s="13"/>
      <c r="AB9" s="378" t="s">
        <v>131</v>
      </c>
      <c r="AC9" s="378" t="s">
        <v>130</v>
      </c>
      <c r="AD9" s="378" t="s">
        <v>8</v>
      </c>
      <c r="AE9" s="378" t="s">
        <v>132</v>
      </c>
      <c r="AF9" s="378" t="s">
        <v>133</v>
      </c>
      <c r="AG9" s="13"/>
      <c r="AH9" s="378" t="s">
        <v>76</v>
      </c>
      <c r="AI9" s="378" t="s">
        <v>1</v>
      </c>
      <c r="AJ9" s="13" t="s">
        <v>222</v>
      </c>
      <c r="AK9" s="103"/>
      <c r="AL9" s="7"/>
      <c r="AM9" s="7"/>
      <c r="AN9" s="7"/>
      <c r="AO9" s="7"/>
    </row>
    <row r="10" spans="1:41" ht="18.75" x14ac:dyDescent="0.3">
      <c r="A10" s="7"/>
      <c r="B10" s="7"/>
      <c r="C10" s="102"/>
      <c r="D10" s="379" t="s">
        <v>2</v>
      </c>
      <c r="E10" s="74" t="s">
        <v>223</v>
      </c>
      <c r="F10" s="88"/>
      <c r="G10" s="88"/>
      <c r="H10" s="383" t="s">
        <v>3</v>
      </c>
      <c r="I10" s="76"/>
      <c r="J10" s="88"/>
      <c r="K10" s="88"/>
      <c r="L10" s="88"/>
      <c r="M10" s="379" t="s">
        <v>121</v>
      </c>
      <c r="N10" s="208">
        <v>-0.13850000000000001</v>
      </c>
      <c r="O10" s="208">
        <v>-0.1174</v>
      </c>
      <c r="P10" s="74"/>
      <c r="Q10" s="88"/>
      <c r="R10" s="163"/>
      <c r="S10" s="158">
        <v>1444</v>
      </c>
      <c r="T10" t="s">
        <v>31</v>
      </c>
      <c r="U10" s="154">
        <v>0.58753999999999995</v>
      </c>
      <c r="V10" s="387"/>
      <c r="W10" s="287">
        <v>111</v>
      </c>
      <c r="X10" s="93">
        <v>1444</v>
      </c>
      <c r="Y10" s="398"/>
      <c r="Z10" s="381"/>
      <c r="AA10" s="83"/>
      <c r="AB10" s="207" t="s">
        <v>26</v>
      </c>
      <c r="AC10" s="93" t="s">
        <v>30</v>
      </c>
      <c r="AD10" s="208" t="s">
        <v>26</v>
      </c>
      <c r="AE10" s="93" t="s">
        <v>200</v>
      </c>
      <c r="AF10" s="74">
        <v>1.3360000000000001</v>
      </c>
      <c r="AG10" s="181"/>
      <c r="AH10" s="306" t="s">
        <v>31</v>
      </c>
      <c r="AI10" s="437">
        <v>0.26112999999999997</v>
      </c>
      <c r="AJ10" s="13"/>
      <c r="AK10" s="103"/>
      <c r="AL10" s="7"/>
      <c r="AM10" s="7"/>
      <c r="AN10" s="7"/>
      <c r="AO10" s="7"/>
    </row>
    <row r="11" spans="1:41" ht="18.75" x14ac:dyDescent="0.3">
      <c r="A11" s="7"/>
      <c r="B11" s="7"/>
      <c r="C11" s="102"/>
      <c r="D11" s="383" t="s">
        <v>4</v>
      </c>
      <c r="E11" s="76">
        <v>5110</v>
      </c>
      <c r="F11" s="88"/>
      <c r="G11" s="88"/>
      <c r="H11" s="383" t="s">
        <v>113</v>
      </c>
      <c r="I11" s="76">
        <v>4.0199999999999996</v>
      </c>
      <c r="J11" s="88"/>
      <c r="K11" s="88"/>
      <c r="L11" s="88"/>
      <c r="M11" s="384" t="s">
        <v>122</v>
      </c>
      <c r="N11" s="76" t="s">
        <v>27</v>
      </c>
      <c r="O11" s="76" t="s">
        <v>27</v>
      </c>
      <c r="P11" s="76"/>
      <c r="Q11" s="88"/>
      <c r="R11" s="163"/>
      <c r="S11" s="158">
        <v>1444</v>
      </c>
      <c r="T11" t="s">
        <v>30</v>
      </c>
      <c r="U11" s="76">
        <v>1.059E-2</v>
      </c>
      <c r="V11" s="387"/>
      <c r="W11" s="158"/>
      <c r="X11" s="83"/>
      <c r="Y11" s="387"/>
      <c r="Z11" s="386"/>
      <c r="AA11" s="83"/>
      <c r="AB11" s="385"/>
      <c r="AC11" s="83"/>
      <c r="AD11" s="387"/>
      <c r="AE11" s="83"/>
      <c r="AF11" s="386"/>
      <c r="AG11" s="181"/>
      <c r="AH11" s="306" t="s">
        <v>30</v>
      </c>
      <c r="AI11" s="438">
        <v>9.4020000000000006E-2</v>
      </c>
      <c r="AJ11" s="13"/>
      <c r="AK11" s="103"/>
      <c r="AL11" s="7"/>
      <c r="AM11" s="7"/>
      <c r="AN11" s="7"/>
      <c r="AO11" s="7"/>
    </row>
    <row r="12" spans="1:41" ht="18.75" x14ac:dyDescent="0.3">
      <c r="A12" s="7"/>
      <c r="B12" s="7"/>
      <c r="C12" s="102"/>
      <c r="D12" s="383" t="s">
        <v>90</v>
      </c>
      <c r="E12" s="76" t="s">
        <v>51</v>
      </c>
      <c r="F12" s="88"/>
      <c r="G12" s="88"/>
      <c r="H12" s="383" t="s">
        <v>114</v>
      </c>
      <c r="I12" s="76">
        <v>0.503</v>
      </c>
      <c r="J12" s="88"/>
      <c r="K12" s="88"/>
      <c r="L12" s="88"/>
      <c r="M12" s="384" t="s">
        <v>123</v>
      </c>
      <c r="N12" s="76" t="s">
        <v>31</v>
      </c>
      <c r="O12" s="76" t="s">
        <v>31</v>
      </c>
      <c r="P12" s="76"/>
      <c r="Q12" s="88"/>
      <c r="R12" s="163"/>
      <c r="S12" s="158">
        <v>1444</v>
      </c>
      <c r="T12" t="s">
        <v>29</v>
      </c>
      <c r="U12" s="76">
        <v>1</v>
      </c>
      <c r="V12" s="387"/>
      <c r="W12" s="158"/>
      <c r="X12" s="83"/>
      <c r="Y12" s="388"/>
      <c r="Z12" s="389"/>
      <c r="AA12" s="388"/>
      <c r="AB12" s="391"/>
      <c r="AC12" s="83"/>
      <c r="AD12" s="388"/>
      <c r="AE12" s="83"/>
      <c r="AF12" s="386"/>
      <c r="AG12" s="181"/>
      <c r="AH12" s="306" t="s">
        <v>9</v>
      </c>
      <c r="AI12" s="438">
        <v>2.4279999999999999E-2</v>
      </c>
      <c r="AJ12" s="13"/>
      <c r="AK12" s="103"/>
      <c r="AL12" s="7"/>
      <c r="AM12" s="7"/>
      <c r="AN12" s="7"/>
      <c r="AO12" s="7"/>
    </row>
    <row r="13" spans="1:41" ht="18.75" x14ac:dyDescent="0.3">
      <c r="A13" s="7"/>
      <c r="B13" s="7"/>
      <c r="C13" s="102"/>
      <c r="D13" s="383" t="s">
        <v>102</v>
      </c>
      <c r="E13" s="76" t="s">
        <v>277</v>
      </c>
      <c r="F13" s="88"/>
      <c r="G13" s="88"/>
      <c r="H13" s="383" t="s">
        <v>115</v>
      </c>
      <c r="I13" s="76">
        <v>0.52529999999999999</v>
      </c>
      <c r="J13" s="88"/>
      <c r="K13" s="88"/>
      <c r="L13" s="88"/>
      <c r="M13" s="384"/>
      <c r="N13" s="76" t="s">
        <v>29</v>
      </c>
      <c r="O13" s="76" t="s">
        <v>29</v>
      </c>
      <c r="P13" s="76"/>
      <c r="Q13" s="88"/>
      <c r="R13" s="163"/>
      <c r="S13" s="158">
        <v>1444</v>
      </c>
      <c r="T13" t="s">
        <v>32</v>
      </c>
      <c r="U13" s="439">
        <v>1</v>
      </c>
      <c r="V13" s="388"/>
      <c r="W13" s="158"/>
      <c r="X13" s="83"/>
      <c r="Y13" s="388"/>
      <c r="Z13" s="389"/>
      <c r="AA13" s="388"/>
      <c r="AB13" s="391"/>
      <c r="AC13" s="83"/>
      <c r="AD13" s="388"/>
      <c r="AE13" s="83"/>
      <c r="AF13" s="386"/>
      <c r="AG13" s="181"/>
      <c r="AH13" s="306" t="s">
        <v>38</v>
      </c>
      <c r="AI13" s="438">
        <v>0.58823999999999999</v>
      </c>
      <c r="AJ13" s="13"/>
      <c r="AK13" s="103"/>
      <c r="AL13" s="7"/>
      <c r="AM13" s="7"/>
      <c r="AN13" s="7"/>
      <c r="AO13" s="7"/>
    </row>
    <row r="14" spans="1:41" ht="18.75" x14ac:dyDescent="0.3">
      <c r="A14" s="7"/>
      <c r="B14" s="7"/>
      <c r="C14" s="102"/>
      <c r="D14" s="383" t="s">
        <v>103</v>
      </c>
      <c r="E14" s="76">
        <v>20</v>
      </c>
      <c r="F14" s="88"/>
      <c r="G14" s="88"/>
      <c r="H14" s="383" t="s">
        <v>116</v>
      </c>
      <c r="I14" s="76">
        <v>2020</v>
      </c>
      <c r="J14" s="88"/>
      <c r="K14" s="88"/>
      <c r="L14" s="88"/>
      <c r="M14" s="85"/>
      <c r="N14" s="76" t="s">
        <v>200</v>
      </c>
      <c r="O14" s="76" t="s">
        <v>200</v>
      </c>
      <c r="P14" s="76"/>
      <c r="Q14" s="88"/>
      <c r="R14" s="163"/>
      <c r="S14" s="158">
        <v>1444</v>
      </c>
      <c r="T14" t="s">
        <v>200</v>
      </c>
      <c r="U14" s="76">
        <v>1</v>
      </c>
      <c r="V14" s="388"/>
      <c r="W14" s="158"/>
      <c r="X14" s="83"/>
      <c r="Y14" s="388"/>
      <c r="Z14" s="389"/>
      <c r="AA14" s="388"/>
      <c r="AB14" s="391"/>
      <c r="AC14" s="83"/>
      <c r="AD14" s="388"/>
      <c r="AE14" s="83"/>
      <c r="AF14" s="386"/>
      <c r="AG14" s="181"/>
      <c r="AH14" s="306" t="s">
        <v>29</v>
      </c>
      <c r="AI14" s="438">
        <v>1.1999999999999999E-3</v>
      </c>
      <c r="AJ14" s="13"/>
      <c r="AK14" s="103"/>
      <c r="AL14" s="7"/>
      <c r="AM14" s="7"/>
      <c r="AN14" s="7"/>
      <c r="AO14" s="7"/>
    </row>
    <row r="15" spans="1:41" ht="18.75" x14ac:dyDescent="0.3">
      <c r="A15" s="7"/>
      <c r="B15" s="7"/>
      <c r="C15" s="102"/>
      <c r="D15" s="383" t="s">
        <v>104</v>
      </c>
      <c r="E15" s="154">
        <v>2.6</v>
      </c>
      <c r="F15" s="88"/>
      <c r="G15" s="88"/>
      <c r="H15" s="384" t="s">
        <v>117</v>
      </c>
      <c r="I15" s="76" t="s">
        <v>27</v>
      </c>
      <c r="J15" s="88"/>
      <c r="K15" s="88"/>
      <c r="L15" s="88"/>
      <c r="M15" s="85"/>
      <c r="N15" s="76" t="s">
        <v>32</v>
      </c>
      <c r="O15" s="76" t="s">
        <v>32</v>
      </c>
      <c r="P15" s="76"/>
      <c r="Q15" s="88"/>
      <c r="R15" s="163"/>
      <c r="S15" s="158"/>
      <c r="T15"/>
      <c r="U15" s="154"/>
      <c r="V15" s="388"/>
      <c r="W15" s="158"/>
      <c r="X15" s="83"/>
      <c r="Y15" s="83"/>
      <c r="Z15" s="76"/>
      <c r="AA15" s="83"/>
      <c r="AB15" s="158"/>
      <c r="AC15" s="83"/>
      <c r="AD15" s="83"/>
      <c r="AE15" s="83"/>
      <c r="AF15" s="386"/>
      <c r="AG15" s="181"/>
      <c r="AH15" s="306" t="s">
        <v>32</v>
      </c>
      <c r="AI15" s="438">
        <v>2.8160000000000001E-2</v>
      </c>
      <c r="AJ15" s="13"/>
      <c r="AK15" s="103"/>
      <c r="AL15" s="7"/>
      <c r="AM15" s="7"/>
      <c r="AN15" s="7"/>
      <c r="AO15" s="7"/>
    </row>
    <row r="16" spans="1:41" ht="18.75" x14ac:dyDescent="0.3">
      <c r="A16" s="7"/>
      <c r="B16" s="7"/>
      <c r="C16" s="102"/>
      <c r="D16" s="383" t="s">
        <v>105</v>
      </c>
      <c r="E16" s="154">
        <v>1.44</v>
      </c>
      <c r="F16" s="88"/>
      <c r="G16" s="88"/>
      <c r="H16" s="384" t="s">
        <v>101</v>
      </c>
      <c r="I16" s="76" t="s">
        <v>31</v>
      </c>
      <c r="J16" s="88"/>
      <c r="K16" s="88"/>
      <c r="L16" s="88"/>
      <c r="M16" s="85"/>
      <c r="N16" s="76" t="s">
        <v>30</v>
      </c>
      <c r="O16" s="76" t="s">
        <v>30</v>
      </c>
      <c r="P16" s="76"/>
      <c r="Q16" s="88"/>
      <c r="R16" s="163"/>
      <c r="S16" s="158"/>
      <c r="T16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306" t="s">
        <v>200</v>
      </c>
      <c r="AI16" s="438">
        <v>2.97E-3</v>
      </c>
      <c r="AJ16" s="13"/>
      <c r="AK16" s="103"/>
      <c r="AL16" s="7"/>
      <c r="AM16" s="7"/>
      <c r="AN16" s="7"/>
      <c r="AO16" s="7"/>
    </row>
    <row r="17" spans="1:41" ht="18.75" x14ac:dyDescent="0.3">
      <c r="A17" s="7"/>
      <c r="B17" s="7"/>
      <c r="C17" s="102"/>
      <c r="D17" s="383" t="s">
        <v>106</v>
      </c>
      <c r="E17" s="76">
        <v>180</v>
      </c>
      <c r="F17" s="88"/>
      <c r="G17" s="88"/>
      <c r="H17" s="384"/>
      <c r="I17" s="76" t="s">
        <v>29</v>
      </c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438"/>
      <c r="AJ17" s="13"/>
      <c r="AK17" s="103"/>
      <c r="AL17" s="7"/>
      <c r="AM17" s="7"/>
      <c r="AN17" s="7"/>
      <c r="AO17" s="7"/>
    </row>
    <row r="18" spans="1:41" ht="18.75" x14ac:dyDescent="0.3">
      <c r="A18" s="7"/>
      <c r="B18" s="7"/>
      <c r="C18" s="102"/>
      <c r="D18" s="77" t="s">
        <v>107</v>
      </c>
      <c r="E18" s="76">
        <v>40</v>
      </c>
      <c r="F18" s="88"/>
      <c r="G18" s="88"/>
      <c r="H18" s="85"/>
      <c r="I18" s="76" t="s">
        <v>200</v>
      </c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/>
      <c r="U18" s="439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76"/>
      <c r="AJ18" s="13"/>
      <c r="AK18" s="103"/>
      <c r="AL18" s="7"/>
      <c r="AM18" s="7"/>
      <c r="AN18" s="7"/>
      <c r="AO18" s="7"/>
    </row>
    <row r="19" spans="1:41" ht="18.75" x14ac:dyDescent="0.3">
      <c r="A19" s="7"/>
      <c r="B19" s="7"/>
      <c r="C19" s="102"/>
      <c r="D19" s="383" t="s">
        <v>108</v>
      </c>
      <c r="E19" s="76"/>
      <c r="F19" s="88"/>
      <c r="G19" s="88"/>
      <c r="H19" s="85"/>
      <c r="I19" s="76" t="s">
        <v>32</v>
      </c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76"/>
      <c r="AJ19" s="13"/>
      <c r="AK19" s="103"/>
      <c r="AL19" s="7"/>
      <c r="AM19" s="7"/>
      <c r="AN19" s="7"/>
      <c r="AO19" s="7"/>
    </row>
    <row r="20" spans="1:41" ht="18.75" x14ac:dyDescent="0.3">
      <c r="A20" s="7"/>
      <c r="B20" s="7"/>
      <c r="C20" s="102"/>
      <c r="D20" s="77" t="s">
        <v>109</v>
      </c>
      <c r="E20" s="76"/>
      <c r="F20" s="88"/>
      <c r="G20" s="88"/>
      <c r="H20" s="85"/>
      <c r="I20" s="76" t="s">
        <v>30</v>
      </c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76"/>
      <c r="AJ20" s="13"/>
      <c r="AK20" s="103"/>
      <c r="AL20" s="7"/>
      <c r="AM20" s="7"/>
      <c r="AN20" s="7"/>
      <c r="AO20" s="7"/>
    </row>
    <row r="21" spans="1:41" ht="18.75" x14ac:dyDescent="0.3">
      <c r="A21" s="7"/>
      <c r="B21" s="7"/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76"/>
      <c r="AJ21" s="13"/>
      <c r="AK21" s="103"/>
      <c r="AL21" s="7"/>
      <c r="AM21" s="7"/>
      <c r="AN21" s="7"/>
      <c r="AO21" s="7"/>
    </row>
    <row r="22" spans="1:41" ht="18.75" x14ac:dyDescent="0.3">
      <c r="A22" s="7"/>
      <c r="B22" s="7"/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76"/>
      <c r="AJ22" s="13"/>
      <c r="AK22" s="103"/>
      <c r="AL22" s="7"/>
      <c r="AM22" s="7"/>
      <c r="AN22" s="7"/>
      <c r="AO22" s="7"/>
    </row>
    <row r="23" spans="1:41" ht="18.75" x14ac:dyDescent="0.3">
      <c r="A23" s="7"/>
      <c r="B23" s="7"/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76"/>
      <c r="AJ23" s="13"/>
      <c r="AK23" s="103"/>
      <c r="AL23" s="7" t="s">
        <v>49</v>
      </c>
      <c r="AM23" s="7"/>
      <c r="AN23" s="7"/>
      <c r="AO23" s="7"/>
    </row>
    <row r="24" spans="1:41" ht="18.75" x14ac:dyDescent="0.3">
      <c r="A24" s="7"/>
      <c r="B24" s="7"/>
      <c r="C24" s="102"/>
      <c r="D24" s="193" t="s">
        <v>135</v>
      </c>
      <c r="E24" s="86"/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76"/>
      <c r="AJ24" s="13"/>
      <c r="AK24" s="103"/>
      <c r="AL24" s="7"/>
      <c r="AM24" s="7"/>
      <c r="AN24" s="7"/>
      <c r="AO24" s="7"/>
    </row>
    <row r="25" spans="1:41" ht="18.75" x14ac:dyDescent="0.3">
      <c r="A25" s="7"/>
      <c r="B25" s="7"/>
      <c r="C25" s="102"/>
      <c r="D25" s="193" t="s">
        <v>136</v>
      </c>
      <c r="E25" s="86"/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83"/>
      <c r="U25" s="182"/>
      <c r="V25" s="181"/>
      <c r="W25" s="158"/>
      <c r="X25" s="181"/>
      <c r="Y25" s="181"/>
      <c r="Z25" s="182"/>
      <c r="AA25" s="181"/>
      <c r="AB25" s="180"/>
      <c r="AC25" s="83"/>
      <c r="AD25" s="181"/>
      <c r="AE25" s="83"/>
      <c r="AF25" s="182"/>
      <c r="AG25" s="181"/>
      <c r="AH25" s="158"/>
      <c r="AI25" s="76"/>
      <c r="AJ25" s="13"/>
      <c r="AK25" s="103"/>
      <c r="AL25" s="7"/>
      <c r="AM25" s="7"/>
      <c r="AN25" s="7"/>
      <c r="AO25" s="7"/>
    </row>
    <row r="26" spans="1:41" ht="18.75" x14ac:dyDescent="0.3">
      <c r="A26" s="7"/>
      <c r="B26" s="7"/>
      <c r="C26" s="102"/>
      <c r="D26" s="194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83"/>
      <c r="U26" s="182"/>
      <c r="V26" s="181"/>
      <c r="W26" s="158"/>
      <c r="X26" s="181"/>
      <c r="Y26" s="181"/>
      <c r="Z26" s="182"/>
      <c r="AA26" s="181"/>
      <c r="AB26" s="180"/>
      <c r="AC26" s="83"/>
      <c r="AD26" s="181"/>
      <c r="AE26" s="83"/>
      <c r="AF26" s="182"/>
      <c r="AG26" s="181"/>
      <c r="AH26" s="158"/>
      <c r="AI26" s="76"/>
      <c r="AJ26" s="13"/>
      <c r="AK26" s="103"/>
      <c r="AL26" s="7"/>
      <c r="AM26" s="7"/>
      <c r="AN26" s="7"/>
      <c r="AO26" s="7"/>
    </row>
    <row r="27" spans="1:41" ht="19.5" thickBot="1" x14ac:dyDescent="0.35">
      <c r="A27" s="7"/>
      <c r="B27" s="7"/>
      <c r="C27" s="102"/>
      <c r="D27" s="195" t="s">
        <v>145</v>
      </c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62"/>
      <c r="U27" s="185"/>
      <c r="V27" s="181"/>
      <c r="W27" s="161"/>
      <c r="X27" s="184"/>
      <c r="Y27" s="184"/>
      <c r="Z27" s="185"/>
      <c r="AA27" s="181"/>
      <c r="AB27" s="183"/>
      <c r="AC27" s="162"/>
      <c r="AD27" s="184"/>
      <c r="AE27" s="162"/>
      <c r="AF27" s="185"/>
      <c r="AG27" s="181"/>
      <c r="AH27" s="161"/>
      <c r="AI27" s="79"/>
      <c r="AJ27" s="13"/>
      <c r="AK27" s="103"/>
      <c r="AL27" s="7"/>
      <c r="AM27" s="7"/>
      <c r="AN27" s="7"/>
      <c r="AO27" s="7"/>
    </row>
    <row r="28" spans="1:41" x14ac:dyDescent="0.25">
      <c r="A28" s="7"/>
      <c r="B28" s="7"/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7"/>
      <c r="AI28" s="7"/>
      <c r="AJ28" s="13"/>
      <c r="AK28" s="103"/>
      <c r="AL28" s="7"/>
      <c r="AM28" s="7"/>
      <c r="AN28" s="7"/>
      <c r="AO28" s="7"/>
    </row>
    <row r="29" spans="1:41" x14ac:dyDescent="0.25">
      <c r="A29" s="7"/>
      <c r="B29" s="7"/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7"/>
      <c r="AI29" s="7"/>
      <c r="AJ29" s="13"/>
      <c r="AK29" s="103"/>
      <c r="AL29" s="7"/>
      <c r="AM29" s="7"/>
      <c r="AN29" s="7"/>
      <c r="AO29" s="7"/>
    </row>
    <row r="30" spans="1:41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7"/>
      <c r="AI30" s="7"/>
      <c r="AJ30" s="13"/>
      <c r="AK30" s="103"/>
      <c r="AL30" s="7"/>
      <c r="AM30" s="7"/>
      <c r="AN30" s="7"/>
      <c r="AO30" s="7"/>
    </row>
    <row r="31" spans="1:41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 t="s">
        <v>49</v>
      </c>
      <c r="AJ31" s="13"/>
      <c r="AK31" s="103"/>
      <c r="AL31" s="7"/>
      <c r="AM31" s="7"/>
      <c r="AN31" s="7"/>
      <c r="AO31" s="7"/>
    </row>
    <row r="32" spans="1:41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03"/>
      <c r="AL32" s="7"/>
      <c r="AM32" s="7"/>
      <c r="AN32" s="7"/>
      <c r="AO32" s="7"/>
    </row>
    <row r="33" spans="1:41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03"/>
      <c r="AL33" s="7"/>
      <c r="AM33" s="7"/>
      <c r="AN33" s="7"/>
      <c r="AO33" s="7"/>
    </row>
    <row r="34" spans="1:41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03"/>
      <c r="AL34" s="7"/>
      <c r="AM34" s="7"/>
      <c r="AN34" s="7"/>
      <c r="AO34" s="7"/>
    </row>
    <row r="35" spans="1:41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03"/>
      <c r="AL35" s="7"/>
      <c r="AM35" s="7"/>
      <c r="AN35" s="7"/>
      <c r="AO35" s="7"/>
    </row>
    <row r="36" spans="1:41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03"/>
      <c r="AL36" s="7"/>
      <c r="AM36" s="7"/>
      <c r="AN36" s="7"/>
      <c r="AO36" s="7"/>
    </row>
    <row r="37" spans="1:41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03"/>
      <c r="AL37" s="7"/>
      <c r="AM37" s="7"/>
      <c r="AN37" s="7"/>
      <c r="AO37" s="7"/>
    </row>
    <row r="38" spans="1:41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03"/>
      <c r="AL38" s="7"/>
      <c r="AM38" s="7"/>
      <c r="AN38" s="7"/>
      <c r="AO38" s="7"/>
    </row>
    <row r="39" spans="1:41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03"/>
      <c r="AL39" s="7"/>
      <c r="AM39" s="7"/>
      <c r="AN39" s="7"/>
      <c r="AO39" s="7"/>
    </row>
    <row r="40" spans="1:41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03"/>
      <c r="AL40" s="7"/>
      <c r="AM40" s="7"/>
      <c r="AN40" s="7"/>
      <c r="AO40" s="7"/>
    </row>
    <row r="41" spans="1:41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03"/>
      <c r="AL41" s="7"/>
      <c r="AM41" s="7"/>
      <c r="AN41" s="7"/>
      <c r="AO41" s="7"/>
    </row>
    <row r="42" spans="1:41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03"/>
      <c r="AL42" s="7"/>
      <c r="AM42" s="7"/>
      <c r="AN42" s="7"/>
      <c r="AO42" s="7"/>
    </row>
    <row r="43" spans="1:41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03"/>
      <c r="AL43" s="7"/>
      <c r="AM43" s="7"/>
      <c r="AN43" s="7"/>
      <c r="AO43" s="7"/>
    </row>
    <row r="44" spans="1:41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03"/>
      <c r="AL44" s="7"/>
      <c r="AM44" s="7"/>
      <c r="AN44" s="7"/>
      <c r="AO44" s="7"/>
    </row>
    <row r="45" spans="1:41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03"/>
      <c r="AL45" s="7"/>
      <c r="AM45" s="7"/>
      <c r="AN45" s="7"/>
      <c r="AO45" s="7"/>
    </row>
    <row r="46" spans="1:41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03"/>
      <c r="AL46" s="7"/>
      <c r="AM46" s="7"/>
      <c r="AN46" s="7"/>
      <c r="AO46" s="7"/>
    </row>
    <row r="47" spans="1:41" ht="18.75" x14ac:dyDescent="0.25">
      <c r="A47" s="7"/>
      <c r="B47" s="7"/>
      <c r="C47" s="102"/>
      <c r="D47" s="7"/>
      <c r="E47" s="7"/>
      <c r="F47" s="399"/>
      <c r="G47" s="397"/>
      <c r="H47" s="7"/>
      <c r="I47" s="7"/>
      <c r="J47" s="399"/>
      <c r="K47" s="397"/>
      <c r="L47" s="7"/>
      <c r="M47" s="7"/>
      <c r="N47" s="7"/>
      <c r="O47" s="7"/>
      <c r="P47" s="392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03"/>
      <c r="AL47" s="7"/>
      <c r="AM47" s="7"/>
      <c r="AN47" s="7"/>
      <c r="AO47" s="7"/>
    </row>
    <row r="48" spans="1:41" ht="15.75" x14ac:dyDescent="0.25">
      <c r="A48" s="7"/>
      <c r="B48" s="7"/>
      <c r="C48" s="102"/>
      <c r="D48" s="7"/>
      <c r="E48" s="7"/>
      <c r="F48" s="393"/>
      <c r="G48" s="393"/>
      <c r="H48" s="7"/>
      <c r="I48" s="7"/>
      <c r="J48" s="393"/>
      <c r="K48" s="393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03"/>
      <c r="AL48" s="7"/>
      <c r="AM48" s="7"/>
      <c r="AN48" s="7"/>
      <c r="AO48" s="7"/>
    </row>
    <row r="49" spans="1:41" ht="15.75" x14ac:dyDescent="0.25">
      <c r="A49" s="7"/>
      <c r="B49" s="7"/>
      <c r="C49" s="102"/>
      <c r="D49" s="7"/>
      <c r="E49" s="7"/>
      <c r="F49" s="394"/>
      <c r="G49" s="394"/>
      <c r="H49" s="7"/>
      <c r="I49" s="7"/>
      <c r="J49" s="395"/>
      <c r="K49" s="395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03"/>
      <c r="AL49" s="7"/>
      <c r="AM49" s="7"/>
      <c r="AN49" s="7"/>
      <c r="AO49" s="7"/>
    </row>
    <row r="50" spans="1:41" ht="15.75" x14ac:dyDescent="0.25">
      <c r="A50" s="7"/>
      <c r="B50" s="7"/>
      <c r="C50" s="102"/>
      <c r="D50" s="7"/>
      <c r="E50" s="7"/>
      <c r="F50" s="394"/>
      <c r="G50" s="394"/>
      <c r="H50" s="7"/>
      <c r="I50" s="7"/>
      <c r="J50" s="395"/>
      <c r="K50" s="395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03"/>
      <c r="AL50" s="7"/>
      <c r="AM50" s="7"/>
      <c r="AN50" s="7"/>
      <c r="AO50" s="7"/>
    </row>
    <row r="51" spans="1:41" ht="15.75" x14ac:dyDescent="0.25">
      <c r="A51" s="7"/>
      <c r="B51" s="7"/>
      <c r="C51" s="102"/>
      <c r="D51" s="7"/>
      <c r="E51" s="7"/>
      <c r="F51" s="394"/>
      <c r="G51" s="394"/>
      <c r="H51" s="7"/>
      <c r="I51" s="7"/>
      <c r="J51" s="395"/>
      <c r="K51" s="395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03"/>
      <c r="AL51" s="7"/>
      <c r="AM51" s="7"/>
      <c r="AN51" s="7"/>
      <c r="AO51" s="7"/>
    </row>
    <row r="52" spans="1:41" ht="15.75" x14ac:dyDescent="0.25">
      <c r="A52" s="7"/>
      <c r="B52" s="7"/>
      <c r="C52" s="102"/>
      <c r="D52" s="7"/>
      <c r="E52" s="7"/>
      <c r="F52" s="394"/>
      <c r="G52" s="394"/>
      <c r="H52" s="7"/>
      <c r="I52" s="7"/>
      <c r="J52" s="396"/>
      <c r="K52" s="396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03"/>
      <c r="AL52" s="7"/>
      <c r="AM52" s="7"/>
      <c r="AN52" s="7"/>
      <c r="AO52" s="7"/>
    </row>
    <row r="53" spans="1:41" ht="15.75" x14ac:dyDescent="0.25">
      <c r="A53" s="7"/>
      <c r="B53" s="7"/>
      <c r="C53" s="102"/>
      <c r="D53" s="7"/>
      <c r="E53" s="7"/>
      <c r="F53" s="394"/>
      <c r="G53" s="394"/>
      <c r="H53" s="7"/>
      <c r="I53" s="7"/>
      <c r="J53" s="396"/>
      <c r="K53" s="396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03"/>
      <c r="AL53" s="7"/>
      <c r="AM53" s="7"/>
      <c r="AN53" s="7"/>
      <c r="AO53" s="7"/>
    </row>
    <row r="54" spans="1:41" ht="15.75" x14ac:dyDescent="0.25">
      <c r="A54" s="7"/>
      <c r="B54" s="7"/>
      <c r="C54" s="102"/>
      <c r="D54" s="7"/>
      <c r="E54" s="7"/>
      <c r="F54" s="394"/>
      <c r="G54" s="394"/>
      <c r="H54" s="7"/>
      <c r="I54" s="7"/>
      <c r="J54" s="396"/>
      <c r="K54" s="396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03"/>
      <c r="AL54" s="7"/>
      <c r="AM54" s="7"/>
      <c r="AN54" s="7"/>
      <c r="AO54" s="7"/>
    </row>
    <row r="55" spans="1:41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03"/>
      <c r="AL55" s="7"/>
      <c r="AM55" s="7"/>
      <c r="AN55" s="7"/>
      <c r="AO55" s="7"/>
    </row>
    <row r="56" spans="1:41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03"/>
      <c r="AL56" s="7"/>
      <c r="AM56" s="7"/>
      <c r="AN56" s="7"/>
      <c r="AO56" s="7"/>
    </row>
    <row r="57" spans="1:41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03"/>
      <c r="AL57" s="7"/>
      <c r="AM57" s="7"/>
      <c r="AN57" s="7"/>
      <c r="AO57" s="7"/>
    </row>
    <row r="58" spans="1:41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03"/>
      <c r="AL58" s="7"/>
      <c r="AM58" s="7"/>
      <c r="AN58" s="7"/>
      <c r="AO58" s="7"/>
    </row>
    <row r="59" spans="1:41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03"/>
      <c r="AL59" s="7"/>
      <c r="AM59" s="7"/>
      <c r="AN59" s="7"/>
      <c r="AO59" s="7"/>
    </row>
    <row r="60" spans="1:41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03"/>
      <c r="AL60" s="7"/>
      <c r="AM60" s="7"/>
      <c r="AN60" s="7"/>
      <c r="AO60" s="7"/>
    </row>
    <row r="61" spans="1:41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03"/>
      <c r="AL61" s="7"/>
      <c r="AM61" s="7"/>
      <c r="AN61" s="7"/>
      <c r="AO61" s="7"/>
    </row>
    <row r="62" spans="1:41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03"/>
      <c r="AL62" s="7"/>
      <c r="AM62" s="7"/>
      <c r="AN62" s="7"/>
      <c r="AO62" s="7"/>
    </row>
    <row r="63" spans="1:41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03"/>
      <c r="AL63" s="7"/>
      <c r="AM63" s="7"/>
      <c r="AN63" s="7"/>
      <c r="AO63" s="7"/>
    </row>
    <row r="64" spans="1:41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03"/>
      <c r="AL64" s="7"/>
      <c r="AM64" s="7"/>
      <c r="AN64" s="7"/>
      <c r="AO64" s="7"/>
    </row>
    <row r="65" spans="1:41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03"/>
      <c r="AL65" s="7"/>
      <c r="AM65" s="7"/>
      <c r="AN65" s="7"/>
      <c r="AO65" s="7"/>
    </row>
    <row r="66" spans="1:41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03"/>
      <c r="AL66" s="7"/>
      <c r="AM66" s="7"/>
      <c r="AN66" s="7"/>
      <c r="AO66" s="7"/>
    </row>
    <row r="67" spans="1:41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03"/>
      <c r="AL67" s="7"/>
      <c r="AM67" s="7"/>
      <c r="AN67" s="7"/>
      <c r="AO67" s="7"/>
    </row>
    <row r="68" spans="1:41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03"/>
      <c r="AL68" s="7"/>
      <c r="AM68" s="7"/>
      <c r="AN68" s="7"/>
      <c r="AO68" s="7"/>
    </row>
    <row r="69" spans="1:41" x14ac:dyDescent="0.25">
      <c r="A69" s="7"/>
      <c r="B69" s="7"/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03"/>
      <c r="AL69" s="7"/>
      <c r="AM69" s="7"/>
      <c r="AN69" s="7"/>
      <c r="AO69" s="7"/>
    </row>
    <row r="70" spans="1:41" ht="15.75" thickBot="1" x14ac:dyDescent="0.3">
      <c r="A70" s="7"/>
      <c r="B70" s="7"/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70"/>
      <c r="AL70" s="7"/>
      <c r="AM70" s="7"/>
      <c r="AN70" s="7"/>
      <c r="AO70" s="7"/>
    </row>
    <row r="71" spans="1:4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72" spans="1:4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</row>
    <row r="73" spans="1:4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</row>
    <row r="74" spans="1:4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</row>
    <row r="75" spans="1:4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</row>
    <row r="76" spans="1:4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</row>
    <row r="77" spans="1:4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</row>
    <row r="78" spans="1:4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</row>
    <row r="79" spans="1:4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</row>
    <row r="119" spans="17:17" x14ac:dyDescent="0.25">
      <c r="Q119" s="3" t="s">
        <v>49</v>
      </c>
    </row>
    <row r="137" spans="18:18" x14ac:dyDescent="0.25">
      <c r="R137" s="3" t="s">
        <v>49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71E391-350F-1E49-82C1-21BCCE5158E5}">
          <x14:formula1>
            <xm:f>'C:\Users\philippkenkel\Seafile\RESILIENTE ENERGIESYSTEME\Intern\[TEST_CASE.xlsm]Systemblatt'!#REF!</xm:f>
          </x14:formula1>
          <xm:sqref>AC10:AC27 T14:T17 AE10:AE27 N18:O27 P12:P27 AH17:AH30 T19:T27 T10:T12 I16:I17 N12:O13</xm:sqref>
        </x14:dataValidation>
        <x14:dataValidation type="list" allowBlank="1" showInputMessage="1" showErrorMessage="1" xr:uid="{A3F46F38-F099-004F-937B-05FDF9C0340E}">
          <x14:formula1>
            <xm:f>'C:\Users\philippkenkel\Seafile\RESILIENTE ENERGIESYSTEME\Intern\[TEST_CASE.xlsm]DataBank'!#REF!</xm:f>
          </x14:formula1>
          <xm:sqref>AB10 AD10 I15 N11:P11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035D4-5D13-2E4D-A8CC-BDC3C6D28CB6}">
  <sheetPr codeName="Tabelle43"/>
  <dimension ref="A1:AJ144"/>
  <sheetViews>
    <sheetView topLeftCell="F1" zoomScale="75" zoomScaleNormal="47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224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0.10674400000000001</v>
      </c>
      <c r="O10" s="93">
        <v>-0.10674400000000001</v>
      </c>
      <c r="P10" s="74"/>
      <c r="Q10" s="7"/>
      <c r="R10" s="7"/>
      <c r="S10" s="380">
        <v>5140</v>
      </c>
      <c r="T10" s="93" t="s">
        <v>29</v>
      </c>
      <c r="U10" s="381">
        <v>1</v>
      </c>
      <c r="V10" s="382"/>
      <c r="W10" s="152"/>
      <c r="X10" s="83">
        <v>5140</v>
      </c>
      <c r="Y10" s="153">
        <v>888</v>
      </c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5130</v>
      </c>
      <c r="F11" s="7"/>
      <c r="G11" s="7"/>
      <c r="H11" s="383" t="s">
        <v>113</v>
      </c>
      <c r="I11" s="76">
        <v>1.92</v>
      </c>
      <c r="J11" s="7"/>
      <c r="K11" s="7"/>
      <c r="L11" s="7"/>
      <c r="M11" s="384" t="s">
        <v>122</v>
      </c>
      <c r="N11" s="83" t="s">
        <v>26</v>
      </c>
      <c r="O11" s="83" t="s">
        <v>26</v>
      </c>
      <c r="P11" s="76"/>
      <c r="Q11" s="7"/>
      <c r="R11" s="7"/>
      <c r="S11" s="385">
        <v>5140</v>
      </c>
      <c r="T11" s="83" t="s">
        <v>31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0.50319999999999998</v>
      </c>
      <c r="J12" s="7"/>
      <c r="K12" s="7"/>
      <c r="L12" s="7"/>
      <c r="M12" s="384" t="s">
        <v>123</v>
      </c>
      <c r="N12" s="83" t="s">
        <v>29</v>
      </c>
      <c r="O12" s="83" t="s">
        <v>29</v>
      </c>
      <c r="P12" s="76"/>
      <c r="Q12" s="7"/>
      <c r="R12" s="7"/>
      <c r="S12" s="385">
        <v>5140</v>
      </c>
      <c r="T12" s="83" t="s">
        <v>30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0.36185</v>
      </c>
      <c r="J13" s="7"/>
      <c r="K13" s="7"/>
      <c r="L13" s="7"/>
      <c r="M13" s="384"/>
      <c r="N13" s="83" t="s">
        <v>31</v>
      </c>
      <c r="O13" s="83" t="s">
        <v>31</v>
      </c>
      <c r="P13" s="76"/>
      <c r="Q13" s="7"/>
      <c r="R13" s="7"/>
      <c r="S13" s="391">
        <v>5140</v>
      </c>
      <c r="T13" s="83" t="s">
        <v>200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 t="s">
        <v>30</v>
      </c>
      <c r="O14" s="83" t="s">
        <v>30</v>
      </c>
      <c r="P14" s="76"/>
      <c r="Q14" s="7"/>
      <c r="R14" s="7"/>
      <c r="S14" s="391">
        <v>5140</v>
      </c>
      <c r="T14" s="83" t="s">
        <v>32</v>
      </c>
      <c r="U14" s="389">
        <v>0.11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 t="s">
        <v>32</v>
      </c>
      <c r="O15" s="83" t="s">
        <v>32</v>
      </c>
      <c r="P15" s="76"/>
      <c r="Q15" s="7"/>
      <c r="R15" s="7"/>
      <c r="S15" s="391">
        <v>888</v>
      </c>
      <c r="T15" s="83" t="s">
        <v>32</v>
      </c>
      <c r="U15" s="389">
        <v>0.89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29</v>
      </c>
      <c r="J16" s="7"/>
      <c r="K16" s="7"/>
      <c r="L16" s="7"/>
      <c r="M16" s="85"/>
      <c r="N16" s="83" t="s">
        <v>200</v>
      </c>
      <c r="O16" s="83" t="s">
        <v>200</v>
      </c>
      <c r="P16" s="76"/>
      <c r="Q16" s="7"/>
      <c r="R16" s="7"/>
      <c r="S16" s="158"/>
      <c r="T16" s="83"/>
      <c r="U16" s="389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>
        <v>40</v>
      </c>
      <c r="F17" s="7"/>
      <c r="G17" s="7"/>
      <c r="H17" s="384"/>
      <c r="I17" s="76" t="s">
        <v>31</v>
      </c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389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>
        <v>40</v>
      </c>
      <c r="F18" s="7"/>
      <c r="G18" s="7"/>
      <c r="H18" s="85"/>
      <c r="I18" s="76" t="s">
        <v>30</v>
      </c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200</v>
      </c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32</v>
      </c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9D0594-3D51-D24E-B6DD-2DB4922BC960}">
          <x14:formula1>
            <xm:f>'C:\Users\philippkenkel\Seafile\RESILIENTE ENERGIESYSTEME\Intern\[TEST_CASE.xlsm]Systemblatt'!#REF!</xm:f>
          </x14:formula1>
          <xm:sqref>N12:P22 AC10:AC24 AE10:AE24 T10:T24 I16:K17</xm:sqref>
        </x14:dataValidation>
        <x14:dataValidation type="whole" allowBlank="1" showInputMessage="1" showErrorMessage="1" xr:uid="{C2501044-3166-0E4A-8ED3-CAB650A7489E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DCC4B9DF-4C16-3249-A157-B4C548ED7EC2}">
          <x14:formula1>
            <xm:f>'C:\Users\philippkenkel\Seafile\RESILIENTE ENERGIESYSTEME\Intern\[TEST_CASE.xlsm]DataBank'!#REF!</xm:f>
          </x14:formula1>
          <xm:sqref>I15:K15 N11:P11 AB10 AD10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06A-C648-AF4B-A077-DD22B2F8A338}">
  <sheetPr codeName="Tabelle39"/>
  <dimension ref="A1:AJ144"/>
  <sheetViews>
    <sheetView zoomScaleNormal="47" workbookViewId="0">
      <selection activeCell="J10" sqref="J1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287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0.1174</v>
      </c>
      <c r="O10" s="93"/>
      <c r="P10" s="74"/>
      <c r="Q10" s="7"/>
      <c r="R10" s="7"/>
      <c r="S10" s="380">
        <v>3100</v>
      </c>
      <c r="T10" s="486" t="s">
        <v>31</v>
      </c>
      <c r="U10" s="381">
        <v>1</v>
      </c>
      <c r="V10" s="382"/>
      <c r="W10" s="152"/>
      <c r="X10" s="83">
        <v>3100</v>
      </c>
      <c r="Y10" s="153"/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5120</v>
      </c>
      <c r="F11" s="7"/>
      <c r="G11" s="7"/>
      <c r="H11" s="383" t="s">
        <v>113</v>
      </c>
      <c r="I11" s="76">
        <v>1.345</v>
      </c>
      <c r="J11" s="7"/>
      <c r="K11" s="7"/>
      <c r="L11" s="7"/>
      <c r="M11" s="384" t="s">
        <v>122</v>
      </c>
      <c r="N11" s="76" t="s">
        <v>26</v>
      </c>
      <c r="O11" s="83"/>
      <c r="P11" s="76"/>
      <c r="Q11" s="7"/>
      <c r="R11" s="7"/>
      <c r="S11" s="385">
        <v>3100</v>
      </c>
      <c r="T11" s="486" t="s">
        <v>32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0.50319999999999998</v>
      </c>
      <c r="J12" s="7"/>
      <c r="K12" s="7"/>
      <c r="L12" s="7"/>
      <c r="M12" s="384" t="s">
        <v>123</v>
      </c>
      <c r="N12" s="76" t="s">
        <v>29</v>
      </c>
      <c r="O12" s="83"/>
      <c r="P12" s="76"/>
      <c r="Q12" s="7"/>
      <c r="R12" s="7"/>
      <c r="S12" s="385">
        <v>3100</v>
      </c>
      <c r="T12" s="486" t="s">
        <v>30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0.1096</v>
      </c>
      <c r="J13" s="7"/>
      <c r="K13" s="7"/>
      <c r="L13" s="7"/>
      <c r="M13" s="384"/>
      <c r="N13" s="76" t="s">
        <v>31</v>
      </c>
      <c r="O13" s="83"/>
      <c r="P13" s="76"/>
      <c r="Q13" s="7"/>
      <c r="R13" s="7"/>
      <c r="S13" s="385">
        <v>3100</v>
      </c>
      <c r="T13" s="486" t="s">
        <v>29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76" t="s">
        <v>32</v>
      </c>
      <c r="O14" s="83"/>
      <c r="P14" s="76"/>
      <c r="Q14" s="7"/>
      <c r="R14" s="7"/>
      <c r="S14" s="385">
        <v>3100</v>
      </c>
      <c r="T14" s="486" t="s">
        <v>9</v>
      </c>
      <c r="U14" s="389">
        <v>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76" t="s">
        <v>30</v>
      </c>
      <c r="O15" s="83"/>
      <c r="P15" s="76"/>
      <c r="Q15" s="7"/>
      <c r="R15" s="7"/>
      <c r="S15" s="385">
        <v>3100</v>
      </c>
      <c r="T15" s="86" t="s">
        <v>200</v>
      </c>
      <c r="U15" s="389">
        <v>1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29</v>
      </c>
      <c r="J16" s="7"/>
      <c r="K16" s="7"/>
      <c r="L16" s="7"/>
      <c r="M16" s="85"/>
      <c r="N16" s="76" t="s">
        <v>200</v>
      </c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 t="s">
        <v>31</v>
      </c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76" t="s">
        <v>32</v>
      </c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30</v>
      </c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200</v>
      </c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50AB848-D79B-C24F-ABF2-F0305EC37C89}">
          <x14:formula1>
            <xm:f>'C:\Users\philippkenkel\Seafile\RESILIENTE ENERGIESYSTEME\Intern\[TEST_CASE.xlsm]DataBank'!#REF!</xm:f>
          </x14:formula1>
          <xm:sqref>N11:P11 AD10 AB10 I15:K15</xm:sqref>
        </x14:dataValidation>
        <x14:dataValidation type="whole" allowBlank="1" showInputMessage="1" showErrorMessage="1" xr:uid="{D0973450-0A6A-CF40-9BEC-6739A41449DF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D86BBC0F-4F91-644C-9015-BC9F2C4EB896}">
          <x14:formula1>
            <xm:f>'C:\Users\philippkenkel\Seafile\RESILIENTE ENERGIESYSTEME\Intern\[TEST_CASE.xlsm]Systemblatt'!#REF!</xm:f>
          </x14:formula1>
          <xm:sqref>AC10:AC24 N17:N22 AE10:AE24 O12:P22 T16:T24 N12:N13 I16:K17</xm:sqref>
        </x14:dataValidation>
        <x14:dataValidation type="list" allowBlank="1" showInputMessage="1" showErrorMessage="1" xr:uid="{66214753-E518-6B43-A710-57D6256BD065}">
          <x14:formula1>
            <xm:f>Systemblatt!$E$5:$E$12</xm:f>
          </x14:formula1>
          <xm:sqref>T10:T14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95A4C-AE37-0145-AA1B-5B089981A7B8}">
  <sheetPr codeName="Tabelle46"/>
  <dimension ref="A1:AJ144"/>
  <sheetViews>
    <sheetView topLeftCell="N1" zoomScale="75" zoomScaleNormal="47" workbookViewId="0">
      <selection activeCell="W11" sqref="W1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226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/>
      <c r="O10" s="93"/>
      <c r="P10" s="74"/>
      <c r="Q10" s="7"/>
      <c r="R10" s="7"/>
      <c r="S10" s="380">
        <v>5210</v>
      </c>
      <c r="T10" s="93" t="s">
        <v>9</v>
      </c>
      <c r="U10" s="381">
        <v>1</v>
      </c>
      <c r="V10" s="382"/>
      <c r="W10" s="152">
        <v>115</v>
      </c>
      <c r="X10" s="83"/>
      <c r="Y10" s="153"/>
      <c r="Z10" s="154"/>
      <c r="AA10" s="20"/>
      <c r="AB10" s="207" t="s">
        <v>26</v>
      </c>
      <c r="AC10" s="93" t="s">
        <v>9</v>
      </c>
      <c r="AD10" s="208" t="s">
        <v>26</v>
      </c>
      <c r="AE10" s="93" t="s">
        <v>200</v>
      </c>
      <c r="AF10" s="150">
        <v>1.1459999999999999</v>
      </c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5200</v>
      </c>
      <c r="F11" s="7"/>
      <c r="G11" s="7"/>
      <c r="H11" s="383" t="s">
        <v>113</v>
      </c>
      <c r="I11" s="76">
        <v>0</v>
      </c>
      <c r="J11" s="7"/>
      <c r="K11" s="7"/>
      <c r="L11" s="7"/>
      <c r="M11" s="384" t="s">
        <v>122</v>
      </c>
      <c r="N11" s="83"/>
      <c r="O11" s="83"/>
      <c r="P11" s="76"/>
      <c r="Q11" s="7"/>
      <c r="R11" s="7"/>
      <c r="S11" s="385">
        <v>5210</v>
      </c>
      <c r="T11" s="83" t="s">
        <v>200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1</v>
      </c>
      <c r="J12" s="7"/>
      <c r="K12" s="7"/>
      <c r="L12" s="7"/>
      <c r="M12" s="384" t="s">
        <v>123</v>
      </c>
      <c r="N12" s="83"/>
      <c r="O12" s="83"/>
      <c r="P12" s="76"/>
      <c r="Q12" s="7"/>
      <c r="R12" s="7"/>
      <c r="S12" s="385">
        <v>5210</v>
      </c>
      <c r="T12" s="83" t="s">
        <v>31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 t="s">
        <v>278</v>
      </c>
      <c r="F13" s="7"/>
      <c r="G13" s="7"/>
      <c r="H13" s="383" t="s">
        <v>115</v>
      </c>
      <c r="I13" s="76">
        <v>1</v>
      </c>
      <c r="J13" s="7"/>
      <c r="K13" s="7"/>
      <c r="L13" s="7"/>
      <c r="M13" s="384"/>
      <c r="N13" s="83"/>
      <c r="O13" s="83"/>
      <c r="P13" s="76"/>
      <c r="Q13" s="7"/>
      <c r="R13" s="7"/>
      <c r="S13" s="391"/>
      <c r="T13" s="83"/>
      <c r="U13" s="389"/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/>
      <c r="O14" s="83"/>
      <c r="P14" s="76"/>
      <c r="Q14" s="7"/>
      <c r="R14" s="7"/>
      <c r="S14" s="391"/>
      <c r="T14" s="83"/>
      <c r="U14" s="389"/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/>
      <c r="O15" s="83"/>
      <c r="P15" s="76"/>
      <c r="Q15" s="7"/>
      <c r="R15" s="7"/>
      <c r="S15" s="391"/>
      <c r="T15" s="83"/>
      <c r="U15" s="389"/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31</v>
      </c>
      <c r="J16" s="7"/>
      <c r="K16" s="7"/>
      <c r="L16" s="7"/>
      <c r="M16" s="85"/>
      <c r="N16" s="83"/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/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86"/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86"/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86"/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0D6AC4-DD6E-F945-A4C3-AF35A3523184}">
          <x14:formula1>
            <xm:f>'C:\Users\philippkenkel\Seafile\RESILIENTE ENERGIESYSTEME\Intern\[TEST_CASE.xlsm]DataBank'!#REF!</xm:f>
          </x14:formula1>
          <xm:sqref>I15:K15 N11:P11 AB10 AD10</xm:sqref>
        </x14:dataValidation>
        <x14:dataValidation type="whole" allowBlank="1" showInputMessage="1" showErrorMessage="1" xr:uid="{775CEC5A-26EF-7945-845B-5B1AF365734A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B4F8AC09-6792-8542-B6A0-7C3A21C29EA8}">
          <x14:formula1>
            <xm:f>'C:\Users\philippkenkel\Seafile\RESILIENTE ENERGIESYSTEME\Intern\[TEST_CASE.xlsm]Systemblatt'!#REF!</xm:f>
          </x14:formula1>
          <xm:sqref>N12:P22 AC10:AC24 T10:T24 AE10:AE24 I16:K17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55402-8F9A-5E44-8785-B76E513D2694}">
  <sheetPr codeName="Tabelle17"/>
  <dimension ref="A1:AO137"/>
  <sheetViews>
    <sheetView topLeftCell="F1" zoomScale="82" zoomScaleNormal="60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25" style="3" customWidth="1"/>
    <col min="24" max="24" width="23.140625" style="3" customWidth="1"/>
    <col min="25" max="25" width="16.7109375" style="3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5" width="20" style="3" customWidth="1"/>
    <col min="36" max="16384" width="10.85546875" style="3"/>
  </cols>
  <sheetData>
    <row r="1" spans="1:41" ht="10.5" customHeight="1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</row>
    <row r="2" spans="1:41" ht="6.95" customHeight="1" thickBot="1" x14ac:dyDescent="0.3">
      <c r="A2" s="7"/>
      <c r="B2" s="7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7"/>
      <c r="AL2" s="7"/>
      <c r="AM2" s="7"/>
      <c r="AN2" s="7"/>
      <c r="AO2" s="7"/>
    </row>
    <row r="3" spans="1:41" x14ac:dyDescent="0.25">
      <c r="A3" s="7"/>
      <c r="B3" s="7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4"/>
      <c r="AL3" s="7"/>
      <c r="AM3" s="7"/>
      <c r="AN3" s="7"/>
      <c r="AO3" s="7"/>
    </row>
    <row r="4" spans="1:41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03"/>
      <c r="AL4" s="7"/>
      <c r="AM4" s="7"/>
      <c r="AN4" s="7"/>
      <c r="AO4" s="7"/>
    </row>
    <row r="5" spans="1:41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03"/>
      <c r="AL5" s="7"/>
      <c r="AM5" s="7"/>
      <c r="AN5" s="7"/>
      <c r="AO5" s="7"/>
    </row>
    <row r="6" spans="1:41" x14ac:dyDescent="0.25">
      <c r="A6" s="7"/>
      <c r="B6" s="7"/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03"/>
      <c r="AL6" s="7"/>
      <c r="AM6" s="7"/>
      <c r="AN6" s="7"/>
      <c r="AO6" s="7"/>
    </row>
    <row r="7" spans="1:41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I7" s="7"/>
      <c r="AJ7" s="13"/>
      <c r="AK7" s="103"/>
      <c r="AL7" s="7"/>
      <c r="AM7" s="7"/>
      <c r="AN7" s="7"/>
      <c r="AO7" s="7"/>
    </row>
    <row r="8" spans="1:41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125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13"/>
      <c r="AH8" s="612" t="s">
        <v>20</v>
      </c>
      <c r="AI8" s="614"/>
      <c r="AJ8" s="13"/>
      <c r="AK8" s="103"/>
      <c r="AL8" s="7"/>
      <c r="AM8" s="7"/>
      <c r="AN8" s="7"/>
      <c r="AO8" s="7"/>
    </row>
    <row r="9" spans="1:41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78" t="s">
        <v>126</v>
      </c>
      <c r="T9" s="378" t="s">
        <v>76</v>
      </c>
      <c r="U9" s="378" t="s">
        <v>127</v>
      </c>
      <c r="V9" s="377"/>
      <c r="W9" s="378" t="s">
        <v>76</v>
      </c>
      <c r="X9" s="378" t="s">
        <v>57</v>
      </c>
      <c r="Y9" s="378" t="s">
        <v>128</v>
      </c>
      <c r="Z9" s="378" t="s">
        <v>129</v>
      </c>
      <c r="AA9" s="13"/>
      <c r="AB9" s="378" t="s">
        <v>131</v>
      </c>
      <c r="AC9" s="378" t="s">
        <v>130</v>
      </c>
      <c r="AD9" s="378" t="s">
        <v>8</v>
      </c>
      <c r="AE9" s="378" t="s">
        <v>132</v>
      </c>
      <c r="AF9" s="378" t="s">
        <v>133</v>
      </c>
      <c r="AG9" s="13"/>
      <c r="AH9" s="378" t="s">
        <v>76</v>
      </c>
      <c r="AI9" s="378" t="s">
        <v>1</v>
      </c>
      <c r="AJ9" s="13"/>
      <c r="AK9" s="103"/>
      <c r="AL9" s="7"/>
      <c r="AM9" s="7"/>
      <c r="AN9" s="7"/>
      <c r="AO9" s="7"/>
    </row>
    <row r="10" spans="1:41" ht="18.75" x14ac:dyDescent="0.3">
      <c r="A10" s="7"/>
      <c r="B10" s="7"/>
      <c r="C10" s="102"/>
      <c r="D10" s="379" t="s">
        <v>2</v>
      </c>
      <c r="E10" s="74" t="s">
        <v>227</v>
      </c>
      <c r="F10" s="88"/>
      <c r="G10" s="88"/>
      <c r="H10" s="383" t="s">
        <v>3</v>
      </c>
      <c r="I10" s="76"/>
      <c r="J10" s="88"/>
      <c r="K10" s="88"/>
      <c r="L10" s="88"/>
      <c r="M10" s="379" t="s">
        <v>121</v>
      </c>
      <c r="N10" s="208">
        <v>0.10988000000000001</v>
      </c>
      <c r="O10" s="208">
        <v>0.52898999999999996</v>
      </c>
      <c r="P10" s="74"/>
      <c r="Q10" s="88"/>
      <c r="R10" s="163"/>
      <c r="S10" s="207">
        <v>333</v>
      </c>
      <c r="T10" s="93" t="s">
        <v>31</v>
      </c>
      <c r="U10" s="435">
        <v>1</v>
      </c>
      <c r="V10" s="387"/>
      <c r="W10" s="287">
        <v>111</v>
      </c>
      <c r="X10" s="93">
        <v>333</v>
      </c>
      <c r="Y10" s="398"/>
      <c r="Z10" s="381"/>
      <c r="AA10" s="83"/>
      <c r="AB10" s="207" t="s">
        <v>26</v>
      </c>
      <c r="AC10" s="93" t="s">
        <v>30</v>
      </c>
      <c r="AD10" s="208" t="s">
        <v>26</v>
      </c>
      <c r="AE10" s="93" t="s">
        <v>200</v>
      </c>
      <c r="AF10" s="74">
        <v>0.91579999999999995</v>
      </c>
      <c r="AG10" s="181"/>
      <c r="AH10" s="287" t="s">
        <v>30</v>
      </c>
      <c r="AI10">
        <v>4.4000000000000003E-3</v>
      </c>
      <c r="AJ10" s="13"/>
      <c r="AK10" s="103"/>
      <c r="AL10" s="7"/>
      <c r="AM10" s="7"/>
      <c r="AN10" s="7"/>
      <c r="AO10" s="7"/>
    </row>
    <row r="11" spans="1:41" ht="18.75" x14ac:dyDescent="0.3">
      <c r="A11" s="7"/>
      <c r="B11" s="7"/>
      <c r="C11" s="102"/>
      <c r="D11" s="383" t="s">
        <v>4</v>
      </c>
      <c r="E11" s="76">
        <v>5210</v>
      </c>
      <c r="F11" s="88"/>
      <c r="G11" s="88"/>
      <c r="H11" s="383" t="s">
        <v>113</v>
      </c>
      <c r="I11" s="76">
        <v>4.42</v>
      </c>
      <c r="J11" s="88"/>
      <c r="K11" s="88"/>
      <c r="L11" s="88"/>
      <c r="M11" s="384" t="s">
        <v>122</v>
      </c>
      <c r="N11" s="76" t="s">
        <v>27</v>
      </c>
      <c r="O11" s="76" t="s">
        <v>27</v>
      </c>
      <c r="P11" s="76"/>
      <c r="Q11" s="88"/>
      <c r="R11" s="163"/>
      <c r="S11" s="152">
        <v>333</v>
      </c>
      <c r="T11" s="83" t="s">
        <v>29</v>
      </c>
      <c r="U11" s="435">
        <v>1</v>
      </c>
      <c r="V11" s="387"/>
      <c r="W11" s="158"/>
      <c r="X11" s="83"/>
      <c r="Y11" s="387"/>
      <c r="Z11" s="386"/>
      <c r="AA11" s="83"/>
      <c r="AB11" s="385"/>
      <c r="AC11" s="83"/>
      <c r="AD11" s="387"/>
      <c r="AE11" s="83"/>
      <c r="AF11" s="386"/>
      <c r="AG11" s="181"/>
      <c r="AH11" s="158" t="s">
        <v>31</v>
      </c>
      <c r="AI11">
        <v>0.86240000000000006</v>
      </c>
      <c r="AJ11" s="13"/>
      <c r="AK11" s="103"/>
      <c r="AL11" s="7"/>
      <c r="AM11" s="7"/>
      <c r="AN11" s="7"/>
      <c r="AO11" s="7"/>
    </row>
    <row r="12" spans="1:41" ht="18.75" x14ac:dyDescent="0.3">
      <c r="A12" s="7"/>
      <c r="B12" s="7"/>
      <c r="C12" s="102"/>
      <c r="D12" s="383" t="s">
        <v>90</v>
      </c>
      <c r="E12" s="76" t="s">
        <v>51</v>
      </c>
      <c r="F12" s="88"/>
      <c r="G12" s="88"/>
      <c r="H12" s="383" t="s">
        <v>114</v>
      </c>
      <c r="I12" s="76">
        <v>0.49099999999999999</v>
      </c>
      <c r="J12" s="88"/>
      <c r="K12" s="88"/>
      <c r="L12" s="88"/>
      <c r="M12" s="384" t="s">
        <v>123</v>
      </c>
      <c r="N12" s="76" t="s">
        <v>31</v>
      </c>
      <c r="O12" s="76" t="s">
        <v>31</v>
      </c>
      <c r="P12" s="76"/>
      <c r="Q12" s="88"/>
      <c r="R12" s="163"/>
      <c r="S12" s="152">
        <v>333</v>
      </c>
      <c r="T12" s="83" t="s">
        <v>32</v>
      </c>
      <c r="U12" s="435">
        <v>1</v>
      </c>
      <c r="V12" s="387"/>
      <c r="W12" s="158"/>
      <c r="X12" s="83"/>
      <c r="Y12" s="388"/>
      <c r="Z12" s="389"/>
      <c r="AA12" s="388"/>
      <c r="AB12" s="391"/>
      <c r="AC12" s="83"/>
      <c r="AD12" s="388"/>
      <c r="AE12" s="83"/>
      <c r="AF12" s="386"/>
      <c r="AG12" s="181"/>
      <c r="AH12" s="158" t="s">
        <v>29</v>
      </c>
      <c r="AI12">
        <v>1.5699999999999999E-2</v>
      </c>
      <c r="AJ12" s="13"/>
      <c r="AK12" s="103"/>
      <c r="AL12" s="7"/>
      <c r="AM12" s="7"/>
      <c r="AN12" s="7"/>
      <c r="AO12" s="7"/>
    </row>
    <row r="13" spans="1:41" ht="18.75" x14ac:dyDescent="0.3">
      <c r="A13" s="7"/>
      <c r="B13" s="7"/>
      <c r="C13" s="102"/>
      <c r="D13" s="383" t="s">
        <v>102</v>
      </c>
      <c r="E13" s="76" t="s">
        <v>278</v>
      </c>
      <c r="F13" s="88"/>
      <c r="G13" s="88"/>
      <c r="H13" s="383" t="s">
        <v>115</v>
      </c>
      <c r="I13" s="76">
        <v>0.2823</v>
      </c>
      <c r="J13" s="88"/>
      <c r="K13" s="88"/>
      <c r="L13" s="88"/>
      <c r="M13" s="384"/>
      <c r="N13" s="76" t="s">
        <v>29</v>
      </c>
      <c r="O13" s="76" t="s">
        <v>29</v>
      </c>
      <c r="P13" s="76"/>
      <c r="Q13" s="88"/>
      <c r="R13" s="163"/>
      <c r="S13" s="152">
        <v>333</v>
      </c>
      <c r="T13" s="83" t="s">
        <v>30</v>
      </c>
      <c r="U13" s="435">
        <v>1</v>
      </c>
      <c r="V13" s="388"/>
      <c r="W13" s="158"/>
      <c r="X13" s="83"/>
      <c r="Y13" s="388"/>
      <c r="Z13" s="389"/>
      <c r="AA13" s="388"/>
      <c r="AB13" s="391"/>
      <c r="AC13" s="83"/>
      <c r="AD13" s="388"/>
      <c r="AE13" s="83"/>
      <c r="AF13" s="386"/>
      <c r="AG13" s="181"/>
      <c r="AH13" s="158" t="s">
        <v>32</v>
      </c>
      <c r="AI13">
        <v>0.1143</v>
      </c>
      <c r="AJ13" s="13"/>
      <c r="AK13" s="103"/>
      <c r="AL13" s="7"/>
      <c r="AM13" s="7"/>
      <c r="AN13" s="7"/>
      <c r="AO13" s="7"/>
    </row>
    <row r="14" spans="1:41" ht="19.5" thickBot="1" x14ac:dyDescent="0.35">
      <c r="A14" s="7"/>
      <c r="B14" s="7"/>
      <c r="C14" s="102"/>
      <c r="D14" s="383" t="s">
        <v>103</v>
      </c>
      <c r="E14" s="76">
        <v>20</v>
      </c>
      <c r="F14" s="88"/>
      <c r="G14" s="88"/>
      <c r="H14" s="383" t="s">
        <v>116</v>
      </c>
      <c r="I14" s="76">
        <v>2020</v>
      </c>
      <c r="J14" s="88"/>
      <c r="K14" s="88"/>
      <c r="L14" s="88"/>
      <c r="M14" s="85"/>
      <c r="N14" s="76" t="s">
        <v>200</v>
      </c>
      <c r="O14" s="76" t="s">
        <v>200</v>
      </c>
      <c r="P14" s="76"/>
      <c r="Q14" s="88"/>
      <c r="R14" s="163"/>
      <c r="S14" s="152">
        <v>333</v>
      </c>
      <c r="T14" s="83" t="s">
        <v>200</v>
      </c>
      <c r="U14" s="435">
        <v>1</v>
      </c>
      <c r="V14" s="388"/>
      <c r="W14" s="158"/>
      <c r="X14" s="83"/>
      <c r="Y14" s="388"/>
      <c r="Z14" s="389"/>
      <c r="AA14" s="388"/>
      <c r="AB14" s="391"/>
      <c r="AC14" s="83"/>
      <c r="AD14" s="388"/>
      <c r="AE14" s="83"/>
      <c r="AF14" s="386"/>
      <c r="AG14" s="181"/>
      <c r="AH14" s="158" t="s">
        <v>200</v>
      </c>
      <c r="AI14">
        <v>3.2000000000000002E-3</v>
      </c>
      <c r="AJ14" s="13"/>
      <c r="AK14" s="103"/>
      <c r="AL14" s="7"/>
      <c r="AM14" s="7"/>
      <c r="AN14" s="7"/>
      <c r="AO14" s="7"/>
    </row>
    <row r="15" spans="1:41" ht="18.75" x14ac:dyDescent="0.3">
      <c r="A15" s="7"/>
      <c r="B15" s="7"/>
      <c r="C15" s="102"/>
      <c r="D15" s="383" t="s">
        <v>104</v>
      </c>
      <c r="E15" s="154">
        <v>2.6</v>
      </c>
      <c r="F15" s="88"/>
      <c r="G15" s="88"/>
      <c r="H15" s="384" t="s">
        <v>117</v>
      </c>
      <c r="I15" s="76" t="s">
        <v>27</v>
      </c>
      <c r="J15" s="88"/>
      <c r="K15" s="88"/>
      <c r="L15" s="88"/>
      <c r="M15" s="85"/>
      <c r="N15" s="76" t="s">
        <v>32</v>
      </c>
      <c r="O15" s="76" t="s">
        <v>32</v>
      </c>
      <c r="P15" s="76"/>
      <c r="Q15" s="88"/>
      <c r="R15" s="163"/>
      <c r="S15" s="158"/>
      <c r="T15" s="93"/>
      <c r="U15" s="76"/>
      <c r="V15" s="388"/>
      <c r="W15" s="158"/>
      <c r="X15" s="83"/>
      <c r="Y15" s="83"/>
      <c r="Z15" s="76"/>
      <c r="AA15" s="83"/>
      <c r="AB15" s="158"/>
      <c r="AC15" s="83"/>
      <c r="AD15" s="83"/>
      <c r="AE15" s="83"/>
      <c r="AF15" s="386"/>
      <c r="AG15" s="181"/>
      <c r="AH15" s="158"/>
      <c r="AI15" s="76"/>
      <c r="AJ15" s="13"/>
      <c r="AK15" s="103"/>
      <c r="AL15" s="7"/>
      <c r="AM15" s="7"/>
      <c r="AN15" s="7"/>
      <c r="AO15" s="7"/>
    </row>
    <row r="16" spans="1:41" ht="18.75" x14ac:dyDescent="0.3">
      <c r="A16" s="7"/>
      <c r="B16" s="7"/>
      <c r="C16" s="102"/>
      <c r="D16" s="383" t="s">
        <v>105</v>
      </c>
      <c r="E16" s="154">
        <v>1.44</v>
      </c>
      <c r="F16" s="88"/>
      <c r="G16" s="88"/>
      <c r="H16" s="384" t="s">
        <v>101</v>
      </c>
      <c r="I16" s="76" t="s">
        <v>31</v>
      </c>
      <c r="J16" s="88"/>
      <c r="K16" s="88"/>
      <c r="L16" s="88"/>
      <c r="M16" s="85"/>
      <c r="N16" s="76" t="s">
        <v>30</v>
      </c>
      <c r="O16" s="76" t="s">
        <v>30</v>
      </c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8"/>
      <c r="AI16" s="76"/>
      <c r="AJ16" s="13"/>
      <c r="AK16" s="103"/>
      <c r="AL16" s="7"/>
      <c r="AM16" s="7"/>
      <c r="AN16" s="7"/>
      <c r="AO16" s="7"/>
    </row>
    <row r="17" spans="1:41" ht="18.75" x14ac:dyDescent="0.3">
      <c r="A17" s="7"/>
      <c r="B17" s="7"/>
      <c r="C17" s="102"/>
      <c r="D17" s="383" t="s">
        <v>106</v>
      </c>
      <c r="E17" s="76">
        <v>180</v>
      </c>
      <c r="F17" s="88"/>
      <c r="G17" s="88"/>
      <c r="H17" s="384"/>
      <c r="I17" s="76" t="s">
        <v>29</v>
      </c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76"/>
      <c r="AJ17" s="13"/>
      <c r="AK17" s="103"/>
      <c r="AL17" s="7"/>
      <c r="AM17" s="7"/>
      <c r="AN17" s="7"/>
      <c r="AO17" s="7"/>
    </row>
    <row r="18" spans="1:41" ht="18.75" x14ac:dyDescent="0.3">
      <c r="A18" s="7"/>
      <c r="B18" s="7"/>
      <c r="C18" s="102"/>
      <c r="D18" s="77" t="s">
        <v>107</v>
      </c>
      <c r="E18" s="76">
        <v>40</v>
      </c>
      <c r="F18" s="88"/>
      <c r="G18" s="88"/>
      <c r="H18" s="85"/>
      <c r="I18" s="76" t="s">
        <v>200</v>
      </c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76"/>
      <c r="AJ18" s="13"/>
      <c r="AK18" s="103"/>
      <c r="AL18" s="7"/>
      <c r="AM18" s="7"/>
      <c r="AN18" s="7"/>
      <c r="AO18" s="7"/>
    </row>
    <row r="19" spans="1:41" ht="18.75" x14ac:dyDescent="0.3">
      <c r="A19" s="7"/>
      <c r="B19" s="7"/>
      <c r="C19" s="102"/>
      <c r="D19" s="383" t="s">
        <v>108</v>
      </c>
      <c r="E19" s="76"/>
      <c r="F19" s="88"/>
      <c r="G19" s="88"/>
      <c r="H19" s="85"/>
      <c r="I19" s="76" t="s">
        <v>32</v>
      </c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76"/>
      <c r="AJ19" s="13"/>
      <c r="AK19" s="103"/>
      <c r="AL19" s="7"/>
      <c r="AM19" s="7"/>
      <c r="AN19" s="7"/>
      <c r="AO19" s="7"/>
    </row>
    <row r="20" spans="1:41" ht="18.75" x14ac:dyDescent="0.3">
      <c r="A20" s="7"/>
      <c r="B20" s="7"/>
      <c r="C20" s="102"/>
      <c r="D20" s="77" t="s">
        <v>109</v>
      </c>
      <c r="E20" s="76"/>
      <c r="F20" s="88"/>
      <c r="G20" s="88"/>
      <c r="H20" s="85"/>
      <c r="I20" s="76" t="s">
        <v>30</v>
      </c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76"/>
      <c r="AJ20" s="13"/>
      <c r="AK20" s="103"/>
      <c r="AL20" s="7"/>
      <c r="AM20" s="7"/>
      <c r="AN20" s="7"/>
      <c r="AO20" s="7"/>
    </row>
    <row r="21" spans="1:41" ht="18.75" x14ac:dyDescent="0.3">
      <c r="A21" s="7"/>
      <c r="B21" s="7"/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76"/>
      <c r="AJ21" s="13"/>
      <c r="AK21" s="103"/>
      <c r="AL21" s="7"/>
      <c r="AM21" s="7"/>
      <c r="AN21" s="7"/>
      <c r="AO21" s="7"/>
    </row>
    <row r="22" spans="1:41" ht="18.75" x14ac:dyDescent="0.3">
      <c r="A22" s="7"/>
      <c r="B22" s="7"/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76"/>
      <c r="AJ22" s="13"/>
      <c r="AK22" s="103"/>
      <c r="AL22" s="7"/>
      <c r="AM22" s="7"/>
      <c r="AN22" s="7"/>
      <c r="AO22" s="7"/>
    </row>
    <row r="23" spans="1:41" ht="18.75" x14ac:dyDescent="0.3">
      <c r="A23" s="7"/>
      <c r="B23" s="7"/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76"/>
      <c r="AJ23" s="13"/>
      <c r="AK23" s="103"/>
      <c r="AL23" s="7"/>
      <c r="AM23" s="7"/>
      <c r="AN23" s="7"/>
      <c r="AO23" s="7"/>
    </row>
    <row r="24" spans="1:41" ht="18.75" x14ac:dyDescent="0.3">
      <c r="A24" s="7"/>
      <c r="B24" s="7"/>
      <c r="C24" s="102"/>
      <c r="D24" s="193" t="s">
        <v>135</v>
      </c>
      <c r="E24" s="86"/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76"/>
      <c r="AJ24" s="13"/>
      <c r="AK24" s="103"/>
      <c r="AL24" s="7"/>
      <c r="AM24" s="7"/>
      <c r="AN24" s="7"/>
      <c r="AO24" s="7"/>
    </row>
    <row r="25" spans="1:41" ht="18.75" x14ac:dyDescent="0.3">
      <c r="A25" s="7"/>
      <c r="B25" s="7"/>
      <c r="C25" s="102"/>
      <c r="D25" s="193" t="s">
        <v>136</v>
      </c>
      <c r="E25" s="86"/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83"/>
      <c r="U25" s="182"/>
      <c r="V25" s="181"/>
      <c r="W25" s="158"/>
      <c r="X25" s="181"/>
      <c r="Y25" s="181"/>
      <c r="Z25" s="182"/>
      <c r="AA25" s="181"/>
      <c r="AB25" s="180"/>
      <c r="AC25" s="83"/>
      <c r="AD25" s="181"/>
      <c r="AE25" s="83"/>
      <c r="AF25" s="182"/>
      <c r="AG25" s="181"/>
      <c r="AH25" s="158"/>
      <c r="AI25" s="76"/>
      <c r="AJ25" s="13"/>
      <c r="AK25" s="103"/>
      <c r="AL25" s="7"/>
      <c r="AM25" s="7"/>
      <c r="AN25" s="7"/>
      <c r="AO25" s="7"/>
    </row>
    <row r="26" spans="1:41" ht="18.75" x14ac:dyDescent="0.3">
      <c r="A26" s="7"/>
      <c r="B26" s="7"/>
      <c r="C26" s="102"/>
      <c r="D26" s="194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83"/>
      <c r="U26" s="182"/>
      <c r="V26" s="181"/>
      <c r="W26" s="158"/>
      <c r="X26" s="181"/>
      <c r="Y26" s="181"/>
      <c r="Z26" s="182"/>
      <c r="AA26" s="181"/>
      <c r="AB26" s="180"/>
      <c r="AC26" s="83"/>
      <c r="AD26" s="181"/>
      <c r="AE26" s="83"/>
      <c r="AF26" s="182"/>
      <c r="AG26" s="181"/>
      <c r="AH26" s="158"/>
      <c r="AI26" s="76"/>
      <c r="AJ26" s="13"/>
      <c r="AK26" s="103"/>
      <c r="AL26" s="7"/>
      <c r="AM26" s="7"/>
      <c r="AN26" s="7"/>
      <c r="AO26" s="7"/>
    </row>
    <row r="27" spans="1:41" ht="19.5" thickBot="1" x14ac:dyDescent="0.35">
      <c r="A27" s="7"/>
      <c r="B27" s="7"/>
      <c r="C27" s="102"/>
      <c r="D27" s="195" t="s">
        <v>145</v>
      </c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62"/>
      <c r="U27" s="185"/>
      <c r="V27" s="181"/>
      <c r="W27" s="161"/>
      <c r="X27" s="184"/>
      <c r="Y27" s="184"/>
      <c r="Z27" s="185"/>
      <c r="AA27" s="181"/>
      <c r="AB27" s="183"/>
      <c r="AC27" s="162"/>
      <c r="AD27" s="184"/>
      <c r="AE27" s="162"/>
      <c r="AF27" s="185"/>
      <c r="AG27" s="181"/>
      <c r="AH27" s="161"/>
      <c r="AI27" s="79"/>
      <c r="AJ27" s="13"/>
      <c r="AK27" s="103"/>
      <c r="AL27" s="7"/>
      <c r="AM27" s="7"/>
      <c r="AN27" s="7"/>
      <c r="AO27" s="7"/>
    </row>
    <row r="28" spans="1:41" x14ac:dyDescent="0.25">
      <c r="A28" s="7"/>
      <c r="B28" s="7"/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7"/>
      <c r="AI28" s="7"/>
      <c r="AJ28" s="13"/>
      <c r="AK28" s="103"/>
      <c r="AL28" s="7"/>
      <c r="AM28" s="7" t="s">
        <v>49</v>
      </c>
      <c r="AN28" s="7"/>
      <c r="AO28" s="7"/>
    </row>
    <row r="29" spans="1:41" x14ac:dyDescent="0.25">
      <c r="A29" s="7"/>
      <c r="B29" s="7"/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7"/>
      <c r="AI29" s="7"/>
      <c r="AJ29" s="13"/>
      <c r="AK29" s="103"/>
      <c r="AL29" s="7"/>
      <c r="AM29" s="7"/>
      <c r="AN29" s="7"/>
      <c r="AO29" s="7"/>
    </row>
    <row r="30" spans="1:41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7"/>
      <c r="AI30" s="7"/>
      <c r="AJ30" s="13"/>
      <c r="AK30" s="103"/>
      <c r="AL30" s="7"/>
      <c r="AM30" s="7"/>
      <c r="AN30" s="7"/>
      <c r="AO30" s="7"/>
    </row>
    <row r="31" spans="1:41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03"/>
      <c r="AL31" s="7"/>
      <c r="AM31" s="7"/>
      <c r="AN31" s="7"/>
      <c r="AO31" s="7"/>
    </row>
    <row r="32" spans="1:41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03"/>
      <c r="AL32" s="7"/>
      <c r="AM32" s="7"/>
      <c r="AN32" s="7"/>
      <c r="AO32" s="7"/>
    </row>
    <row r="33" spans="1:41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03"/>
      <c r="AL33" s="7"/>
      <c r="AM33" s="7"/>
      <c r="AN33" s="7"/>
      <c r="AO33" s="7"/>
    </row>
    <row r="34" spans="1:41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 t="s">
        <v>49</v>
      </c>
      <c r="AJ34" s="13"/>
      <c r="AK34" s="103"/>
      <c r="AL34" s="7"/>
      <c r="AM34" s="7"/>
      <c r="AN34" s="7"/>
      <c r="AO34" s="7"/>
    </row>
    <row r="35" spans="1:41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03"/>
      <c r="AL35" s="7"/>
      <c r="AM35" s="7"/>
      <c r="AN35" s="7"/>
      <c r="AO35" s="7"/>
    </row>
    <row r="36" spans="1:41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03"/>
      <c r="AL36" s="7"/>
      <c r="AM36" s="7"/>
      <c r="AN36" s="7"/>
      <c r="AO36" s="7"/>
    </row>
    <row r="37" spans="1:41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03"/>
      <c r="AL37" s="7"/>
      <c r="AM37" s="7"/>
      <c r="AN37" s="7"/>
      <c r="AO37" s="7"/>
    </row>
    <row r="38" spans="1:41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03"/>
      <c r="AL38" s="7"/>
      <c r="AM38" s="7"/>
      <c r="AN38" s="7"/>
      <c r="AO38" s="7"/>
    </row>
    <row r="39" spans="1:41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03"/>
      <c r="AL39" s="7"/>
      <c r="AM39" s="7"/>
      <c r="AN39" s="7"/>
      <c r="AO39" s="7"/>
    </row>
    <row r="40" spans="1:41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03"/>
      <c r="AL40" s="7"/>
      <c r="AM40" s="7"/>
      <c r="AN40" s="7"/>
      <c r="AO40" s="7"/>
    </row>
    <row r="41" spans="1:41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03"/>
      <c r="AL41" s="7"/>
      <c r="AM41" s="7"/>
      <c r="AN41" s="7"/>
      <c r="AO41" s="7"/>
    </row>
    <row r="42" spans="1:41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03"/>
      <c r="AL42" s="7"/>
      <c r="AM42" s="7"/>
      <c r="AN42" s="7"/>
      <c r="AO42" s="7"/>
    </row>
    <row r="43" spans="1:41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03"/>
      <c r="AL43" s="7"/>
      <c r="AM43" s="7"/>
      <c r="AN43" s="7"/>
      <c r="AO43" s="7"/>
    </row>
    <row r="44" spans="1:41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03"/>
      <c r="AL44" s="7"/>
      <c r="AM44" s="7"/>
      <c r="AN44" s="7"/>
      <c r="AO44" s="7"/>
    </row>
    <row r="45" spans="1:41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03"/>
      <c r="AL45" s="7"/>
      <c r="AM45" s="7"/>
      <c r="AN45" s="7"/>
      <c r="AO45" s="7"/>
    </row>
    <row r="46" spans="1:41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03"/>
      <c r="AL46" s="7"/>
      <c r="AM46" s="7"/>
      <c r="AN46" s="7"/>
      <c r="AO46" s="7"/>
    </row>
    <row r="47" spans="1:41" ht="18.75" x14ac:dyDescent="0.25">
      <c r="A47" s="7"/>
      <c r="B47" s="7"/>
      <c r="C47" s="102"/>
      <c r="D47" s="7"/>
      <c r="E47" s="7"/>
      <c r="F47" s="399"/>
      <c r="G47" s="397"/>
      <c r="H47" s="7"/>
      <c r="I47" s="7"/>
      <c r="J47" s="399"/>
      <c r="K47" s="397"/>
      <c r="L47" s="7"/>
      <c r="M47" s="7"/>
      <c r="N47" s="7"/>
      <c r="O47" s="7"/>
      <c r="P47" s="392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03"/>
      <c r="AL47" s="7"/>
      <c r="AM47" s="7"/>
      <c r="AN47" s="7"/>
      <c r="AO47" s="7"/>
    </row>
    <row r="48" spans="1:41" ht="15.75" x14ac:dyDescent="0.25">
      <c r="A48" s="7"/>
      <c r="B48" s="7"/>
      <c r="C48" s="102"/>
      <c r="D48" s="7"/>
      <c r="E48" s="7"/>
      <c r="F48" s="393"/>
      <c r="G48" s="393"/>
      <c r="H48" s="7"/>
      <c r="I48" s="7"/>
      <c r="J48" s="393"/>
      <c r="K48" s="393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03"/>
      <c r="AL48" s="7"/>
      <c r="AM48" s="7"/>
      <c r="AN48" s="7"/>
      <c r="AO48" s="7"/>
    </row>
    <row r="49" spans="1:41" ht="15.75" x14ac:dyDescent="0.25">
      <c r="A49" s="7"/>
      <c r="B49" s="7"/>
      <c r="C49" s="102"/>
      <c r="D49" s="7"/>
      <c r="E49" s="7"/>
      <c r="F49" s="394"/>
      <c r="G49" s="394"/>
      <c r="H49" s="7"/>
      <c r="I49" s="7"/>
      <c r="J49" s="395"/>
      <c r="K49" s="395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03"/>
      <c r="AL49" s="7"/>
      <c r="AM49" s="7"/>
      <c r="AN49" s="7"/>
      <c r="AO49" s="7"/>
    </row>
    <row r="50" spans="1:41" ht="15.75" x14ac:dyDescent="0.25">
      <c r="A50" s="7"/>
      <c r="B50" s="7"/>
      <c r="C50" s="102"/>
      <c r="D50" s="7"/>
      <c r="E50" s="7"/>
      <c r="F50" s="394"/>
      <c r="G50" s="394"/>
      <c r="H50" s="7"/>
      <c r="I50" s="7"/>
      <c r="J50" s="395"/>
      <c r="K50" s="395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03"/>
      <c r="AL50" s="7"/>
      <c r="AM50" s="7"/>
      <c r="AN50" s="7"/>
      <c r="AO50" s="7"/>
    </row>
    <row r="51" spans="1:41" ht="15.75" x14ac:dyDescent="0.25">
      <c r="A51" s="7"/>
      <c r="B51" s="7"/>
      <c r="C51" s="102"/>
      <c r="D51" s="7"/>
      <c r="E51" s="7"/>
      <c r="F51" s="394"/>
      <c r="G51" s="394"/>
      <c r="H51" s="7"/>
      <c r="I51" s="7"/>
      <c r="J51" s="395"/>
      <c r="K51" s="395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03"/>
      <c r="AL51" s="7"/>
      <c r="AM51" s="7"/>
      <c r="AN51" s="7"/>
      <c r="AO51" s="7"/>
    </row>
    <row r="52" spans="1:41" ht="15.75" x14ac:dyDescent="0.25">
      <c r="A52" s="7"/>
      <c r="B52" s="7"/>
      <c r="C52" s="102"/>
      <c r="D52" s="7"/>
      <c r="E52" s="7"/>
      <c r="F52" s="394"/>
      <c r="G52" s="394"/>
      <c r="H52" s="7"/>
      <c r="I52" s="7"/>
      <c r="J52" s="396"/>
      <c r="K52" s="396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03"/>
      <c r="AL52" s="7"/>
      <c r="AM52" s="7"/>
      <c r="AN52" s="7"/>
      <c r="AO52" s="7"/>
    </row>
    <row r="53" spans="1:41" ht="15.75" x14ac:dyDescent="0.25">
      <c r="A53" s="7"/>
      <c r="B53" s="7"/>
      <c r="C53" s="102"/>
      <c r="D53" s="7"/>
      <c r="E53" s="7"/>
      <c r="F53" s="394"/>
      <c r="G53" s="394"/>
      <c r="H53" s="7"/>
      <c r="I53" s="7"/>
      <c r="J53" s="396"/>
      <c r="K53" s="396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03"/>
      <c r="AL53" s="7"/>
      <c r="AM53" s="7"/>
      <c r="AN53" s="7"/>
      <c r="AO53" s="7"/>
    </row>
    <row r="54" spans="1:41" ht="15.75" x14ac:dyDescent="0.25">
      <c r="A54" s="7"/>
      <c r="B54" s="7"/>
      <c r="C54" s="102"/>
      <c r="D54" s="7"/>
      <c r="E54" s="7"/>
      <c r="F54" s="394"/>
      <c r="G54" s="394"/>
      <c r="H54" s="7"/>
      <c r="I54" s="7"/>
      <c r="J54" s="396"/>
      <c r="K54" s="396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03"/>
      <c r="AL54" s="7"/>
      <c r="AM54" s="7"/>
      <c r="AN54" s="7"/>
      <c r="AO54" s="7"/>
    </row>
    <row r="55" spans="1:41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03"/>
      <c r="AL55" s="7"/>
      <c r="AM55" s="7"/>
      <c r="AN55" s="7"/>
      <c r="AO55" s="7"/>
    </row>
    <row r="56" spans="1:41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03"/>
      <c r="AL56" s="7"/>
      <c r="AM56" s="7"/>
      <c r="AN56" s="7"/>
      <c r="AO56" s="7"/>
    </row>
    <row r="57" spans="1:41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03"/>
      <c r="AL57" s="7"/>
      <c r="AM57" s="7"/>
      <c r="AN57" s="7"/>
      <c r="AO57" s="7"/>
    </row>
    <row r="58" spans="1:41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03"/>
      <c r="AL58" s="7"/>
      <c r="AM58" s="7"/>
      <c r="AN58" s="7"/>
      <c r="AO58" s="7"/>
    </row>
    <row r="59" spans="1:41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03"/>
      <c r="AL59" s="7"/>
      <c r="AM59" s="7"/>
      <c r="AN59" s="7"/>
      <c r="AO59" s="7"/>
    </row>
    <row r="60" spans="1:41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03"/>
      <c r="AL60" s="7"/>
      <c r="AM60" s="7"/>
      <c r="AN60" s="7"/>
      <c r="AO60" s="7"/>
    </row>
    <row r="61" spans="1:41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03"/>
      <c r="AL61" s="7"/>
      <c r="AM61" s="7"/>
      <c r="AN61" s="7"/>
      <c r="AO61" s="7"/>
    </row>
    <row r="62" spans="1:41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03"/>
      <c r="AL62" s="7"/>
      <c r="AM62" s="7"/>
      <c r="AN62" s="7"/>
      <c r="AO62" s="7"/>
    </row>
    <row r="63" spans="1:41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03"/>
      <c r="AL63" s="7"/>
      <c r="AM63" s="7"/>
      <c r="AN63" s="7"/>
      <c r="AO63" s="7"/>
    </row>
    <row r="64" spans="1:41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03"/>
      <c r="AL64" s="7"/>
      <c r="AM64" s="7"/>
      <c r="AN64" s="7"/>
      <c r="AO64" s="7"/>
    </row>
    <row r="65" spans="1:41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03"/>
      <c r="AL65" s="7"/>
      <c r="AM65" s="7"/>
      <c r="AN65" s="7"/>
      <c r="AO65" s="7"/>
    </row>
    <row r="66" spans="1:41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03"/>
      <c r="AL66" s="7"/>
      <c r="AM66" s="7"/>
      <c r="AN66" s="7"/>
      <c r="AO66" s="7"/>
    </row>
    <row r="67" spans="1:41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03"/>
      <c r="AL67" s="7"/>
      <c r="AM67" s="7"/>
      <c r="AN67" s="7"/>
      <c r="AO67" s="7"/>
    </row>
    <row r="68" spans="1:41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03"/>
      <c r="AL68" s="7"/>
      <c r="AM68" s="7"/>
      <c r="AN68" s="7"/>
      <c r="AO68" s="7"/>
    </row>
    <row r="69" spans="1:41" x14ac:dyDescent="0.25">
      <c r="A69" s="7"/>
      <c r="B69" s="7"/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03"/>
      <c r="AL69" s="7"/>
      <c r="AM69" s="7"/>
      <c r="AN69" s="7"/>
      <c r="AO69" s="7"/>
    </row>
    <row r="70" spans="1:41" ht="15.75" thickBot="1" x14ac:dyDescent="0.3">
      <c r="A70" s="7"/>
      <c r="B70" s="7"/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70"/>
      <c r="AL70" s="7"/>
      <c r="AM70" s="7"/>
      <c r="AN70" s="7"/>
      <c r="AO70" s="7"/>
    </row>
    <row r="71" spans="1:4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72" spans="1:4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</row>
    <row r="73" spans="1:4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</row>
    <row r="74" spans="1:4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</row>
    <row r="75" spans="1:4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</row>
    <row r="76" spans="1:4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</row>
    <row r="77" spans="1:4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</row>
    <row r="78" spans="1:4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</row>
    <row r="79" spans="1:4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</row>
    <row r="119" spans="17:17" x14ac:dyDescent="0.25">
      <c r="Q119" s="3" t="s">
        <v>49</v>
      </c>
    </row>
    <row r="137" spans="18:18" x14ac:dyDescent="0.25">
      <c r="R137" s="3" t="s">
        <v>49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503372-AED1-B341-9706-632466E992AA}">
          <x14:formula1>
            <xm:f>'C:\Users\philippkenkel\Seafile\RESILIENTE ENERGIESYSTEME\Intern\[TEST_CASE.xlsm]Systemblatt'!#REF!</xm:f>
          </x14:formula1>
          <xm:sqref>T10:T27 AC10:AC27 I16:I17 AE10:AE27 W12:W27 AH10:AH30 N12:O13 P12:P27 N17:O27</xm:sqref>
        </x14:dataValidation>
        <x14:dataValidation type="whole" allowBlank="1" showInputMessage="1" showErrorMessage="1" xr:uid="{CF632BA6-7344-BF4C-BCFA-BBDD5E9D727B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E17:E20</xm:sqref>
        </x14:dataValidation>
        <x14:dataValidation type="list" allowBlank="1" showInputMessage="1" showErrorMessage="1" xr:uid="{DD822D6D-C1C9-104E-A482-CBA478309E37}">
          <x14:formula1>
            <xm:f>'C:\Users\philippkenkel\Seafile\RESILIENTE ENERGIESYSTEME\Intern\[TEST_CASE.xlsm]DataBank'!#REF!</xm:f>
          </x14:formula1>
          <xm:sqref>AB10 AD10 I15 N11:P11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1EAE-3C11-C641-B7ED-F6B1FA23E980}">
  <sheetPr codeName="Tabelle45"/>
  <dimension ref="A1:AJ144"/>
  <sheetViews>
    <sheetView topLeftCell="J1" zoomScale="75" zoomScaleNormal="47" workbookViewId="0">
      <selection activeCell="X17" sqref="X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9.5" thickBot="1" x14ac:dyDescent="0.35">
      <c r="A10" s="7"/>
      <c r="B10" s="7"/>
      <c r="C10" s="102"/>
      <c r="D10" s="379" t="s">
        <v>2</v>
      </c>
      <c r="E10" s="74" t="s">
        <v>228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2.24E-2</v>
      </c>
      <c r="O10" s="93">
        <v>-8.8159540000000008E-3</v>
      </c>
      <c r="P10" s="74"/>
      <c r="Q10" s="7">
        <v>3.3309239999999997E-2</v>
      </c>
      <c r="R10" s="7"/>
      <c r="S10" s="380">
        <v>5140</v>
      </c>
      <c r="T10" s="436" t="s">
        <v>30</v>
      </c>
      <c r="U10" s="381">
        <v>0.94667999999999997</v>
      </c>
      <c r="V10" s="382"/>
      <c r="W10" s="152"/>
      <c r="X10" s="83">
        <v>5140</v>
      </c>
      <c r="Y10" s="153"/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9.5" thickBot="1" x14ac:dyDescent="0.35">
      <c r="A11" s="7"/>
      <c r="B11" s="7"/>
      <c r="C11" s="102"/>
      <c r="D11" s="383" t="s">
        <v>4</v>
      </c>
      <c r="E11" s="76">
        <v>5220</v>
      </c>
      <c r="F11" s="7"/>
      <c r="G11" s="7"/>
      <c r="H11" s="383" t="s">
        <v>113</v>
      </c>
      <c r="I11" s="76">
        <v>1.4294</v>
      </c>
      <c r="J11" s="7"/>
      <c r="K11" s="7"/>
      <c r="L11" s="7"/>
      <c r="M11" s="384" t="s">
        <v>122</v>
      </c>
      <c r="N11" s="83" t="s">
        <v>26</v>
      </c>
      <c r="O11" s="83"/>
      <c r="P11" s="76"/>
      <c r="Q11" s="7" t="s">
        <v>26</v>
      </c>
      <c r="R11" s="7"/>
      <c r="S11" s="385">
        <v>5140</v>
      </c>
      <c r="T11" s="436" t="s">
        <v>31</v>
      </c>
      <c r="U11" s="381">
        <v>9.5269999999999966E-2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9.5" thickBot="1" x14ac:dyDescent="0.35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0.46155000000000002</v>
      </c>
      <c r="J12" s="7"/>
      <c r="K12" s="7"/>
      <c r="L12" s="7"/>
      <c r="M12" s="384" t="s">
        <v>123</v>
      </c>
      <c r="N12" s="83" t="s">
        <v>29</v>
      </c>
      <c r="O12" s="83" t="s">
        <v>29</v>
      </c>
      <c r="P12" s="76"/>
      <c r="Q12" s="83" t="s">
        <v>29</v>
      </c>
      <c r="R12" s="7"/>
      <c r="S12" s="385">
        <v>5140</v>
      </c>
      <c r="T12" s="436" t="s">
        <v>29</v>
      </c>
      <c r="U12" s="381">
        <v>0.97011999999999998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9.5" thickBot="1" x14ac:dyDescent="0.35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0.21279999999999999</v>
      </c>
      <c r="J13" s="7"/>
      <c r="K13" s="7"/>
      <c r="L13" s="7"/>
      <c r="M13" s="384"/>
      <c r="N13" s="83" t="s">
        <v>31</v>
      </c>
      <c r="O13" s="83" t="s">
        <v>31</v>
      </c>
      <c r="P13" s="76"/>
      <c r="Q13" s="83" t="s">
        <v>31</v>
      </c>
      <c r="R13" s="7"/>
      <c r="S13" s="391">
        <v>5140</v>
      </c>
      <c r="T13" s="436" t="s">
        <v>32</v>
      </c>
      <c r="U13" s="381">
        <v>0.99178999999999995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 t="s">
        <v>30</v>
      </c>
      <c r="O14" s="83" t="s">
        <v>30</v>
      </c>
      <c r="P14" s="76"/>
      <c r="Q14" s="83" t="s">
        <v>30</v>
      </c>
      <c r="R14" s="7"/>
      <c r="S14" s="391">
        <v>5140</v>
      </c>
      <c r="T14" s="436" t="s">
        <v>200</v>
      </c>
      <c r="U14" s="381">
        <v>0.97555999999999998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 t="s">
        <v>32</v>
      </c>
      <c r="O15" s="83" t="s">
        <v>32</v>
      </c>
      <c r="P15" s="76"/>
      <c r="Q15" s="83" t="s">
        <v>32</v>
      </c>
      <c r="R15" s="7"/>
      <c r="S15" s="391">
        <v>1110</v>
      </c>
      <c r="T15" s="436" t="s">
        <v>30</v>
      </c>
      <c r="U15" s="389">
        <f>1-U10</f>
        <v>5.3320000000000034E-2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29</v>
      </c>
      <c r="J16" s="7"/>
      <c r="K16" s="7"/>
      <c r="L16" s="7"/>
      <c r="M16" s="85"/>
      <c r="N16" s="83" t="s">
        <v>200</v>
      </c>
      <c r="O16" s="83" t="s">
        <v>200</v>
      </c>
      <c r="P16" s="76"/>
      <c r="Q16" s="83" t="s">
        <v>200</v>
      </c>
      <c r="R16" s="7"/>
      <c r="S16" s="391">
        <v>1110</v>
      </c>
      <c r="T16" s="436" t="s">
        <v>31</v>
      </c>
      <c r="U16" s="389">
        <f t="shared" ref="U16:U17" si="0">1-U11</f>
        <v>0.90473000000000003</v>
      </c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>
        <v>100</v>
      </c>
      <c r="F17" s="7"/>
      <c r="G17" s="7"/>
      <c r="H17" s="384"/>
      <c r="I17" s="76" t="s">
        <v>31</v>
      </c>
      <c r="J17" s="7"/>
      <c r="K17" s="7"/>
      <c r="L17" s="7"/>
      <c r="M17" s="85"/>
      <c r="N17" s="83"/>
      <c r="O17" s="83"/>
      <c r="P17" s="76"/>
      <c r="Q17" s="7"/>
      <c r="R17" s="7"/>
      <c r="S17" s="391">
        <v>1110</v>
      </c>
      <c r="T17" s="436" t="s">
        <v>29</v>
      </c>
      <c r="U17" s="389">
        <f t="shared" si="0"/>
        <v>2.9880000000000018E-2</v>
      </c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>
        <v>40</v>
      </c>
      <c r="F18" s="7"/>
      <c r="G18" s="7"/>
      <c r="H18" s="85"/>
      <c r="I18" s="76" t="s">
        <v>32</v>
      </c>
      <c r="J18" s="7"/>
      <c r="K18" s="7"/>
      <c r="L18" s="7"/>
      <c r="M18" s="85"/>
      <c r="N18" s="83"/>
      <c r="O18" s="83"/>
      <c r="P18" s="76"/>
      <c r="Q18" s="7"/>
      <c r="R18" s="7"/>
      <c r="S18" s="391">
        <v>1110</v>
      </c>
      <c r="T18" s="436" t="s">
        <v>32</v>
      </c>
      <c r="U18" s="389">
        <f>1-U13</f>
        <v>8.2100000000000506E-3</v>
      </c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30</v>
      </c>
      <c r="J19" s="7"/>
      <c r="K19" s="7"/>
      <c r="L19" s="7"/>
      <c r="M19" s="85"/>
      <c r="N19" s="83"/>
      <c r="O19" s="83"/>
      <c r="P19" s="76"/>
      <c r="Q19" s="7"/>
      <c r="R19" s="7"/>
      <c r="S19" s="391">
        <v>1110</v>
      </c>
      <c r="T19" s="436" t="s">
        <v>200</v>
      </c>
      <c r="U19" s="389">
        <f>1-U14</f>
        <v>2.4440000000000017E-2</v>
      </c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200</v>
      </c>
      <c r="J20" s="7"/>
      <c r="K20" s="7"/>
      <c r="L20" s="7"/>
      <c r="M20" s="85"/>
      <c r="N20" s="83"/>
      <c r="O20" s="83"/>
      <c r="P20" s="76"/>
      <c r="Q20" s="7"/>
      <c r="R20" s="7"/>
      <c r="S20" s="391"/>
      <c r="T20" s="436"/>
      <c r="U20" s="389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391"/>
      <c r="T21" s="436"/>
      <c r="U21" s="389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391"/>
      <c r="T22" s="436"/>
      <c r="U22" s="389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391"/>
      <c r="T23" s="436"/>
      <c r="U23" s="389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391"/>
      <c r="T24" s="436"/>
      <c r="U24" s="38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F3D3E-29F2-D744-9225-8B6ED9A5D896}">
          <x14:formula1>
            <xm:f>'C:\Users\philippkenkel\Seafile\RESILIENTE ENERGIESYSTEME\Intern\[TEST_CASE.xlsm]Systemblatt'!#REF!</xm:f>
          </x14:formula1>
          <xm:sqref>I16:K17 N12:P22 AC10:AC24 Q12:Q16 AE10:AE24</xm:sqref>
        </x14:dataValidation>
        <x14:dataValidation type="whole" allowBlank="1" showInputMessage="1" showErrorMessage="1" xr:uid="{E5CCCD3C-722D-ED43-9636-BA63046FBE0F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04DCAE30-1036-D54E-AE38-B7384E9EDE74}">
          <x14:formula1>
            <xm:f>'C:\Users\philippkenkel\Seafile\RESILIENTE ENERGIESYSTEME\Intern\[TEST_CASE.xlsm]DataBank'!#REF!</xm:f>
          </x14:formula1>
          <xm:sqref>I15:K15 N11:P11 AB10 AD10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302C7-39CC-F242-AC08-8C060A62192C}">
  <sheetPr codeName="Tabelle49"/>
  <dimension ref="A1:AJ144"/>
  <sheetViews>
    <sheetView topLeftCell="C1" zoomScale="75" zoomScaleNormal="47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485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285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9.4500000000000001E-2</v>
      </c>
      <c r="O10" s="93"/>
      <c r="P10" s="74"/>
      <c r="Q10" s="7"/>
      <c r="R10" s="7"/>
      <c r="S10" s="380">
        <v>3100</v>
      </c>
      <c r="T10" s="486" t="s">
        <v>31</v>
      </c>
      <c r="U10" s="381">
        <v>1</v>
      </c>
      <c r="V10" s="382"/>
      <c r="W10" s="152"/>
      <c r="X10" s="83">
        <v>3100</v>
      </c>
      <c r="Y10" s="153"/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5230</v>
      </c>
      <c r="F11" s="7"/>
      <c r="G11" s="7"/>
      <c r="H11" s="383" t="s">
        <v>113</v>
      </c>
      <c r="I11" s="76">
        <v>1.08</v>
      </c>
      <c r="J11" s="7"/>
      <c r="K11" s="7"/>
      <c r="L11" s="7"/>
      <c r="M11" s="384" t="s">
        <v>122</v>
      </c>
      <c r="N11" s="76" t="s">
        <v>26</v>
      </c>
      <c r="O11" s="83"/>
      <c r="P11" s="76"/>
      <c r="Q11" s="7"/>
      <c r="R11" s="7"/>
      <c r="S11" s="385">
        <v>3100</v>
      </c>
      <c r="T11" s="486" t="s">
        <v>32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0.49109999999999998</v>
      </c>
      <c r="J12" s="7"/>
      <c r="K12" s="7"/>
      <c r="L12" s="7"/>
      <c r="M12" s="384" t="s">
        <v>123</v>
      </c>
      <c r="N12" s="76" t="s">
        <v>29</v>
      </c>
      <c r="O12" s="83"/>
      <c r="P12" s="76"/>
      <c r="Q12" s="7"/>
      <c r="R12" s="7"/>
      <c r="S12" s="385">
        <v>3100</v>
      </c>
      <c r="T12" s="486" t="s">
        <v>30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0.1167</v>
      </c>
      <c r="J13" s="7"/>
      <c r="K13" s="7"/>
      <c r="L13" s="7"/>
      <c r="M13" s="384"/>
      <c r="N13" s="76" t="s">
        <v>31</v>
      </c>
      <c r="O13" s="83"/>
      <c r="P13" s="76"/>
      <c r="Q13" s="7"/>
      <c r="R13" s="7"/>
      <c r="S13" s="385">
        <v>3100</v>
      </c>
      <c r="T13" s="486" t="s">
        <v>29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76" t="s">
        <v>32</v>
      </c>
      <c r="O14" s="83"/>
      <c r="P14" s="76"/>
      <c r="Q14" s="7"/>
      <c r="R14" s="7"/>
      <c r="S14" s="385">
        <v>3100</v>
      </c>
      <c r="T14" s="486" t="s">
        <v>9</v>
      </c>
      <c r="U14" s="389">
        <v>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76" t="s">
        <v>30</v>
      </c>
      <c r="O15" s="83"/>
      <c r="P15" s="76"/>
      <c r="Q15" s="7"/>
      <c r="R15" s="7"/>
      <c r="S15" s="385">
        <v>3100</v>
      </c>
      <c r="T15" s="86" t="s">
        <v>200</v>
      </c>
      <c r="U15" s="389">
        <v>1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29</v>
      </c>
      <c r="J16" s="7"/>
      <c r="K16" s="7"/>
      <c r="L16" s="7"/>
      <c r="M16" s="85"/>
      <c r="N16" s="76" t="s">
        <v>200</v>
      </c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 t="s">
        <v>31</v>
      </c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76" t="s">
        <v>32</v>
      </c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30</v>
      </c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200</v>
      </c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DB63DD6-D116-4E41-A3AD-6EBE13C1F689}">
          <x14:formula1>
            <xm:f>'C:\Users\philippkenkel\Seafile\RESILIENTE ENERGIESYSTEME\Intern\[TEST_CASE.xlsm]Systemblatt'!#REF!</xm:f>
          </x14:formula1>
          <xm:sqref>AC10:AC24 N17:N22 AE10:AE24 O12:P22 T16:T24 I16:K17 N12:N13</xm:sqref>
        </x14:dataValidation>
        <x14:dataValidation type="whole" allowBlank="1" showInputMessage="1" showErrorMessage="1" xr:uid="{095C0A46-4379-0349-8B1C-D1B7AD2FFFDB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C7CA4DB2-E638-F84A-AED8-27E5C31131A3}">
          <x14:formula1>
            <xm:f>'C:\Users\philippkenkel\Seafile\RESILIENTE ENERGIESYSTEME\Intern\[TEST_CASE.xlsm]DataBank'!#REF!</xm:f>
          </x14:formula1>
          <xm:sqref>I15:K15 AD10 AB10 N11:P11</xm:sqref>
        </x14:dataValidation>
        <x14:dataValidation type="list" allowBlank="1" showInputMessage="1" showErrorMessage="1" xr:uid="{5CC2822C-DD9F-304F-A3E1-89B69D478659}">
          <x14:formula1>
            <xm:f>Systemblatt!$E$5:$E$12</xm:f>
          </x14:formula1>
          <xm:sqref>T10:T14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D4913-8240-5E4D-AA4B-CCB64EA2E538}">
  <sheetPr codeName="Tabelle44"/>
  <dimension ref="A1:AJ144"/>
  <sheetViews>
    <sheetView topLeftCell="I1" zoomScale="75" zoomScaleNormal="47" workbookViewId="0">
      <selection activeCell="Y20" sqref="Y20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242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/>
      <c r="O10" s="93"/>
      <c r="P10" s="74"/>
      <c r="Q10" s="7"/>
      <c r="R10" s="7"/>
      <c r="S10" s="380">
        <v>5310</v>
      </c>
      <c r="T10" s="93" t="s">
        <v>9</v>
      </c>
      <c r="U10" s="381">
        <v>1</v>
      </c>
      <c r="V10" s="382"/>
      <c r="W10" s="152">
        <v>115</v>
      </c>
      <c r="X10" s="83"/>
      <c r="Y10" s="153"/>
      <c r="Z10" s="154"/>
      <c r="AA10" s="20"/>
      <c r="AB10" s="207" t="s">
        <v>26</v>
      </c>
      <c r="AC10" s="93" t="s">
        <v>9</v>
      </c>
      <c r="AD10" s="208" t="s">
        <v>26</v>
      </c>
      <c r="AE10" s="93" t="s">
        <v>200</v>
      </c>
      <c r="AF10" s="150">
        <v>0.48749999999999999</v>
      </c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5300</v>
      </c>
      <c r="F11" s="7"/>
      <c r="G11" s="7"/>
      <c r="H11" s="383" t="s">
        <v>113</v>
      </c>
      <c r="I11" s="76">
        <v>0</v>
      </c>
      <c r="J11" s="7"/>
      <c r="K11" s="7"/>
      <c r="L11" s="7"/>
      <c r="M11" s="384" t="s">
        <v>122</v>
      </c>
      <c r="N11" s="83"/>
      <c r="O11" s="83"/>
      <c r="P11" s="76"/>
      <c r="Q11" s="7"/>
      <c r="R11" s="7"/>
      <c r="S11" s="385">
        <v>5310</v>
      </c>
      <c r="T11" s="83" t="s">
        <v>200</v>
      </c>
      <c r="U11" s="386">
        <v>1</v>
      </c>
      <c r="V11" s="382"/>
      <c r="W11" s="158">
        <v>116</v>
      </c>
      <c r="X11" s="83"/>
      <c r="Y11" s="387"/>
      <c r="Z11" s="386"/>
      <c r="AA11" s="20"/>
      <c r="AB11" s="385"/>
      <c r="AC11" s="83"/>
      <c r="AD11" s="387"/>
      <c r="AE11" s="83" t="s">
        <v>31</v>
      </c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1</v>
      </c>
      <c r="J12" s="7"/>
      <c r="K12" s="7"/>
      <c r="L12" s="7"/>
      <c r="M12" s="384" t="s">
        <v>123</v>
      </c>
      <c r="N12" s="83"/>
      <c r="O12" s="83"/>
      <c r="P12" s="76"/>
      <c r="Q12" s="7"/>
      <c r="R12" s="7"/>
      <c r="S12" s="385">
        <v>5310</v>
      </c>
      <c r="T12" s="83" t="s">
        <v>31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 t="s">
        <v>279</v>
      </c>
      <c r="F13" s="7"/>
      <c r="G13" s="7"/>
      <c r="H13" s="383" t="s">
        <v>115</v>
      </c>
      <c r="I13" s="76">
        <v>1</v>
      </c>
      <c r="J13" s="7"/>
      <c r="K13" s="7"/>
      <c r="L13" s="7"/>
      <c r="M13" s="384"/>
      <c r="N13" s="83"/>
      <c r="O13" s="83"/>
      <c r="P13" s="76"/>
      <c r="Q13" s="7"/>
      <c r="R13" s="7"/>
      <c r="S13" s="391"/>
      <c r="T13" s="83"/>
      <c r="U13" s="389"/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/>
      <c r="O14" s="83"/>
      <c r="P14" s="76"/>
      <c r="Q14" s="7"/>
      <c r="R14" s="7"/>
      <c r="S14" s="391"/>
      <c r="T14" s="83"/>
      <c r="U14" s="389"/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/>
      <c r="O15" s="83"/>
      <c r="P15" s="76"/>
      <c r="Q15" s="7"/>
      <c r="R15" s="7"/>
      <c r="S15" s="391"/>
      <c r="T15" s="83"/>
      <c r="U15" s="389"/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31</v>
      </c>
      <c r="J16" s="7"/>
      <c r="K16" s="7"/>
      <c r="L16" s="7"/>
      <c r="M16" s="85"/>
      <c r="N16" s="83"/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/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86"/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86"/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86"/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48C65EF-6E29-C345-86EB-F0180EA6567E}">
          <x14:formula1>
            <xm:f>'C:\Users\philippkenkel\Seafile\RESILIENTE ENERGIESYSTEME\Intern\[TEST_CASE.xlsm]Systemblatt'!#REF!</xm:f>
          </x14:formula1>
          <xm:sqref>N12:P22 AC10:AC24 T10:T24 I16:K17 AE10 AE12:AE24</xm:sqref>
        </x14:dataValidation>
        <x14:dataValidation type="whole" allowBlank="1" showInputMessage="1" showErrorMessage="1" xr:uid="{0EF83CF1-FF6C-704E-86FC-B0F6B08A4C1B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5FCE20DC-2BF0-E541-B396-E2002B30815E}">
          <x14:formula1>
            <xm:f>'C:\Users\philippkenkel\Seafile\RESILIENTE ENERGIESYSTEME\Intern\[TEST_CASE.xlsm]DataBank'!#REF!</xm:f>
          </x14:formula1>
          <xm:sqref>I15:K15 N11:P11 AB10 AD10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16D-07AB-0542-BE9F-055B6C696B35}">
  <sheetPr codeName="Tabelle18"/>
  <dimension ref="A1:AO137"/>
  <sheetViews>
    <sheetView topLeftCell="G1" zoomScale="82" zoomScaleNormal="60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25" style="3" customWidth="1"/>
    <col min="24" max="24" width="23.140625" style="3" customWidth="1"/>
    <col min="25" max="25" width="16.7109375" style="3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5" width="20" style="3" customWidth="1"/>
    <col min="36" max="16384" width="10.85546875" style="3"/>
  </cols>
  <sheetData>
    <row r="1" spans="1:41" ht="10.5" customHeight="1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</row>
    <row r="2" spans="1:41" ht="6.95" customHeight="1" thickBot="1" x14ac:dyDescent="0.3">
      <c r="A2" s="7"/>
      <c r="B2" s="7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7"/>
      <c r="AL2" s="7"/>
      <c r="AM2" s="7"/>
      <c r="AN2" s="7"/>
      <c r="AO2" s="7"/>
    </row>
    <row r="3" spans="1:41" x14ac:dyDescent="0.25">
      <c r="A3" s="7"/>
      <c r="B3" s="7"/>
      <c r="C3" s="112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4"/>
      <c r="AL3" s="7"/>
      <c r="AM3" s="7"/>
      <c r="AN3" s="7"/>
      <c r="AO3" s="7"/>
    </row>
    <row r="4" spans="1:41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03"/>
      <c r="AL4" s="7"/>
      <c r="AM4" s="7"/>
      <c r="AN4" s="7"/>
      <c r="AO4" s="7"/>
    </row>
    <row r="5" spans="1:41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03"/>
      <c r="AL5" s="7"/>
      <c r="AM5" s="7"/>
      <c r="AN5" s="7"/>
      <c r="AO5" s="7"/>
    </row>
    <row r="6" spans="1:41" x14ac:dyDescent="0.25">
      <c r="A6" s="7"/>
      <c r="B6" s="7"/>
      <c r="C6" s="102"/>
      <c r="D6" s="513"/>
      <c r="E6" s="513"/>
      <c r="F6" s="7"/>
      <c r="G6" s="7"/>
      <c r="H6" s="513"/>
      <c r="I6" s="513"/>
      <c r="J6" s="20"/>
      <c r="K6" s="20"/>
      <c r="L6" s="7"/>
      <c r="M6" s="513"/>
      <c r="N6" s="513"/>
      <c r="O6" s="513"/>
      <c r="P6" s="513"/>
      <c r="Q6" s="7"/>
      <c r="R6" s="7"/>
      <c r="S6" s="514"/>
      <c r="T6" s="514"/>
      <c r="U6" s="514"/>
      <c r="V6" s="514"/>
      <c r="W6" s="514"/>
      <c r="X6" s="514"/>
      <c r="Y6" s="514"/>
      <c r="Z6" s="514"/>
      <c r="AA6" s="514"/>
      <c r="AB6" s="514"/>
      <c r="AC6" s="514"/>
      <c r="AD6" s="514"/>
      <c r="AE6" s="514"/>
      <c r="AF6" s="514"/>
      <c r="AG6" s="13"/>
      <c r="AH6" s="13"/>
      <c r="AI6" s="13"/>
      <c r="AJ6" s="13"/>
      <c r="AK6" s="103"/>
      <c r="AL6" s="7"/>
      <c r="AM6" s="7"/>
      <c r="AN6" s="7"/>
      <c r="AO6" s="7"/>
    </row>
    <row r="7" spans="1:41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I7" s="7"/>
      <c r="AJ7" s="13"/>
      <c r="AK7" s="103"/>
      <c r="AL7" s="7"/>
      <c r="AM7" s="7"/>
      <c r="AN7" s="7"/>
      <c r="AO7" s="7"/>
    </row>
    <row r="8" spans="1:41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125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13"/>
      <c r="AH8" s="612" t="s">
        <v>20</v>
      </c>
      <c r="AI8" s="614"/>
      <c r="AJ8" s="13"/>
      <c r="AK8" s="103"/>
      <c r="AL8" s="7"/>
      <c r="AM8" s="7"/>
      <c r="AN8" s="7"/>
      <c r="AO8" s="7"/>
    </row>
    <row r="9" spans="1:41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78" t="s">
        <v>126</v>
      </c>
      <c r="T9" s="378" t="s">
        <v>76</v>
      </c>
      <c r="U9" s="378" t="s">
        <v>127</v>
      </c>
      <c r="V9" s="377"/>
      <c r="W9" s="378" t="s">
        <v>76</v>
      </c>
      <c r="X9" s="378" t="s">
        <v>57</v>
      </c>
      <c r="Y9" s="378" t="s">
        <v>128</v>
      </c>
      <c r="Z9" s="378" t="s">
        <v>129</v>
      </c>
      <c r="AA9" s="13"/>
      <c r="AB9" s="378" t="s">
        <v>131</v>
      </c>
      <c r="AC9" s="378" t="s">
        <v>130</v>
      </c>
      <c r="AD9" s="378" t="s">
        <v>8</v>
      </c>
      <c r="AE9" s="378" t="s">
        <v>132</v>
      </c>
      <c r="AF9" s="378" t="s">
        <v>133</v>
      </c>
      <c r="AG9" s="13"/>
      <c r="AH9" s="378" t="s">
        <v>76</v>
      </c>
      <c r="AI9" s="378" t="s">
        <v>1</v>
      </c>
      <c r="AJ9" s="13"/>
      <c r="AK9" s="103"/>
      <c r="AL9" s="7"/>
      <c r="AM9" s="7"/>
      <c r="AN9" s="7"/>
      <c r="AO9" s="7"/>
    </row>
    <row r="10" spans="1:41" ht="19.5" thickBot="1" x14ac:dyDescent="0.35">
      <c r="A10" s="7"/>
      <c r="B10" s="7"/>
      <c r="C10" s="102"/>
      <c r="D10" s="379" t="s">
        <v>2</v>
      </c>
      <c r="E10" s="74" t="s">
        <v>243</v>
      </c>
      <c r="F10" s="88"/>
      <c r="G10" s="88"/>
      <c r="H10" s="383" t="s">
        <v>3</v>
      </c>
      <c r="I10" s="76"/>
      <c r="J10" s="88"/>
      <c r="K10" s="88"/>
      <c r="L10" s="88"/>
      <c r="M10" s="379" t="s">
        <v>121</v>
      </c>
      <c r="N10" s="208">
        <v>0.10068000000000001</v>
      </c>
      <c r="O10" s="208">
        <v>-0.45012000000000002</v>
      </c>
      <c r="P10" s="74"/>
      <c r="Q10" s="88"/>
      <c r="R10" s="163"/>
      <c r="S10" s="207">
        <v>1333</v>
      </c>
      <c r="T10" s="93" t="s">
        <v>31</v>
      </c>
      <c r="U10" s="449">
        <v>1</v>
      </c>
      <c r="V10" s="387"/>
      <c r="W10" s="287">
        <v>111</v>
      </c>
      <c r="X10" s="93">
        <v>1333</v>
      </c>
      <c r="Y10" s="398"/>
      <c r="Z10" s="381"/>
      <c r="AA10" s="83"/>
      <c r="AB10" s="207" t="s">
        <v>26</v>
      </c>
      <c r="AC10" s="93" t="s">
        <v>30</v>
      </c>
      <c r="AD10" s="208" t="s">
        <v>26</v>
      </c>
      <c r="AE10" s="93" t="s">
        <v>200</v>
      </c>
      <c r="AF10" s="74">
        <v>0.33900000000000002</v>
      </c>
      <c r="AG10" s="181"/>
      <c r="AH10" s="287" t="s">
        <v>30</v>
      </c>
      <c r="AI10" s="448">
        <v>3.3899999999999998E-3</v>
      </c>
      <c r="AJ10" s="13"/>
      <c r="AK10" s="103"/>
      <c r="AL10" s="7"/>
      <c r="AM10" s="7"/>
      <c r="AN10" s="7"/>
      <c r="AO10" s="7"/>
    </row>
    <row r="11" spans="1:41" ht="19.5" thickBot="1" x14ac:dyDescent="0.35">
      <c r="A11" s="7"/>
      <c r="B11" s="7"/>
      <c r="C11" s="102"/>
      <c r="D11" s="383" t="s">
        <v>4</v>
      </c>
      <c r="E11" s="76">
        <v>5310</v>
      </c>
      <c r="F11" s="88"/>
      <c r="G11" s="88"/>
      <c r="H11" s="383" t="s">
        <v>113</v>
      </c>
      <c r="I11" s="76">
        <v>4.29</v>
      </c>
      <c r="J11" s="88"/>
      <c r="K11" s="88"/>
      <c r="L11" s="88"/>
      <c r="M11" s="384" t="s">
        <v>122</v>
      </c>
      <c r="N11" s="76" t="s">
        <v>27</v>
      </c>
      <c r="O11" s="76" t="s">
        <v>27</v>
      </c>
      <c r="P11" s="76"/>
      <c r="Q11" s="88"/>
      <c r="R11" s="163"/>
      <c r="S11" s="207">
        <v>1333</v>
      </c>
      <c r="T11" s="83" t="s">
        <v>29</v>
      </c>
      <c r="U11" s="449">
        <v>1</v>
      </c>
      <c r="V11" s="387"/>
      <c r="W11" s="158"/>
      <c r="X11" s="83"/>
      <c r="Y11" s="387"/>
      <c r="Z11" s="386"/>
      <c r="AA11" s="83"/>
      <c r="AB11" s="385"/>
      <c r="AC11" s="83"/>
      <c r="AD11" s="387"/>
      <c r="AE11" s="76" t="s">
        <v>31</v>
      </c>
      <c r="AF11" s="386"/>
      <c r="AG11" s="181"/>
      <c r="AH11" s="158" t="s">
        <v>31</v>
      </c>
      <c r="AI11" s="448">
        <v>0.90576000000000001</v>
      </c>
      <c r="AJ11" s="13"/>
      <c r="AK11" s="103"/>
      <c r="AL11" s="7"/>
      <c r="AM11" s="7"/>
      <c r="AN11" s="7"/>
      <c r="AO11" s="7"/>
    </row>
    <row r="12" spans="1:41" ht="19.5" thickBot="1" x14ac:dyDescent="0.35">
      <c r="A12" s="7"/>
      <c r="B12" s="7"/>
      <c r="C12" s="102"/>
      <c r="D12" s="383" t="s">
        <v>90</v>
      </c>
      <c r="E12" s="76" t="s">
        <v>51</v>
      </c>
      <c r="F12" s="88"/>
      <c r="G12" s="88"/>
      <c r="H12" s="383" t="s">
        <v>114</v>
      </c>
      <c r="I12" s="76">
        <v>0.4718</v>
      </c>
      <c r="J12" s="88"/>
      <c r="K12" s="88"/>
      <c r="L12" s="88"/>
      <c r="M12" s="384" t="s">
        <v>123</v>
      </c>
      <c r="N12" s="76" t="s">
        <v>31</v>
      </c>
      <c r="O12" s="76" t="s">
        <v>31</v>
      </c>
      <c r="P12" s="76"/>
      <c r="Q12" s="88"/>
      <c r="R12" s="163"/>
      <c r="S12" s="207">
        <v>1333</v>
      </c>
      <c r="T12" s="83" t="s">
        <v>32</v>
      </c>
      <c r="U12" s="449">
        <v>1</v>
      </c>
      <c r="V12" s="387"/>
      <c r="W12" s="158"/>
      <c r="X12" s="83"/>
      <c r="Y12" s="388"/>
      <c r="Z12" s="389"/>
      <c r="AA12" s="388"/>
      <c r="AB12" s="391"/>
      <c r="AC12" s="83"/>
      <c r="AD12" s="388"/>
      <c r="AE12" s="83"/>
      <c r="AF12" s="386"/>
      <c r="AG12" s="181"/>
      <c r="AH12" s="158" t="s">
        <v>29</v>
      </c>
      <c r="AI12" s="448">
        <v>1.324E-2</v>
      </c>
      <c r="AJ12" s="13"/>
      <c r="AK12" s="103"/>
      <c r="AL12" s="7"/>
      <c r="AM12" s="7"/>
      <c r="AN12" s="7"/>
      <c r="AO12" s="7"/>
    </row>
    <row r="13" spans="1:41" ht="19.5" thickBot="1" x14ac:dyDescent="0.35">
      <c r="A13" s="7"/>
      <c r="B13" s="7"/>
      <c r="C13" s="102"/>
      <c r="D13" s="383" t="s">
        <v>102</v>
      </c>
      <c r="E13" s="76" t="s">
        <v>279</v>
      </c>
      <c r="F13" s="88"/>
      <c r="G13" s="88"/>
      <c r="H13" s="383" t="s">
        <v>115</v>
      </c>
      <c r="I13" s="76">
        <v>0.1729</v>
      </c>
      <c r="J13" s="88"/>
      <c r="K13" s="88"/>
      <c r="L13" s="88"/>
      <c r="M13" s="384"/>
      <c r="N13" s="76" t="s">
        <v>29</v>
      </c>
      <c r="O13" s="76" t="s">
        <v>29</v>
      </c>
      <c r="P13" s="76"/>
      <c r="Q13" s="88"/>
      <c r="R13" s="163"/>
      <c r="S13" s="207">
        <v>1333</v>
      </c>
      <c r="T13" s="83" t="s">
        <v>30</v>
      </c>
      <c r="U13" s="449">
        <v>1</v>
      </c>
      <c r="V13" s="388"/>
      <c r="W13" s="158"/>
      <c r="X13" s="83"/>
      <c r="Y13" s="388"/>
      <c r="Z13" s="389"/>
      <c r="AA13" s="388"/>
      <c r="AB13" s="391"/>
      <c r="AC13" s="83"/>
      <c r="AD13" s="388"/>
      <c r="AE13" s="83"/>
      <c r="AF13" s="386"/>
      <c r="AG13" s="181"/>
      <c r="AH13" s="158" t="s">
        <v>32</v>
      </c>
      <c r="AI13" s="448">
        <v>7.5389999999999999E-2</v>
      </c>
      <c r="AJ13" s="13"/>
      <c r="AK13" s="103"/>
      <c r="AL13" s="7"/>
      <c r="AM13" s="7"/>
      <c r="AN13" s="7"/>
      <c r="AO13" s="7"/>
    </row>
    <row r="14" spans="1:41" ht="19.5" thickBot="1" x14ac:dyDescent="0.35">
      <c r="A14" s="7"/>
      <c r="B14" s="7"/>
      <c r="C14" s="102"/>
      <c r="D14" s="383" t="s">
        <v>103</v>
      </c>
      <c r="E14" s="76">
        <v>20</v>
      </c>
      <c r="F14" s="88"/>
      <c r="G14" s="88"/>
      <c r="H14" s="383" t="s">
        <v>116</v>
      </c>
      <c r="I14" s="76">
        <v>2020</v>
      </c>
      <c r="J14" s="88"/>
      <c r="K14" s="88"/>
      <c r="L14" s="88"/>
      <c r="M14" s="85"/>
      <c r="N14" s="76" t="s">
        <v>200</v>
      </c>
      <c r="O14" s="76" t="s">
        <v>200</v>
      </c>
      <c r="P14" s="76"/>
      <c r="Q14" s="88"/>
      <c r="R14" s="163"/>
      <c r="S14" s="207">
        <v>1333</v>
      </c>
      <c r="T14" s="83" t="s">
        <v>200</v>
      </c>
      <c r="U14" s="449">
        <v>1</v>
      </c>
      <c r="V14" s="388"/>
      <c r="W14" s="158"/>
      <c r="X14" s="83"/>
      <c r="Y14" s="388"/>
      <c r="Z14" s="389"/>
      <c r="AA14" s="388"/>
      <c r="AB14" s="391"/>
      <c r="AC14" s="83"/>
      <c r="AD14" s="388"/>
      <c r="AE14" s="83"/>
      <c r="AF14" s="386"/>
      <c r="AG14" s="181"/>
      <c r="AH14" s="158" t="s">
        <v>200</v>
      </c>
      <c r="AI14" s="448">
        <v>2.2200000000000002E-3</v>
      </c>
      <c r="AJ14" s="13"/>
      <c r="AK14" s="103"/>
      <c r="AL14" s="7"/>
      <c r="AM14" s="7"/>
      <c r="AN14" s="7"/>
      <c r="AO14" s="7"/>
    </row>
    <row r="15" spans="1:41" ht="18.75" x14ac:dyDescent="0.3">
      <c r="A15" s="7"/>
      <c r="B15" s="7"/>
      <c r="C15" s="102"/>
      <c r="D15" s="383" t="s">
        <v>104</v>
      </c>
      <c r="E15" s="154">
        <v>2.6</v>
      </c>
      <c r="F15" s="88"/>
      <c r="G15" s="88"/>
      <c r="H15" s="384" t="s">
        <v>117</v>
      </c>
      <c r="I15" s="76" t="s">
        <v>27</v>
      </c>
      <c r="J15" s="88"/>
      <c r="K15" s="88"/>
      <c r="L15" s="88"/>
      <c r="M15" s="85"/>
      <c r="N15" s="76" t="s">
        <v>32</v>
      </c>
      <c r="O15" s="76" t="s">
        <v>32</v>
      </c>
      <c r="P15" s="76"/>
      <c r="Q15" s="88"/>
      <c r="R15" s="163"/>
      <c r="S15" s="158"/>
      <c r="T15" s="93"/>
      <c r="U15" s="76"/>
      <c r="V15" s="388"/>
      <c r="W15" s="158"/>
      <c r="X15" s="83"/>
      <c r="Y15" s="83"/>
      <c r="Z15" s="76"/>
      <c r="AA15" s="83"/>
      <c r="AB15" s="158"/>
      <c r="AC15" s="83"/>
      <c r="AD15" s="83"/>
      <c r="AE15" s="83"/>
      <c r="AF15" s="386"/>
      <c r="AG15" s="181"/>
      <c r="AH15" s="158"/>
      <c r="AI15" s="76"/>
      <c r="AJ15" s="13"/>
      <c r="AK15" s="103"/>
      <c r="AL15" s="7"/>
      <c r="AM15" s="7"/>
      <c r="AN15" s="7"/>
      <c r="AO15" s="7"/>
    </row>
    <row r="16" spans="1:41" ht="18.75" x14ac:dyDescent="0.3">
      <c r="A16" s="7"/>
      <c r="B16" s="7"/>
      <c r="C16" s="102"/>
      <c r="D16" s="383" t="s">
        <v>105</v>
      </c>
      <c r="E16" s="154">
        <v>1.44</v>
      </c>
      <c r="F16" s="88"/>
      <c r="G16" s="88"/>
      <c r="H16" s="384" t="s">
        <v>101</v>
      </c>
      <c r="I16" s="76" t="s">
        <v>31</v>
      </c>
      <c r="J16" s="88"/>
      <c r="K16" s="88"/>
      <c r="L16" s="88"/>
      <c r="M16" s="85"/>
      <c r="N16" s="76" t="s">
        <v>30</v>
      </c>
      <c r="O16" s="76" t="s">
        <v>30</v>
      </c>
      <c r="P16" s="76"/>
      <c r="Q16" s="88"/>
      <c r="R16" s="163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181"/>
      <c r="AH16" s="158"/>
      <c r="AI16" s="76"/>
      <c r="AJ16" s="13"/>
      <c r="AK16" s="103"/>
      <c r="AL16" s="7"/>
      <c r="AM16" s="7"/>
      <c r="AN16" s="7"/>
      <c r="AO16" s="7"/>
    </row>
    <row r="17" spans="1:41" ht="18.75" x14ac:dyDescent="0.3">
      <c r="A17" s="7"/>
      <c r="B17" s="7"/>
      <c r="C17" s="102"/>
      <c r="D17" s="383" t="s">
        <v>106</v>
      </c>
      <c r="E17" s="76">
        <v>180</v>
      </c>
      <c r="F17" s="88"/>
      <c r="G17" s="88"/>
      <c r="H17" s="384"/>
      <c r="I17" s="76" t="s">
        <v>29</v>
      </c>
      <c r="J17" s="88"/>
      <c r="K17" s="88"/>
      <c r="L17" s="88"/>
      <c r="M17" s="85"/>
      <c r="N17" s="83"/>
      <c r="O17" s="83"/>
      <c r="P17" s="76"/>
      <c r="Q17" s="88"/>
      <c r="R17" s="163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181"/>
      <c r="AH17" s="158"/>
      <c r="AI17" s="76"/>
      <c r="AJ17" s="13"/>
      <c r="AK17" s="103"/>
      <c r="AL17" s="7"/>
      <c r="AM17" s="7"/>
      <c r="AN17" s="7"/>
      <c r="AO17" s="7"/>
    </row>
    <row r="18" spans="1:41" ht="18.75" x14ac:dyDescent="0.3">
      <c r="A18" s="7"/>
      <c r="B18" s="7"/>
      <c r="C18" s="102"/>
      <c r="D18" s="77" t="s">
        <v>107</v>
      </c>
      <c r="E18" s="76">
        <v>40</v>
      </c>
      <c r="F18" s="88"/>
      <c r="G18" s="88"/>
      <c r="H18" s="85"/>
      <c r="I18" s="76" t="s">
        <v>200</v>
      </c>
      <c r="J18" s="88"/>
      <c r="K18" s="88"/>
      <c r="L18" s="88"/>
      <c r="M18" s="85"/>
      <c r="N18" s="83"/>
      <c r="O18" s="83"/>
      <c r="P18" s="76"/>
      <c r="Q18" s="88"/>
      <c r="R18" s="163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181"/>
      <c r="AH18" s="158"/>
      <c r="AI18" s="76"/>
      <c r="AJ18" s="13"/>
      <c r="AK18" s="103"/>
      <c r="AL18" s="7"/>
      <c r="AM18" s="7"/>
      <c r="AN18" s="7"/>
      <c r="AO18" s="7"/>
    </row>
    <row r="19" spans="1:41" ht="18.75" x14ac:dyDescent="0.3">
      <c r="A19" s="7"/>
      <c r="B19" s="7"/>
      <c r="C19" s="102"/>
      <c r="D19" s="383" t="s">
        <v>108</v>
      </c>
      <c r="E19" s="76"/>
      <c r="F19" s="88"/>
      <c r="G19" s="88"/>
      <c r="H19" s="85"/>
      <c r="I19" s="76" t="s">
        <v>32</v>
      </c>
      <c r="J19" s="88"/>
      <c r="K19" s="88"/>
      <c r="L19" s="88"/>
      <c r="M19" s="85"/>
      <c r="N19" s="83"/>
      <c r="O19" s="83"/>
      <c r="P19" s="76"/>
      <c r="Q19" s="88"/>
      <c r="R19" s="163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181"/>
      <c r="AH19" s="158"/>
      <c r="AI19" s="76"/>
      <c r="AJ19" s="13"/>
      <c r="AK19" s="103"/>
      <c r="AL19" s="7"/>
      <c r="AM19" s="7"/>
      <c r="AN19" s="7"/>
      <c r="AO19" s="7"/>
    </row>
    <row r="20" spans="1:41" ht="18.75" x14ac:dyDescent="0.3">
      <c r="A20" s="7"/>
      <c r="B20" s="7"/>
      <c r="C20" s="102"/>
      <c r="D20" s="77" t="s">
        <v>109</v>
      </c>
      <c r="E20" s="76"/>
      <c r="F20" s="88"/>
      <c r="G20" s="88"/>
      <c r="H20" s="85"/>
      <c r="I20" s="76" t="s">
        <v>30</v>
      </c>
      <c r="J20" s="88"/>
      <c r="K20" s="88"/>
      <c r="L20" s="88"/>
      <c r="M20" s="159"/>
      <c r="N20" s="83"/>
      <c r="O20" s="83"/>
      <c r="P20" s="76"/>
      <c r="Q20" s="88"/>
      <c r="R20" s="163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181"/>
      <c r="AH20" s="158"/>
      <c r="AI20" s="76"/>
      <c r="AJ20" s="13"/>
      <c r="AK20" s="103"/>
      <c r="AL20" s="7"/>
      <c r="AM20" s="7"/>
      <c r="AN20" s="7"/>
      <c r="AO20" s="7"/>
    </row>
    <row r="21" spans="1:41" ht="18.75" x14ac:dyDescent="0.3">
      <c r="A21" s="7"/>
      <c r="B21" s="7"/>
      <c r="C21" s="102"/>
      <c r="D21" s="77" t="s">
        <v>110</v>
      </c>
      <c r="E21" s="76"/>
      <c r="F21" s="88"/>
      <c r="G21" s="88"/>
      <c r="H21" s="159"/>
      <c r="I21" s="86"/>
      <c r="J21" s="88"/>
      <c r="K21" s="88"/>
      <c r="L21" s="88"/>
      <c r="M21" s="159"/>
      <c r="N21" s="83"/>
      <c r="O21" s="83"/>
      <c r="P21" s="76"/>
      <c r="Q21" s="88"/>
      <c r="R21" s="163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181"/>
      <c r="AH21" s="158"/>
      <c r="AI21" s="76"/>
      <c r="AJ21" s="13"/>
      <c r="AK21" s="103"/>
      <c r="AL21" s="7"/>
      <c r="AM21" s="7"/>
      <c r="AN21" s="7"/>
      <c r="AO21" s="7"/>
    </row>
    <row r="22" spans="1:41" ht="18.75" x14ac:dyDescent="0.3">
      <c r="A22" s="7"/>
      <c r="B22" s="7"/>
      <c r="C22" s="102"/>
      <c r="D22" s="77" t="s">
        <v>111</v>
      </c>
      <c r="E22" s="76"/>
      <c r="F22" s="88"/>
      <c r="G22" s="88"/>
      <c r="H22" s="159"/>
      <c r="I22" s="86"/>
      <c r="J22" s="88"/>
      <c r="K22" s="88"/>
      <c r="L22" s="88"/>
      <c r="M22" s="159"/>
      <c r="N22" s="83"/>
      <c r="O22" s="83"/>
      <c r="P22" s="76"/>
      <c r="Q22" s="88"/>
      <c r="R22" s="163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181"/>
      <c r="AH22" s="158"/>
      <c r="AI22" s="76"/>
      <c r="AJ22" s="13"/>
      <c r="AK22" s="103"/>
      <c r="AL22" s="7"/>
      <c r="AM22" s="7"/>
      <c r="AN22" s="7"/>
      <c r="AO22" s="7"/>
    </row>
    <row r="23" spans="1:41" ht="18.75" x14ac:dyDescent="0.3">
      <c r="A23" s="7"/>
      <c r="B23" s="7"/>
      <c r="C23" s="102"/>
      <c r="D23" s="77" t="s">
        <v>112</v>
      </c>
      <c r="E23" s="76"/>
      <c r="F23" s="88"/>
      <c r="G23" s="88"/>
      <c r="H23" s="159"/>
      <c r="I23" s="86"/>
      <c r="J23" s="88"/>
      <c r="K23" s="88"/>
      <c r="L23" s="88"/>
      <c r="M23" s="159"/>
      <c r="N23" s="83"/>
      <c r="O23" s="83"/>
      <c r="P23" s="76"/>
      <c r="Q23" s="88"/>
      <c r="R23" s="163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181"/>
      <c r="AH23" s="158"/>
      <c r="AI23" s="76"/>
      <c r="AJ23" s="13"/>
      <c r="AK23" s="103"/>
      <c r="AL23" s="7"/>
      <c r="AM23" s="7"/>
      <c r="AN23" s="7"/>
      <c r="AO23" s="7"/>
    </row>
    <row r="24" spans="1:41" ht="18.75" x14ac:dyDescent="0.3">
      <c r="A24" s="7"/>
      <c r="B24" s="7"/>
      <c r="C24" s="102"/>
      <c r="D24" s="193" t="s">
        <v>135</v>
      </c>
      <c r="E24" s="86"/>
      <c r="F24" s="88"/>
      <c r="G24" s="88"/>
      <c r="H24" s="159"/>
      <c r="I24" s="86"/>
      <c r="J24" s="88"/>
      <c r="K24" s="88"/>
      <c r="L24" s="88"/>
      <c r="M24" s="159"/>
      <c r="N24" s="83"/>
      <c r="O24" s="83"/>
      <c r="P24" s="76"/>
      <c r="Q24" s="88"/>
      <c r="R24" s="163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181"/>
      <c r="AH24" s="158"/>
      <c r="AI24" s="76"/>
      <c r="AJ24" s="13"/>
      <c r="AK24" s="103"/>
      <c r="AL24" s="7"/>
      <c r="AM24" s="7"/>
      <c r="AN24" s="7"/>
      <c r="AO24" s="7"/>
    </row>
    <row r="25" spans="1:41" ht="18.75" x14ac:dyDescent="0.3">
      <c r="A25" s="7"/>
      <c r="B25" s="7"/>
      <c r="C25" s="102"/>
      <c r="D25" s="193" t="s">
        <v>136</v>
      </c>
      <c r="E25" s="86"/>
      <c r="F25" s="88"/>
      <c r="G25" s="88"/>
      <c r="H25" s="159"/>
      <c r="I25" s="86"/>
      <c r="J25" s="88"/>
      <c r="K25" s="88"/>
      <c r="L25" s="88"/>
      <c r="M25" s="159"/>
      <c r="N25" s="83"/>
      <c r="O25" s="83"/>
      <c r="P25" s="76"/>
      <c r="Q25" s="88"/>
      <c r="R25" s="163"/>
      <c r="S25" s="180"/>
      <c r="T25" s="83"/>
      <c r="U25" s="182"/>
      <c r="V25" s="181"/>
      <c r="W25" s="158"/>
      <c r="X25" s="181"/>
      <c r="Y25" s="181"/>
      <c r="Z25" s="182"/>
      <c r="AA25" s="181"/>
      <c r="AB25" s="180"/>
      <c r="AC25" s="83"/>
      <c r="AD25" s="181"/>
      <c r="AE25" s="83"/>
      <c r="AF25" s="182"/>
      <c r="AG25" s="181"/>
      <c r="AH25" s="158"/>
      <c r="AI25" s="76"/>
      <c r="AJ25" s="13"/>
      <c r="AK25" s="103"/>
      <c r="AL25" s="7"/>
      <c r="AM25" s="7"/>
      <c r="AN25" s="7"/>
      <c r="AO25" s="7"/>
    </row>
    <row r="26" spans="1:41" ht="18.75" x14ac:dyDescent="0.3">
      <c r="A26" s="7"/>
      <c r="B26" s="7"/>
      <c r="C26" s="102"/>
      <c r="D26" s="194" t="s">
        <v>137</v>
      </c>
      <c r="E26" s="86"/>
      <c r="F26" s="88"/>
      <c r="G26" s="88"/>
      <c r="H26" s="159"/>
      <c r="I26" s="86"/>
      <c r="J26" s="88"/>
      <c r="K26" s="88"/>
      <c r="L26" s="88"/>
      <c r="M26" s="159"/>
      <c r="N26" s="83"/>
      <c r="O26" s="83"/>
      <c r="P26" s="76"/>
      <c r="Q26" s="88"/>
      <c r="R26" s="163"/>
      <c r="S26" s="180"/>
      <c r="T26" s="83"/>
      <c r="U26" s="182"/>
      <c r="V26" s="181"/>
      <c r="W26" s="158"/>
      <c r="X26" s="181"/>
      <c r="Y26" s="181"/>
      <c r="Z26" s="182"/>
      <c r="AA26" s="181"/>
      <c r="AB26" s="180"/>
      <c r="AC26" s="83"/>
      <c r="AD26" s="181"/>
      <c r="AE26" s="83"/>
      <c r="AF26" s="182"/>
      <c r="AG26" s="181"/>
      <c r="AH26" s="158"/>
      <c r="AI26" s="76"/>
      <c r="AJ26" s="13"/>
      <c r="AK26" s="103"/>
      <c r="AL26" s="7"/>
      <c r="AM26" s="7"/>
      <c r="AN26" s="7"/>
      <c r="AO26" s="7"/>
    </row>
    <row r="27" spans="1:41" ht="19.5" thickBot="1" x14ac:dyDescent="0.35">
      <c r="A27" s="7"/>
      <c r="B27" s="7"/>
      <c r="C27" s="102"/>
      <c r="D27" s="195" t="s">
        <v>145</v>
      </c>
      <c r="E27" s="90"/>
      <c r="F27" s="88"/>
      <c r="G27" s="88"/>
      <c r="H27" s="160"/>
      <c r="I27" s="90"/>
      <c r="J27" s="88"/>
      <c r="K27" s="88"/>
      <c r="L27" s="88"/>
      <c r="M27" s="160"/>
      <c r="N27" s="162"/>
      <c r="O27" s="162"/>
      <c r="P27" s="79"/>
      <c r="Q27" s="88"/>
      <c r="R27" s="163"/>
      <c r="S27" s="183"/>
      <c r="T27" s="162"/>
      <c r="U27" s="185"/>
      <c r="V27" s="181"/>
      <c r="W27" s="161"/>
      <c r="X27" s="184"/>
      <c r="Y27" s="184"/>
      <c r="Z27" s="185"/>
      <c r="AA27" s="181"/>
      <c r="AB27" s="183"/>
      <c r="AC27" s="162"/>
      <c r="AD27" s="184"/>
      <c r="AE27" s="162"/>
      <c r="AF27" s="185"/>
      <c r="AG27" s="181"/>
      <c r="AH27" s="161"/>
      <c r="AI27" s="79"/>
      <c r="AJ27" s="13"/>
      <c r="AK27" s="103"/>
      <c r="AL27" s="7"/>
      <c r="AM27" s="7"/>
      <c r="AN27" s="7"/>
      <c r="AO27" s="7"/>
    </row>
    <row r="28" spans="1:41" x14ac:dyDescent="0.25">
      <c r="A28" s="7"/>
      <c r="B28" s="7"/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7"/>
      <c r="AI28" s="7"/>
      <c r="AJ28" s="13"/>
      <c r="AK28" s="103"/>
      <c r="AL28" s="7"/>
      <c r="AM28" s="7" t="s">
        <v>49</v>
      </c>
      <c r="AN28" s="7"/>
      <c r="AO28" s="7"/>
    </row>
    <row r="29" spans="1:41" x14ac:dyDescent="0.25">
      <c r="A29" s="7"/>
      <c r="B29" s="7"/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7"/>
      <c r="AI29" s="7"/>
      <c r="AJ29" s="13"/>
      <c r="AK29" s="103"/>
      <c r="AL29" s="7"/>
      <c r="AM29" s="7"/>
      <c r="AN29" s="7"/>
      <c r="AO29" s="7"/>
    </row>
    <row r="30" spans="1:41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7"/>
      <c r="AI30" s="7"/>
      <c r="AJ30" s="13"/>
      <c r="AK30" s="103"/>
      <c r="AL30" s="7"/>
      <c r="AM30" s="7"/>
      <c r="AN30" s="7"/>
      <c r="AO30" s="7"/>
    </row>
    <row r="31" spans="1:41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03"/>
      <c r="AL31" s="7"/>
      <c r="AM31" s="7"/>
      <c r="AN31" s="7"/>
      <c r="AO31" s="7"/>
    </row>
    <row r="32" spans="1:41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03"/>
      <c r="AL32" s="7"/>
      <c r="AM32" s="7"/>
      <c r="AN32" s="7"/>
      <c r="AO32" s="7"/>
    </row>
    <row r="33" spans="1:41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03"/>
      <c r="AL33" s="7"/>
      <c r="AM33" s="7"/>
      <c r="AN33" s="7"/>
      <c r="AO33" s="7"/>
    </row>
    <row r="34" spans="1:41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 t="s">
        <v>49</v>
      </c>
      <c r="AJ34" s="13"/>
      <c r="AK34" s="103"/>
      <c r="AL34" s="7"/>
      <c r="AM34" s="7"/>
      <c r="AN34" s="7"/>
      <c r="AO34" s="7"/>
    </row>
    <row r="35" spans="1:41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03"/>
      <c r="AL35" s="7"/>
      <c r="AM35" s="7"/>
      <c r="AN35" s="7"/>
      <c r="AO35" s="7"/>
    </row>
    <row r="36" spans="1:41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03"/>
      <c r="AL36" s="7"/>
      <c r="AM36" s="7"/>
      <c r="AN36" s="7"/>
      <c r="AO36" s="7"/>
    </row>
    <row r="37" spans="1:41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03"/>
      <c r="AL37" s="7"/>
      <c r="AM37" s="7"/>
      <c r="AN37" s="7"/>
      <c r="AO37" s="7"/>
    </row>
    <row r="38" spans="1:41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03"/>
      <c r="AL38" s="7"/>
      <c r="AM38" s="7"/>
      <c r="AN38" s="7"/>
      <c r="AO38" s="7"/>
    </row>
    <row r="39" spans="1:41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03"/>
      <c r="AL39" s="7"/>
      <c r="AM39" s="7"/>
      <c r="AN39" s="7"/>
      <c r="AO39" s="7"/>
    </row>
    <row r="40" spans="1:41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03"/>
      <c r="AL40" s="7"/>
      <c r="AM40" s="7"/>
      <c r="AN40" s="7"/>
      <c r="AO40" s="7"/>
    </row>
    <row r="41" spans="1:41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03"/>
      <c r="AL41" s="7"/>
      <c r="AM41" s="7"/>
      <c r="AN41" s="7"/>
      <c r="AO41" s="7"/>
    </row>
    <row r="42" spans="1:41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03"/>
      <c r="AL42" s="7"/>
      <c r="AM42" s="7"/>
      <c r="AN42" s="7"/>
      <c r="AO42" s="7"/>
    </row>
    <row r="43" spans="1:41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03"/>
      <c r="AL43" s="7"/>
      <c r="AM43" s="7"/>
      <c r="AN43" s="7"/>
      <c r="AO43" s="7"/>
    </row>
    <row r="44" spans="1:41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03"/>
      <c r="AL44" s="7"/>
      <c r="AM44" s="7"/>
      <c r="AN44" s="7"/>
      <c r="AO44" s="7"/>
    </row>
    <row r="45" spans="1:41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03"/>
      <c r="AL45" s="7"/>
      <c r="AM45" s="7"/>
      <c r="AN45" s="7"/>
      <c r="AO45" s="7"/>
    </row>
    <row r="46" spans="1:41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03"/>
      <c r="AL46" s="7"/>
      <c r="AM46" s="7"/>
      <c r="AN46" s="7"/>
      <c r="AO46" s="7"/>
    </row>
    <row r="47" spans="1:41" ht="18.75" x14ac:dyDescent="0.25">
      <c r="A47" s="7"/>
      <c r="B47" s="7"/>
      <c r="C47" s="102"/>
      <c r="D47" s="7"/>
      <c r="E47" s="7"/>
      <c r="F47" s="399"/>
      <c r="G47" s="397"/>
      <c r="H47" s="7"/>
      <c r="I47" s="7"/>
      <c r="J47" s="399"/>
      <c r="K47" s="397"/>
      <c r="L47" s="7"/>
      <c r="M47" s="7"/>
      <c r="N47" s="7"/>
      <c r="O47" s="7"/>
      <c r="P47" s="392"/>
      <c r="Q47" s="7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03"/>
      <c r="AL47" s="7"/>
      <c r="AM47" s="7"/>
      <c r="AN47" s="7"/>
      <c r="AO47" s="7"/>
    </row>
    <row r="48" spans="1:41" ht="15.75" x14ac:dyDescent="0.25">
      <c r="A48" s="7"/>
      <c r="B48" s="7"/>
      <c r="C48" s="102"/>
      <c r="D48" s="7"/>
      <c r="E48" s="7"/>
      <c r="F48" s="393"/>
      <c r="G48" s="393"/>
      <c r="H48" s="7"/>
      <c r="I48" s="7"/>
      <c r="J48" s="393"/>
      <c r="K48" s="393"/>
      <c r="L48" s="7"/>
      <c r="M48" s="7"/>
      <c r="N48" s="7"/>
      <c r="O48" s="7"/>
      <c r="P48" s="7"/>
      <c r="Q48" s="7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03"/>
      <c r="AL48" s="7"/>
      <c r="AM48" s="7"/>
      <c r="AN48" s="7"/>
      <c r="AO48" s="7"/>
    </row>
    <row r="49" spans="1:41" ht="15.75" x14ac:dyDescent="0.25">
      <c r="A49" s="7"/>
      <c r="B49" s="7"/>
      <c r="C49" s="102"/>
      <c r="D49" s="7"/>
      <c r="E49" s="7"/>
      <c r="F49" s="394"/>
      <c r="G49" s="394"/>
      <c r="H49" s="7"/>
      <c r="I49" s="7"/>
      <c r="J49" s="395"/>
      <c r="K49" s="395"/>
      <c r="L49" s="7"/>
      <c r="M49" s="7"/>
      <c r="N49" s="7"/>
      <c r="O49" s="7"/>
      <c r="P49" s="7"/>
      <c r="Q49" s="7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03"/>
      <c r="AL49" s="7"/>
      <c r="AM49" s="7"/>
      <c r="AN49" s="7"/>
      <c r="AO49" s="7"/>
    </row>
    <row r="50" spans="1:41" ht="15.75" x14ac:dyDescent="0.25">
      <c r="A50" s="7"/>
      <c r="B50" s="7"/>
      <c r="C50" s="102"/>
      <c r="D50" s="7"/>
      <c r="E50" s="7"/>
      <c r="F50" s="394"/>
      <c r="G50" s="394"/>
      <c r="H50" s="7"/>
      <c r="I50" s="7"/>
      <c r="J50" s="395"/>
      <c r="K50" s="395"/>
      <c r="L50" s="7"/>
      <c r="M50" s="7"/>
      <c r="N50" s="7"/>
      <c r="O50" s="7"/>
      <c r="P50" s="7"/>
      <c r="Q50" s="7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03"/>
      <c r="AL50" s="7"/>
      <c r="AM50" s="7"/>
      <c r="AN50" s="7"/>
      <c r="AO50" s="7"/>
    </row>
    <row r="51" spans="1:41" ht="15.75" x14ac:dyDescent="0.25">
      <c r="A51" s="7"/>
      <c r="B51" s="7"/>
      <c r="C51" s="102"/>
      <c r="D51" s="7"/>
      <c r="E51" s="7"/>
      <c r="F51" s="394"/>
      <c r="G51" s="394"/>
      <c r="H51" s="7"/>
      <c r="I51" s="7"/>
      <c r="J51" s="395"/>
      <c r="K51" s="395"/>
      <c r="L51" s="7"/>
      <c r="M51" s="7"/>
      <c r="N51" s="7"/>
      <c r="O51" s="7"/>
      <c r="P51" s="7"/>
      <c r="Q51" s="7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03"/>
      <c r="AL51" s="7"/>
      <c r="AM51" s="7"/>
      <c r="AN51" s="7"/>
      <c r="AO51" s="7"/>
    </row>
    <row r="52" spans="1:41" ht="15.75" x14ac:dyDescent="0.25">
      <c r="A52" s="7"/>
      <c r="B52" s="7"/>
      <c r="C52" s="102"/>
      <c r="D52" s="7"/>
      <c r="E52" s="7"/>
      <c r="F52" s="394"/>
      <c r="G52" s="394"/>
      <c r="H52" s="7"/>
      <c r="I52" s="7"/>
      <c r="J52" s="396"/>
      <c r="K52" s="396"/>
      <c r="L52" s="7"/>
      <c r="M52" s="7"/>
      <c r="N52" s="7"/>
      <c r="O52" s="7"/>
      <c r="P52" s="7"/>
      <c r="Q52" s="7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03"/>
      <c r="AL52" s="7"/>
      <c r="AM52" s="7"/>
      <c r="AN52" s="7"/>
      <c r="AO52" s="7"/>
    </row>
    <row r="53" spans="1:41" ht="15.75" x14ac:dyDescent="0.25">
      <c r="A53" s="7"/>
      <c r="B53" s="7"/>
      <c r="C53" s="102"/>
      <c r="D53" s="7"/>
      <c r="E53" s="7"/>
      <c r="F53" s="394"/>
      <c r="G53" s="394"/>
      <c r="H53" s="7"/>
      <c r="I53" s="7"/>
      <c r="J53" s="396"/>
      <c r="K53" s="396"/>
      <c r="L53" s="7"/>
      <c r="M53" s="7"/>
      <c r="N53" s="7"/>
      <c r="O53" s="7"/>
      <c r="P53" s="7"/>
      <c r="Q53" s="7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03"/>
      <c r="AL53" s="7"/>
      <c r="AM53" s="7"/>
      <c r="AN53" s="7"/>
      <c r="AO53" s="7"/>
    </row>
    <row r="54" spans="1:41" ht="15.75" x14ac:dyDescent="0.25">
      <c r="A54" s="7"/>
      <c r="B54" s="7"/>
      <c r="C54" s="102"/>
      <c r="D54" s="7"/>
      <c r="E54" s="7"/>
      <c r="F54" s="394"/>
      <c r="G54" s="394"/>
      <c r="H54" s="7"/>
      <c r="I54" s="7"/>
      <c r="J54" s="396"/>
      <c r="K54" s="396"/>
      <c r="L54" s="7"/>
      <c r="M54" s="7"/>
      <c r="N54" s="7"/>
      <c r="O54" s="7"/>
      <c r="P54" s="7"/>
      <c r="Q54" s="7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03"/>
      <c r="AL54" s="7"/>
      <c r="AM54" s="7"/>
      <c r="AN54" s="7"/>
      <c r="AO54" s="7"/>
    </row>
    <row r="55" spans="1:41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03"/>
      <c r="AL55" s="7"/>
      <c r="AM55" s="7"/>
      <c r="AN55" s="7"/>
      <c r="AO55" s="7"/>
    </row>
    <row r="56" spans="1:41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03"/>
      <c r="AL56" s="7"/>
      <c r="AM56" s="7"/>
      <c r="AN56" s="7"/>
      <c r="AO56" s="7"/>
    </row>
    <row r="57" spans="1:41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03"/>
      <c r="AL57" s="7"/>
      <c r="AM57" s="7"/>
      <c r="AN57" s="7"/>
      <c r="AO57" s="7"/>
    </row>
    <row r="58" spans="1:41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03"/>
      <c r="AL58" s="7"/>
      <c r="AM58" s="7"/>
      <c r="AN58" s="7"/>
      <c r="AO58" s="7"/>
    </row>
    <row r="59" spans="1:41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03"/>
      <c r="AL59" s="7"/>
      <c r="AM59" s="7"/>
      <c r="AN59" s="7"/>
      <c r="AO59" s="7"/>
    </row>
    <row r="60" spans="1:41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03"/>
      <c r="AL60" s="7"/>
      <c r="AM60" s="7"/>
      <c r="AN60" s="7"/>
      <c r="AO60" s="7"/>
    </row>
    <row r="61" spans="1:41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03"/>
      <c r="AL61" s="7"/>
      <c r="AM61" s="7"/>
      <c r="AN61" s="7"/>
      <c r="AO61" s="7"/>
    </row>
    <row r="62" spans="1:41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03"/>
      <c r="AL62" s="7"/>
      <c r="AM62" s="7"/>
      <c r="AN62" s="7"/>
      <c r="AO62" s="7"/>
    </row>
    <row r="63" spans="1:41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03"/>
      <c r="AL63" s="7"/>
      <c r="AM63" s="7"/>
      <c r="AN63" s="7"/>
      <c r="AO63" s="7"/>
    </row>
    <row r="64" spans="1:41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03"/>
      <c r="AL64" s="7"/>
      <c r="AM64" s="7"/>
      <c r="AN64" s="7"/>
      <c r="AO64" s="7"/>
    </row>
    <row r="65" spans="1:41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03"/>
      <c r="AL65" s="7"/>
      <c r="AM65" s="7"/>
      <c r="AN65" s="7"/>
      <c r="AO65" s="7"/>
    </row>
    <row r="66" spans="1:41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03"/>
      <c r="AL66" s="7"/>
      <c r="AM66" s="7"/>
      <c r="AN66" s="7"/>
      <c r="AO66" s="7"/>
    </row>
    <row r="67" spans="1:41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03"/>
      <c r="AL67" s="7"/>
      <c r="AM67" s="7"/>
      <c r="AN67" s="7"/>
      <c r="AO67" s="7"/>
    </row>
    <row r="68" spans="1:41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03"/>
      <c r="AL68" s="7"/>
      <c r="AM68" s="7"/>
      <c r="AN68" s="7"/>
      <c r="AO68" s="7"/>
    </row>
    <row r="69" spans="1:41" x14ac:dyDescent="0.25">
      <c r="A69" s="7"/>
      <c r="B69" s="7"/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03"/>
      <c r="AL69" s="7"/>
      <c r="AM69" s="7"/>
      <c r="AN69" s="7"/>
      <c r="AO69" s="7"/>
    </row>
    <row r="70" spans="1:41" ht="15.75" thickBot="1" x14ac:dyDescent="0.3">
      <c r="A70" s="7"/>
      <c r="B70" s="7"/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70"/>
      <c r="AL70" s="7"/>
      <c r="AM70" s="7"/>
      <c r="AN70" s="7"/>
      <c r="AO70" s="7"/>
    </row>
    <row r="71" spans="1:4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72" spans="1:4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</row>
    <row r="73" spans="1:4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</row>
    <row r="74" spans="1:4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</row>
    <row r="75" spans="1:4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</row>
    <row r="76" spans="1:4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</row>
    <row r="77" spans="1:4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</row>
    <row r="78" spans="1:4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</row>
    <row r="79" spans="1:4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</row>
    <row r="119" spans="17:17" x14ac:dyDescent="0.25">
      <c r="Q119" s="3" t="s">
        <v>49</v>
      </c>
    </row>
    <row r="137" spans="18:18" x14ac:dyDescent="0.25">
      <c r="R137" s="3" t="s">
        <v>49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6D7FB1-2045-114E-85FD-E7C901420BAA}">
          <x14:formula1>
            <xm:f>'C:\Users\philippkenkel\Seafile\RESILIENTE ENERGIESYSTEME\Intern\[TEST_CASE.xlsm]DataBank'!#REF!</xm:f>
          </x14:formula1>
          <xm:sqref>AB10 AD10 N11:P11 I15</xm:sqref>
        </x14:dataValidation>
        <x14:dataValidation type="list" allowBlank="1" showInputMessage="1" showErrorMessage="1" xr:uid="{AF85239C-E113-564E-B234-EDD54BF09201}">
          <x14:formula1>
            <xm:f>'C:\Users\philippkenkel\Seafile\RESILIENTE ENERGIESYSTEME\Intern\[TEST_CASE.xlsm]Systemblatt'!#REF!</xm:f>
          </x14:formula1>
          <xm:sqref>W12:W27 T10:T27 AH10:AH30 AC10:AC27 AE12:AE27 P12:P27 AE10 N12:O13 N17:O27 I16:I17</xm:sqref>
        </x14:dataValidation>
        <x14:dataValidation type="whole" allowBlank="1" showInputMessage="1" showErrorMessage="1" xr:uid="{25879447-367F-C748-A999-27F0D0C2A480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E17:E20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9EC1B-F45A-6141-A160-BBBEF80380F4}">
  <sheetPr codeName="Tabelle47"/>
  <dimension ref="A1:AJ144"/>
  <sheetViews>
    <sheetView topLeftCell="H1" zoomScale="75" zoomScaleNormal="47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9.5" thickBot="1" x14ac:dyDescent="0.35">
      <c r="A10" s="7"/>
      <c r="B10" s="7"/>
      <c r="C10" s="102"/>
      <c r="D10" s="379" t="s">
        <v>2</v>
      </c>
      <c r="E10" s="74" t="s">
        <v>244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1.8599999999999998E-2</v>
      </c>
      <c r="O10" s="93">
        <v>-6.0000000000000001E-3</v>
      </c>
      <c r="P10" s="74"/>
      <c r="Q10" s="20">
        <v>2.0299999999999999E-2</v>
      </c>
      <c r="R10" s="7"/>
      <c r="S10" s="380">
        <v>5140</v>
      </c>
      <c r="T10" s="436" t="s">
        <v>30</v>
      </c>
      <c r="U10" s="381">
        <f>1-U15</f>
        <v>0.73419999999999996</v>
      </c>
      <c r="V10" s="382"/>
      <c r="W10" s="152"/>
      <c r="X10" s="83">
        <v>5140</v>
      </c>
      <c r="Y10" s="153"/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9.5" thickBot="1" x14ac:dyDescent="0.35">
      <c r="A11" s="7"/>
      <c r="B11" s="7"/>
      <c r="C11" s="102"/>
      <c r="D11" s="383" t="s">
        <v>4</v>
      </c>
      <c r="E11" s="76">
        <v>5320</v>
      </c>
      <c r="F11" s="7"/>
      <c r="G11" s="7"/>
      <c r="H11" s="383" t="s">
        <v>113</v>
      </c>
      <c r="I11" s="76">
        <v>1.395</v>
      </c>
      <c r="J11" s="7"/>
      <c r="K11" s="7"/>
      <c r="L11" s="7"/>
      <c r="M11" s="384" t="s">
        <v>122</v>
      </c>
      <c r="N11" s="83" t="s">
        <v>26</v>
      </c>
      <c r="O11" s="20" t="s">
        <v>26</v>
      </c>
      <c r="P11" s="76"/>
      <c r="Q11" s="20" t="s">
        <v>26</v>
      </c>
      <c r="R11" s="7"/>
      <c r="S11" s="385">
        <v>5140</v>
      </c>
      <c r="T11" s="436" t="s">
        <v>31</v>
      </c>
      <c r="U11" s="381">
        <f t="shared" ref="U11:U13" si="0">1-U16</f>
        <v>9.4600000000000017E-2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9.5" thickBot="1" x14ac:dyDescent="0.35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0.4718</v>
      </c>
      <c r="J12" s="7"/>
      <c r="K12" s="7"/>
      <c r="L12" s="7"/>
      <c r="M12" s="384" t="s">
        <v>123</v>
      </c>
      <c r="N12" s="83" t="s">
        <v>29</v>
      </c>
      <c r="O12" s="83" t="s">
        <v>29</v>
      </c>
      <c r="P12" s="76"/>
      <c r="Q12" s="83" t="s">
        <v>29</v>
      </c>
      <c r="R12" s="7"/>
      <c r="S12" s="385">
        <v>5140</v>
      </c>
      <c r="T12" s="436" t="s">
        <v>29</v>
      </c>
      <c r="U12" s="381">
        <f t="shared" si="0"/>
        <v>0.98760000000000003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9.5" thickBot="1" x14ac:dyDescent="0.35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0.17219999999999999</v>
      </c>
      <c r="J13" s="7"/>
      <c r="K13" s="7"/>
      <c r="L13" s="7"/>
      <c r="M13" s="384"/>
      <c r="N13" s="83" t="s">
        <v>31</v>
      </c>
      <c r="O13" s="83" t="s">
        <v>31</v>
      </c>
      <c r="P13" s="76"/>
      <c r="Q13" s="83" t="s">
        <v>31</v>
      </c>
      <c r="R13" s="7"/>
      <c r="S13" s="391">
        <v>5140</v>
      </c>
      <c r="T13" s="436" t="s">
        <v>32</v>
      </c>
      <c r="U13" s="381">
        <f t="shared" si="0"/>
        <v>0.99780000000000002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 t="s">
        <v>30</v>
      </c>
      <c r="O14" s="83" t="s">
        <v>30</v>
      </c>
      <c r="P14" s="76"/>
      <c r="Q14" s="83" t="s">
        <v>30</v>
      </c>
      <c r="R14" s="7"/>
      <c r="S14" s="391">
        <v>5140</v>
      </c>
      <c r="T14" s="436" t="s">
        <v>200</v>
      </c>
      <c r="U14" s="381">
        <f>1-U19</f>
        <v>0.9627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 t="s">
        <v>32</v>
      </c>
      <c r="O15" s="83" t="s">
        <v>32</v>
      </c>
      <c r="P15" s="76"/>
      <c r="Q15" s="83" t="s">
        <v>32</v>
      </c>
      <c r="R15" s="7"/>
      <c r="S15" s="391">
        <v>1110</v>
      </c>
      <c r="T15" s="436" t="s">
        <v>30</v>
      </c>
      <c r="U15" s="389">
        <v>0.26579999999999998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29</v>
      </c>
      <c r="J16" s="7"/>
      <c r="K16" s="7"/>
      <c r="L16" s="7"/>
      <c r="M16" s="85"/>
      <c r="N16" s="83" t="s">
        <v>200</v>
      </c>
      <c r="O16" s="83" t="s">
        <v>200</v>
      </c>
      <c r="P16" s="76"/>
      <c r="Q16" s="83" t="s">
        <v>200</v>
      </c>
      <c r="R16" s="7"/>
      <c r="S16" s="391">
        <v>1110</v>
      </c>
      <c r="T16" s="436" t="s">
        <v>31</v>
      </c>
      <c r="U16" s="389">
        <v>0.90539999999999998</v>
      </c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>
        <v>100</v>
      </c>
      <c r="F17" s="7"/>
      <c r="G17" s="7"/>
      <c r="H17" s="384"/>
      <c r="I17" s="76" t="s">
        <v>31</v>
      </c>
      <c r="J17" s="7"/>
      <c r="K17" s="7"/>
      <c r="L17" s="7"/>
      <c r="M17" s="85"/>
      <c r="N17" s="83"/>
      <c r="O17" s="83"/>
      <c r="P17" s="76"/>
      <c r="Q17" s="7"/>
      <c r="R17" s="7"/>
      <c r="S17" s="391">
        <v>1110</v>
      </c>
      <c r="T17" s="436" t="s">
        <v>29</v>
      </c>
      <c r="U17" s="389">
        <v>1.24E-2</v>
      </c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>
        <v>40</v>
      </c>
      <c r="F18" s="7"/>
      <c r="G18" s="7"/>
      <c r="H18" s="85"/>
      <c r="I18" s="76" t="s">
        <v>32</v>
      </c>
      <c r="J18" s="7"/>
      <c r="K18" s="7"/>
      <c r="L18" s="7"/>
      <c r="M18" s="85"/>
      <c r="N18" s="83"/>
      <c r="O18" s="83"/>
      <c r="P18" s="76"/>
      <c r="Q18" s="7"/>
      <c r="R18" s="7"/>
      <c r="S18" s="391">
        <v>1110</v>
      </c>
      <c r="T18" s="436" t="s">
        <v>32</v>
      </c>
      <c r="U18" s="389">
        <v>2.2000000000000001E-3</v>
      </c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30</v>
      </c>
      <c r="J19" s="7"/>
      <c r="K19" s="7"/>
      <c r="L19" s="7"/>
      <c r="M19" s="85"/>
      <c r="N19" s="83"/>
      <c r="O19" s="83"/>
      <c r="P19" s="76"/>
      <c r="Q19" s="7"/>
      <c r="R19" s="7"/>
      <c r="S19" s="391">
        <v>1110</v>
      </c>
      <c r="T19" s="436" t="s">
        <v>200</v>
      </c>
      <c r="U19" s="389">
        <v>3.73E-2</v>
      </c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200</v>
      </c>
      <c r="J20" s="7"/>
      <c r="K20" s="7"/>
      <c r="L20" s="7"/>
      <c r="M20" s="85"/>
      <c r="N20" s="83"/>
      <c r="O20" s="83"/>
      <c r="P20" s="76"/>
      <c r="Q20" s="7"/>
      <c r="R20" s="7"/>
      <c r="S20" s="391"/>
      <c r="T20" s="436"/>
      <c r="U20" s="389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391"/>
      <c r="T21" s="436"/>
      <c r="U21" s="389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391"/>
      <c r="T22" s="436"/>
      <c r="U22" s="389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391"/>
      <c r="T23" s="436"/>
      <c r="U23" s="389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391"/>
      <c r="T24" s="436"/>
      <c r="U24" s="38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B566167-96A5-874E-9671-653B524C3015}">
          <x14:formula1>
            <xm:f>'C:\Users\philippkenkel\Seafile\RESILIENTE ENERGIESYSTEME\Intern\[TEST_CASE.xlsm]DataBank'!#REF!</xm:f>
          </x14:formula1>
          <xm:sqref>I15:K15 AD10 AB10 N11 P11</xm:sqref>
        </x14:dataValidation>
        <x14:dataValidation type="whole" allowBlank="1" showInputMessage="1" showErrorMessage="1" xr:uid="{B737D349-04F0-CD4B-AB28-D35DCA502661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782F87F2-4EB8-7D46-864C-90A03D66E156}">
          <x14:formula1>
            <xm:f>'C:\Users\philippkenkel\Seafile\RESILIENTE ENERGIESYSTEME\Intern\[TEST_CASE.xlsm]Systemblatt'!#REF!</xm:f>
          </x14:formula1>
          <xm:sqref>I16:K17 N12:P22 AC10:AC24 Q12:Q16 AE10:AE24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4A4AB-8412-2644-9761-8DDCBB0FA799}">
  <sheetPr codeName="Tabelle50"/>
  <dimension ref="A1:AJ144"/>
  <sheetViews>
    <sheetView topLeftCell="C1" zoomScale="75" zoomScaleNormal="47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286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7.0999999999999994E-2</v>
      </c>
      <c r="O10" s="93"/>
      <c r="P10" s="74"/>
      <c r="Q10" s="7"/>
      <c r="R10" s="7"/>
      <c r="S10" s="380">
        <v>3100</v>
      </c>
      <c r="T10" s="486" t="s">
        <v>31</v>
      </c>
      <c r="U10" s="381">
        <v>1</v>
      </c>
      <c r="V10" s="382"/>
      <c r="W10" s="152"/>
      <c r="X10" s="83">
        <v>3100</v>
      </c>
      <c r="Y10" s="153"/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5330</v>
      </c>
      <c r="F11" s="7"/>
      <c r="G11" s="7"/>
      <c r="H11" s="383" t="s">
        <v>113</v>
      </c>
      <c r="I11" s="76">
        <v>1.01</v>
      </c>
      <c r="J11" s="7"/>
      <c r="K11" s="7"/>
      <c r="L11" s="7"/>
      <c r="M11" s="384" t="s">
        <v>122</v>
      </c>
      <c r="N11" s="76" t="s">
        <v>26</v>
      </c>
      <c r="O11" s="83"/>
      <c r="P11" s="76"/>
      <c r="Q11" s="7"/>
      <c r="R11" s="7"/>
      <c r="S11" s="385">
        <v>3100</v>
      </c>
      <c r="T11" s="486" t="s">
        <v>32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0.4718</v>
      </c>
      <c r="J12" s="7"/>
      <c r="K12" s="7"/>
      <c r="L12" s="7"/>
      <c r="M12" s="384" t="s">
        <v>123</v>
      </c>
      <c r="N12" s="76" t="s">
        <v>29</v>
      </c>
      <c r="O12" s="83"/>
      <c r="P12" s="76"/>
      <c r="Q12" s="7"/>
      <c r="R12" s="7"/>
      <c r="S12" s="385">
        <v>3100</v>
      </c>
      <c r="T12" s="486" t="s">
        <v>30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0.109</v>
      </c>
      <c r="J13" s="7"/>
      <c r="K13" s="7"/>
      <c r="L13" s="7"/>
      <c r="M13" s="384"/>
      <c r="N13" s="76" t="s">
        <v>31</v>
      </c>
      <c r="O13" s="83"/>
      <c r="P13" s="76"/>
      <c r="Q13" s="7"/>
      <c r="R13" s="7"/>
      <c r="S13" s="385">
        <v>3100</v>
      </c>
      <c r="T13" s="486" t="s">
        <v>29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76" t="s">
        <v>32</v>
      </c>
      <c r="O14" s="83"/>
      <c r="P14" s="76"/>
      <c r="Q14" s="7"/>
      <c r="R14" s="7"/>
      <c r="S14" s="385">
        <v>3100</v>
      </c>
      <c r="T14" s="486" t="s">
        <v>9</v>
      </c>
      <c r="U14" s="389">
        <v>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76" t="s">
        <v>30</v>
      </c>
      <c r="O15" s="83"/>
      <c r="P15" s="76"/>
      <c r="Q15" s="7"/>
      <c r="R15" s="7"/>
      <c r="S15" s="385">
        <v>3100</v>
      </c>
      <c r="T15" s="86" t="s">
        <v>200</v>
      </c>
      <c r="U15" s="389">
        <v>1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29</v>
      </c>
      <c r="J16" s="7"/>
      <c r="K16" s="7"/>
      <c r="L16" s="7"/>
      <c r="M16" s="85"/>
      <c r="N16" s="76" t="s">
        <v>200</v>
      </c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 t="s">
        <v>31</v>
      </c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76" t="s">
        <v>32</v>
      </c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30</v>
      </c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200</v>
      </c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1E4EA4-E502-C74A-946C-537ABE28E5DE}">
          <x14:formula1>
            <xm:f>'C:\Users\philippkenkel\Seafile\RESILIENTE ENERGIESYSTEME\Intern\[TEST_CASE.xlsm]DataBank'!#REF!</xm:f>
          </x14:formula1>
          <xm:sqref>AD10 I15:K15 AB10 N11:P11</xm:sqref>
        </x14:dataValidation>
        <x14:dataValidation type="whole" allowBlank="1" showInputMessage="1" showErrorMessage="1" xr:uid="{6E8EDBB2-3C79-F74A-9969-D1CCBCDE01C8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D020C3AB-A133-D946-A3BD-A531CDAF3973}">
          <x14:formula1>
            <xm:f>'C:\Users\philippkenkel\Seafile\RESILIENTE ENERGIESYSTEME\Intern\[TEST_CASE.xlsm]Systemblatt'!#REF!</xm:f>
          </x14:formula1>
          <xm:sqref>AC10:AC24 AE12:AE24 T16:T24 AE10 O12:P22 N17:N22 I16:K17 N12:N13</xm:sqref>
        </x14:dataValidation>
        <x14:dataValidation type="list" allowBlank="1" showInputMessage="1" showErrorMessage="1" xr:uid="{B0ED797D-E611-AF48-AD37-7167C15C5A21}">
          <x14:formula1>
            <xm:f>Systemblatt!$E$5:$E$12</xm:f>
          </x14:formula1>
          <xm:sqref>T10:T14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C80C9-D0F2-8645-BD2C-FE935AA411CF}">
  <sheetPr codeName="Tabelle42"/>
  <dimension ref="A1:AJ144"/>
  <sheetViews>
    <sheetView topLeftCell="T1" zoomScale="75" zoomScaleNormal="47" workbookViewId="0">
      <selection activeCell="AE22" sqref="AE2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5" width="22.7109375" style="3" bestFit="1" customWidth="1"/>
    <col min="6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225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>
        <v>9.7186999999999996E-2</v>
      </c>
      <c r="O10" s="93"/>
      <c r="P10" s="74"/>
      <c r="Q10" s="7"/>
      <c r="R10" s="7"/>
      <c r="S10" s="380">
        <v>3100</v>
      </c>
      <c r="T10" s="93" t="s">
        <v>29</v>
      </c>
      <c r="U10" s="381">
        <v>1</v>
      </c>
      <c r="V10" s="382"/>
      <c r="W10" s="152"/>
      <c r="X10" s="83">
        <v>3100</v>
      </c>
      <c r="Y10" s="153"/>
      <c r="Z10" s="154"/>
      <c r="AA10" s="20"/>
      <c r="AB10" s="152" t="s">
        <v>26</v>
      </c>
      <c r="AC10" s="153" t="s">
        <v>31</v>
      </c>
      <c r="AD10" s="153" t="s">
        <v>26</v>
      </c>
      <c r="AE10" s="153" t="s">
        <v>32</v>
      </c>
      <c r="AF10" s="76">
        <v>7.33</v>
      </c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5140</v>
      </c>
      <c r="F11" s="7"/>
      <c r="G11" s="7"/>
      <c r="H11" s="383" t="s">
        <v>113</v>
      </c>
      <c r="I11" s="76">
        <v>1.6275999999999999</v>
      </c>
      <c r="J11" s="7"/>
      <c r="K11" s="7"/>
      <c r="L11" s="7"/>
      <c r="M11" s="384" t="s">
        <v>122</v>
      </c>
      <c r="N11" s="83" t="s">
        <v>26</v>
      </c>
      <c r="O11" s="83"/>
      <c r="P11" s="76"/>
      <c r="Q11" s="7"/>
      <c r="R11" s="7"/>
      <c r="S11" s="385">
        <v>3100</v>
      </c>
      <c r="T11" s="83" t="s">
        <v>31</v>
      </c>
      <c r="U11" s="386">
        <v>1</v>
      </c>
      <c r="V11" s="382"/>
      <c r="W11" s="158"/>
      <c r="X11" s="83"/>
      <c r="Y11" s="387"/>
      <c r="Z11" s="386"/>
      <c r="AA11" s="20"/>
      <c r="AB11" s="156"/>
      <c r="AC11" s="83" t="s">
        <v>29</v>
      </c>
      <c r="AD11" s="155"/>
      <c r="AE11" s="83"/>
      <c r="AF11" s="157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24.216080000000002</v>
      </c>
      <c r="J12" s="7"/>
      <c r="K12" s="7"/>
      <c r="L12" s="7"/>
      <c r="M12" s="384" t="s">
        <v>123</v>
      </c>
      <c r="N12" s="83" t="s">
        <v>31</v>
      </c>
      <c r="O12" s="83"/>
      <c r="P12" s="76"/>
      <c r="Q12" s="7"/>
      <c r="R12" s="7"/>
      <c r="S12" s="385">
        <v>3100</v>
      </c>
      <c r="T12" s="83" t="s">
        <v>30</v>
      </c>
      <c r="U12" s="386">
        <v>1</v>
      </c>
      <c r="V12" s="382"/>
      <c r="W12" s="158"/>
      <c r="X12" s="83"/>
      <c r="Y12" s="388"/>
      <c r="Z12" s="389"/>
      <c r="AA12" s="390"/>
      <c r="AB12" s="56"/>
      <c r="AC12" s="83"/>
      <c r="AD12" s="49"/>
      <c r="AE12" s="83"/>
      <c r="AF12" s="157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0.11516</v>
      </c>
      <c r="J13" s="7"/>
      <c r="K13" s="7"/>
      <c r="L13" s="7"/>
      <c r="M13" s="384"/>
      <c r="N13" s="83" t="s">
        <v>29</v>
      </c>
      <c r="O13" s="83"/>
      <c r="P13" s="76"/>
      <c r="Q13" s="7"/>
      <c r="R13" s="7"/>
      <c r="S13" s="391">
        <v>3100</v>
      </c>
      <c r="T13" s="83" t="s">
        <v>200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83" t="s">
        <v>30</v>
      </c>
      <c r="O14" s="83"/>
      <c r="P14" s="76"/>
      <c r="Q14" s="7"/>
      <c r="R14" s="7"/>
      <c r="S14" s="391">
        <v>3100</v>
      </c>
      <c r="T14" s="83" t="s">
        <v>32</v>
      </c>
      <c r="U14" s="389">
        <v>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83" t="s">
        <v>32</v>
      </c>
      <c r="O15" s="83"/>
      <c r="P15" s="76"/>
      <c r="Q15" s="7"/>
      <c r="R15" s="7"/>
      <c r="S15" s="391"/>
      <c r="T15" s="83"/>
      <c r="U15" s="389"/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32</v>
      </c>
      <c r="J16" s="7"/>
      <c r="K16" s="7"/>
      <c r="L16" s="7"/>
      <c r="M16" s="85"/>
      <c r="N16" s="83" t="s">
        <v>200</v>
      </c>
      <c r="O16" s="83"/>
      <c r="P16" s="76"/>
      <c r="Q16" s="7"/>
      <c r="R16" s="7"/>
      <c r="S16" s="158"/>
      <c r="T16" s="83"/>
      <c r="U16" s="76"/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 t="s">
        <v>29</v>
      </c>
      <c r="J17" s="7"/>
      <c r="K17" s="7"/>
      <c r="L17" s="7"/>
      <c r="M17" s="85"/>
      <c r="N17" s="83"/>
      <c r="O17" s="83"/>
      <c r="P17" s="76"/>
      <c r="Q17" s="7"/>
      <c r="R17" s="7"/>
      <c r="S17" s="158"/>
      <c r="T17" s="83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76" t="s">
        <v>31</v>
      </c>
      <c r="J18" s="7"/>
      <c r="K18" s="7"/>
      <c r="L18" s="7"/>
      <c r="M18" s="85"/>
      <c r="N18" s="83"/>
      <c r="O18" s="83"/>
      <c r="P18" s="76"/>
      <c r="Q18" s="7"/>
      <c r="R18" s="7"/>
      <c r="S18" s="158"/>
      <c r="T18" s="83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30</v>
      </c>
      <c r="J19" s="7"/>
      <c r="K19" s="7"/>
      <c r="L19" s="7"/>
      <c r="M19" s="85"/>
      <c r="N19" s="83"/>
      <c r="O19" s="83"/>
      <c r="P19" s="76"/>
      <c r="Q19" s="7"/>
      <c r="R19" s="7"/>
      <c r="S19" s="158"/>
      <c r="T19" s="83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200</v>
      </c>
      <c r="J20" s="7"/>
      <c r="K20" s="7"/>
      <c r="L20" s="7"/>
      <c r="M20" s="85"/>
      <c r="N20" s="83"/>
      <c r="O20" s="83"/>
      <c r="P20" s="76"/>
      <c r="Q20" s="7"/>
      <c r="R20" s="7"/>
      <c r="S20" s="158"/>
      <c r="T20" s="83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86"/>
      <c r="J21" s="7"/>
      <c r="K21" s="7"/>
      <c r="L21" s="7"/>
      <c r="M21" s="85"/>
      <c r="N21" s="83"/>
      <c r="O21" s="83"/>
      <c r="P21" s="76"/>
      <c r="Q21" s="7"/>
      <c r="R21" s="7"/>
      <c r="S21" s="158"/>
      <c r="T21" s="83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3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70"/>
      <c r="J23" s="7"/>
      <c r="K23" s="7"/>
      <c r="L23" s="7"/>
      <c r="M23" s="7"/>
      <c r="N23" s="7"/>
      <c r="O23" s="7"/>
      <c r="P23" s="7"/>
      <c r="Q23" s="7"/>
      <c r="R23" s="7"/>
      <c r="S23" s="158"/>
      <c r="T23" s="83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162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3792B1-DB63-C141-B46A-1B37EF4CEF19}">
          <x14:formula1>
            <xm:f>'C:\Users\philippkenkel\Seafile\RESILIENTE ENERGIESYSTEME\Intern\[TEST_CASE.xlsm]Systemblatt'!#REF!</xm:f>
          </x14:formula1>
          <xm:sqref>T10:T24 AE13:AE24 N12:P22 I16:K17 AC13:AC24</xm:sqref>
        </x14:dataValidation>
        <x14:dataValidation type="whole" allowBlank="1" showInputMessage="1" showErrorMessage="1" xr:uid="{D52DD568-BFFB-D642-A83E-1C7EAC37CDDE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BFB9BB26-AC20-A148-8098-6CBCEC6793D0}">
          <x14:formula1>
            <xm:f>'C:\Users\philippkenkel\Seafile\RESILIENTE ENERGIESYSTEME\Intern\[TEST_CASE.xlsm]DataBank'!#REF!</xm:f>
          </x14:formula1>
          <xm:sqref>I15:K15 N11:P11</xm:sqref>
        </x14:dataValidation>
        <x14:dataValidation type="list" allowBlank="1" showInputMessage="1" showErrorMessage="1" xr:uid="{8D1F2A3B-D690-C143-9F66-91A46451E266}">
          <x14:formula1>
            <xm:f>Systemblatt!$E$5:$E$12</xm:f>
          </x14:formula1>
          <xm:sqref>AC10:AC12 AE10:AE12</xm:sqref>
        </x14:dataValidation>
        <x14:dataValidation type="list" allowBlank="1" showInputMessage="1" showErrorMessage="1" xr:uid="{B3125874-BA3C-9140-9A9D-E949F49B44B2}">
          <x14:formula1>
            <xm:f>DataBank!$A$3:$A$4</xm:f>
          </x14:formula1>
          <xm:sqref>AB10 AD10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9FBF8-A8B5-604C-BC3B-EF512FCEBFE7}">
  <sheetPr codeName="Tabelle48"/>
  <dimension ref="A1:AJ144"/>
  <sheetViews>
    <sheetView topLeftCell="M1" zoomScale="75" zoomScaleNormal="47" workbookViewId="0">
      <selection activeCell="I12" sqref="I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30.42578125" style="3" customWidth="1"/>
    <col min="14" max="14" width="19.42578125" style="3" customWidth="1"/>
    <col min="15" max="16" width="29.140625" style="3" customWidth="1"/>
    <col min="17" max="18" width="15.28515625" style="3" customWidth="1"/>
    <col min="19" max="19" width="21.42578125" style="3" customWidth="1"/>
    <col min="20" max="20" width="17.7109375" style="3" customWidth="1"/>
    <col min="21" max="21" width="8.7109375" style="3" bestFit="1" customWidth="1"/>
    <col min="22" max="22" width="10.85546875" style="3"/>
    <col min="23" max="23" width="16.140625" style="3" bestFit="1" customWidth="1"/>
    <col min="24" max="24" width="19.85546875" style="3" customWidth="1"/>
    <col min="25" max="25" width="17.28515625" style="3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3.7109375" style="3" customWidth="1"/>
    <col min="33" max="16384" width="10.85546875" style="3"/>
  </cols>
  <sheetData>
    <row r="1" spans="1:36" ht="10.5" customHeight="1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</row>
    <row r="2" spans="1:36" ht="6.95" customHeight="1" x14ac:dyDescent="0.25">
      <c r="A2" s="7"/>
      <c r="B2" s="7"/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24"/>
      <c r="AJ2" s="7"/>
    </row>
    <row r="3" spans="1:36" x14ac:dyDescent="0.25">
      <c r="A3" s="7"/>
      <c r="B3" s="7"/>
      <c r="C3" s="102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03"/>
      <c r="AJ3" s="7"/>
    </row>
    <row r="4" spans="1:36" x14ac:dyDescent="0.25">
      <c r="A4" s="7"/>
      <c r="B4" s="7"/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03"/>
      <c r="AJ4" s="7"/>
    </row>
    <row r="5" spans="1:36" x14ac:dyDescent="0.25">
      <c r="A5" s="7"/>
      <c r="B5" s="7"/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03"/>
      <c r="AJ5" s="7"/>
    </row>
    <row r="6" spans="1:36" x14ac:dyDescent="0.25">
      <c r="A6" s="7"/>
      <c r="B6" s="7"/>
      <c r="C6" s="102"/>
      <c r="D6" s="529"/>
      <c r="E6" s="529"/>
      <c r="F6" s="7"/>
      <c r="G6" s="7"/>
      <c r="H6" s="529"/>
      <c r="I6" s="529"/>
      <c r="J6" s="20"/>
      <c r="K6" s="20"/>
      <c r="L6" s="7"/>
      <c r="M6" s="529"/>
      <c r="N6" s="529"/>
      <c r="O6" s="529"/>
      <c r="P6" s="529"/>
      <c r="Q6" s="7"/>
      <c r="R6" s="7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7"/>
      <c r="AH6" s="7"/>
      <c r="AI6" s="103"/>
      <c r="AJ6" s="7"/>
    </row>
    <row r="7" spans="1:36" ht="15.75" thickBot="1" x14ac:dyDescent="0.3">
      <c r="A7" s="7"/>
      <c r="B7" s="7"/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103"/>
      <c r="AJ7" s="7"/>
    </row>
    <row r="8" spans="1:36" ht="24" thickBot="1" x14ac:dyDescent="0.4">
      <c r="A8" s="7"/>
      <c r="B8" s="7"/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609" t="s">
        <v>124</v>
      </c>
      <c r="T8" s="610"/>
      <c r="U8" s="611"/>
      <c r="V8" s="374"/>
      <c r="W8" s="612" t="s">
        <v>197</v>
      </c>
      <c r="X8" s="613"/>
      <c r="Y8" s="613"/>
      <c r="Z8" s="614"/>
      <c r="AA8" s="13"/>
      <c r="AB8" s="612" t="s">
        <v>134</v>
      </c>
      <c r="AC8" s="613"/>
      <c r="AD8" s="613"/>
      <c r="AE8" s="613"/>
      <c r="AF8" s="614"/>
      <c r="AG8" s="7"/>
      <c r="AH8" s="7"/>
      <c r="AI8" s="103"/>
      <c r="AJ8" s="7"/>
    </row>
    <row r="9" spans="1:36" ht="21.75" thickBot="1" x14ac:dyDescent="0.4">
      <c r="A9" s="7"/>
      <c r="B9" s="7"/>
      <c r="C9" s="102"/>
      <c r="D9" s="375" t="s">
        <v>73</v>
      </c>
      <c r="E9" s="80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129" t="s">
        <v>73</v>
      </c>
      <c r="N9" s="129" t="s">
        <v>41</v>
      </c>
      <c r="O9" s="129" t="s">
        <v>119</v>
      </c>
      <c r="P9" s="129" t="s">
        <v>120</v>
      </c>
      <c r="Q9" s="7"/>
      <c r="R9" s="7"/>
      <c r="S9" s="376" t="s">
        <v>126</v>
      </c>
      <c r="T9" s="376" t="s">
        <v>76</v>
      </c>
      <c r="U9" s="376" t="s">
        <v>127</v>
      </c>
      <c r="V9" s="377"/>
      <c r="W9" s="378" t="s">
        <v>188</v>
      </c>
      <c r="X9" s="605"/>
      <c r="Y9" s="606"/>
      <c r="Z9" s="607"/>
      <c r="AA9" s="13"/>
      <c r="AB9" s="376" t="s">
        <v>131</v>
      </c>
      <c r="AC9" s="376" t="s">
        <v>130</v>
      </c>
      <c r="AD9" s="376" t="s">
        <v>8</v>
      </c>
      <c r="AE9" s="376" t="s">
        <v>132</v>
      </c>
      <c r="AF9" s="376" t="s">
        <v>133</v>
      </c>
      <c r="AG9" s="7"/>
      <c r="AH9" s="7"/>
      <c r="AI9" s="103"/>
      <c r="AJ9" s="7"/>
    </row>
    <row r="10" spans="1:36" ht="18.75" x14ac:dyDescent="0.3">
      <c r="A10" s="7"/>
      <c r="B10" s="7"/>
      <c r="C10" s="102"/>
      <c r="D10" s="379" t="s">
        <v>2</v>
      </c>
      <c r="E10" s="74" t="s">
        <v>246</v>
      </c>
      <c r="F10" s="7"/>
      <c r="G10" s="7"/>
      <c r="H10" s="379" t="s">
        <v>3</v>
      </c>
      <c r="I10" s="74"/>
      <c r="J10" s="7"/>
      <c r="K10" s="7"/>
      <c r="L10" s="7"/>
      <c r="M10" s="379" t="s">
        <v>121</v>
      </c>
      <c r="N10" s="93"/>
      <c r="O10" s="93"/>
      <c r="P10" s="74"/>
      <c r="Q10" s="7"/>
      <c r="R10" s="7"/>
      <c r="S10" s="380">
        <v>4000</v>
      </c>
      <c r="T10" s="451" t="s">
        <v>50</v>
      </c>
      <c r="U10" s="381">
        <v>1</v>
      </c>
      <c r="V10" s="382"/>
      <c r="W10" s="152"/>
      <c r="X10" s="83">
        <v>4000</v>
      </c>
      <c r="Y10" s="153">
        <v>555</v>
      </c>
      <c r="Z10" s="154"/>
      <c r="AA10" s="20"/>
      <c r="AB10" s="207"/>
      <c r="AC10" s="93"/>
      <c r="AD10" s="208"/>
      <c r="AE10" s="93"/>
      <c r="AF10" s="150"/>
      <c r="AG10" s="7"/>
      <c r="AH10" s="7"/>
      <c r="AI10" s="103"/>
      <c r="AJ10" s="7"/>
    </row>
    <row r="11" spans="1:36" ht="18.75" x14ac:dyDescent="0.3">
      <c r="A11" s="7"/>
      <c r="B11" s="7"/>
      <c r="C11" s="102"/>
      <c r="D11" s="383" t="s">
        <v>4</v>
      </c>
      <c r="E11" s="76">
        <v>7100</v>
      </c>
      <c r="F11" s="7"/>
      <c r="G11" s="7"/>
      <c r="H11" s="383" t="s">
        <v>113</v>
      </c>
      <c r="I11" s="76">
        <v>2.9499999999999998E-2</v>
      </c>
      <c r="J11" s="7"/>
      <c r="K11" s="7"/>
      <c r="L11" s="7"/>
      <c r="M11" s="384" t="s">
        <v>122</v>
      </c>
      <c r="N11" s="20"/>
      <c r="O11" s="83"/>
      <c r="P11" s="76"/>
      <c r="Q11" s="7"/>
      <c r="R11" s="7"/>
      <c r="S11" s="385">
        <v>4000</v>
      </c>
      <c r="T11" s="88" t="s">
        <v>29</v>
      </c>
      <c r="U11" s="386">
        <v>1</v>
      </c>
      <c r="V11" s="382"/>
      <c r="W11" s="158"/>
      <c r="X11" s="83"/>
      <c r="Y11" s="387"/>
      <c r="Z11" s="386"/>
      <c r="AA11" s="20"/>
      <c r="AB11" s="385"/>
      <c r="AC11" s="83"/>
      <c r="AD11" s="387"/>
      <c r="AE11" s="83"/>
      <c r="AF11" s="386"/>
      <c r="AG11" s="7"/>
      <c r="AH11" s="7"/>
      <c r="AI11" s="103"/>
      <c r="AJ11" s="7"/>
    </row>
    <row r="12" spans="1:36" ht="18.75" x14ac:dyDescent="0.3">
      <c r="A12" s="7"/>
      <c r="B12" s="7"/>
      <c r="C12" s="102"/>
      <c r="D12" s="383" t="s">
        <v>90</v>
      </c>
      <c r="E12" s="76"/>
      <c r="F12" s="7"/>
      <c r="G12" s="7"/>
      <c r="H12" s="383" t="s">
        <v>114</v>
      </c>
      <c r="I12" s="76">
        <v>1</v>
      </c>
      <c r="J12" s="7"/>
      <c r="K12" s="7"/>
      <c r="L12" s="7"/>
      <c r="M12" s="384" t="s">
        <v>123</v>
      </c>
      <c r="N12" s="20"/>
      <c r="O12" s="83"/>
      <c r="P12" s="76"/>
      <c r="Q12" s="7"/>
      <c r="R12" s="7"/>
      <c r="S12" s="385">
        <v>4000</v>
      </c>
      <c r="T12" s="88" t="s">
        <v>31</v>
      </c>
      <c r="U12" s="386">
        <v>1</v>
      </c>
      <c r="V12" s="382"/>
      <c r="W12" s="158"/>
      <c r="X12" s="83"/>
      <c r="Y12" s="388"/>
      <c r="Z12" s="389"/>
      <c r="AA12" s="390"/>
      <c r="AB12" s="391"/>
      <c r="AC12" s="83"/>
      <c r="AD12" s="388"/>
      <c r="AE12" s="83"/>
      <c r="AF12" s="386"/>
      <c r="AG12" s="7"/>
      <c r="AH12" s="7"/>
      <c r="AI12" s="103"/>
      <c r="AJ12" s="7"/>
    </row>
    <row r="13" spans="1:36" ht="18.75" x14ac:dyDescent="0.3">
      <c r="A13" s="7"/>
      <c r="B13" s="7"/>
      <c r="C13" s="102"/>
      <c r="D13" s="383" t="s">
        <v>102</v>
      </c>
      <c r="E13" s="76"/>
      <c r="F13" s="7"/>
      <c r="G13" s="7"/>
      <c r="H13" s="383" t="s">
        <v>115</v>
      </c>
      <c r="I13" s="76">
        <v>1</v>
      </c>
      <c r="J13" s="7"/>
      <c r="K13" s="7"/>
      <c r="L13" s="7"/>
      <c r="M13" s="384"/>
      <c r="N13" s="20"/>
      <c r="O13" s="83"/>
      <c r="P13" s="76"/>
      <c r="Q13" s="7"/>
      <c r="R13" s="7"/>
      <c r="S13" s="391">
        <v>4000</v>
      </c>
      <c r="T13" s="88" t="s">
        <v>200</v>
      </c>
      <c r="U13" s="389">
        <v>1</v>
      </c>
      <c r="V13" s="390"/>
      <c r="W13" s="158"/>
      <c r="X13" s="83"/>
      <c r="Y13" s="388"/>
      <c r="Z13" s="389"/>
      <c r="AA13" s="390"/>
      <c r="AB13" s="391"/>
      <c r="AC13" s="83"/>
      <c r="AD13" s="388"/>
      <c r="AE13" s="83"/>
      <c r="AF13" s="386"/>
      <c r="AG13" s="7"/>
      <c r="AH13" s="7"/>
      <c r="AI13" s="103"/>
      <c r="AJ13" s="7"/>
    </row>
    <row r="14" spans="1:36" ht="18.75" x14ac:dyDescent="0.3">
      <c r="A14" s="7"/>
      <c r="B14" s="7"/>
      <c r="C14" s="102"/>
      <c r="D14" s="383" t="s">
        <v>103</v>
      </c>
      <c r="E14" s="76">
        <v>20</v>
      </c>
      <c r="F14" s="7"/>
      <c r="G14" s="7"/>
      <c r="H14" s="383" t="s">
        <v>116</v>
      </c>
      <c r="I14" s="76">
        <v>2020</v>
      </c>
      <c r="J14" s="7"/>
      <c r="K14" s="7"/>
      <c r="L14" s="7"/>
      <c r="M14" s="85"/>
      <c r="N14" s="20"/>
      <c r="O14" s="83"/>
      <c r="P14" s="76"/>
      <c r="Q14" s="7"/>
      <c r="R14" s="7"/>
      <c r="S14" s="391">
        <v>4000</v>
      </c>
      <c r="T14" s="88" t="s">
        <v>32</v>
      </c>
      <c r="U14" s="389">
        <v>1</v>
      </c>
      <c r="V14" s="390"/>
      <c r="W14" s="158"/>
      <c r="X14" s="83"/>
      <c r="Y14" s="388"/>
      <c r="Z14" s="389"/>
      <c r="AA14" s="390"/>
      <c r="AB14" s="391"/>
      <c r="AC14" s="83"/>
      <c r="AD14" s="388"/>
      <c r="AE14" s="83"/>
      <c r="AF14" s="386"/>
      <c r="AG14" s="7"/>
      <c r="AH14" s="7"/>
      <c r="AI14" s="103"/>
      <c r="AJ14" s="7"/>
    </row>
    <row r="15" spans="1:36" ht="18.75" x14ac:dyDescent="0.3">
      <c r="A15" s="7"/>
      <c r="B15" s="7"/>
      <c r="C15" s="102"/>
      <c r="D15" s="383" t="s">
        <v>104</v>
      </c>
      <c r="E15" s="76">
        <v>2.6</v>
      </c>
      <c r="F15" s="7"/>
      <c r="G15" s="7"/>
      <c r="H15" s="384" t="s">
        <v>117</v>
      </c>
      <c r="I15" s="76" t="s">
        <v>26</v>
      </c>
      <c r="J15" s="7"/>
      <c r="K15" s="7"/>
      <c r="L15" s="7"/>
      <c r="M15" s="85"/>
      <c r="N15" s="20"/>
      <c r="O15" s="83"/>
      <c r="P15" s="76"/>
      <c r="Q15" s="7"/>
      <c r="R15" s="7"/>
      <c r="S15" s="391">
        <v>4000</v>
      </c>
      <c r="T15" s="88" t="s">
        <v>38</v>
      </c>
      <c r="U15" s="389">
        <v>1</v>
      </c>
      <c r="V15" s="390"/>
      <c r="W15" s="158"/>
      <c r="X15" s="83"/>
      <c r="Y15" s="83"/>
      <c r="Z15" s="76"/>
      <c r="AA15" s="20"/>
      <c r="AB15" s="158"/>
      <c r="AC15" s="83"/>
      <c r="AD15" s="83"/>
      <c r="AE15" s="83"/>
      <c r="AF15" s="386"/>
      <c r="AG15" s="7"/>
      <c r="AH15" s="7"/>
      <c r="AI15" s="103"/>
      <c r="AJ15" s="7"/>
    </row>
    <row r="16" spans="1:36" ht="18.75" x14ac:dyDescent="0.3">
      <c r="A16" s="7"/>
      <c r="B16" s="7"/>
      <c r="C16" s="102"/>
      <c r="D16" s="383" t="s">
        <v>105</v>
      </c>
      <c r="E16" s="76">
        <v>1.44</v>
      </c>
      <c r="F16" s="7"/>
      <c r="G16" s="7"/>
      <c r="H16" s="384" t="s">
        <v>101</v>
      </c>
      <c r="I16" s="76" t="s">
        <v>30</v>
      </c>
      <c r="J16" s="7"/>
      <c r="K16" s="7"/>
      <c r="L16" s="7"/>
      <c r="M16" s="85"/>
      <c r="N16" s="20"/>
      <c r="O16" s="83"/>
      <c r="P16" s="76"/>
      <c r="Q16" s="7"/>
      <c r="R16" s="7"/>
      <c r="S16" s="158">
        <v>555</v>
      </c>
      <c r="T16" s="88" t="s">
        <v>30</v>
      </c>
      <c r="U16" s="76">
        <v>1</v>
      </c>
      <c r="V16" s="20"/>
      <c r="W16" s="158"/>
      <c r="X16" s="83"/>
      <c r="Y16" s="83"/>
      <c r="Z16" s="76"/>
      <c r="AA16" s="20"/>
      <c r="AB16" s="158"/>
      <c r="AC16" s="83"/>
      <c r="AD16" s="83"/>
      <c r="AE16" s="83"/>
      <c r="AF16" s="76"/>
      <c r="AG16" s="7"/>
      <c r="AH16" s="7"/>
      <c r="AI16" s="103"/>
      <c r="AJ16" s="7"/>
    </row>
    <row r="17" spans="1:36" ht="18.75" x14ac:dyDescent="0.3">
      <c r="A17" s="7"/>
      <c r="B17" s="7"/>
      <c r="C17" s="102"/>
      <c r="D17" s="383" t="s">
        <v>106</v>
      </c>
      <c r="E17" s="76"/>
      <c r="F17" s="7"/>
      <c r="G17" s="7"/>
      <c r="H17" s="384"/>
      <c r="I17" s="76" t="s">
        <v>50</v>
      </c>
      <c r="J17" s="7"/>
      <c r="K17" s="7"/>
      <c r="L17" s="7"/>
      <c r="M17" s="85"/>
      <c r="N17" s="20"/>
      <c r="O17" s="83"/>
      <c r="P17" s="76"/>
      <c r="Q17" s="7"/>
      <c r="R17" s="7"/>
      <c r="S17" s="158"/>
      <c r="T17" s="88"/>
      <c r="U17" s="76"/>
      <c r="V17" s="20"/>
      <c r="W17" s="158"/>
      <c r="X17" s="83"/>
      <c r="Y17" s="83"/>
      <c r="Z17" s="76"/>
      <c r="AA17" s="20"/>
      <c r="AB17" s="158"/>
      <c r="AC17" s="83"/>
      <c r="AD17" s="83"/>
      <c r="AE17" s="83"/>
      <c r="AF17" s="76"/>
      <c r="AG17" s="7"/>
      <c r="AH17" s="7"/>
      <c r="AI17" s="103"/>
      <c r="AJ17" s="7"/>
    </row>
    <row r="18" spans="1:36" ht="18.75" x14ac:dyDescent="0.3">
      <c r="A18" s="7"/>
      <c r="B18" s="7"/>
      <c r="C18" s="102"/>
      <c r="D18" s="77" t="s">
        <v>107</v>
      </c>
      <c r="E18" s="76"/>
      <c r="F18" s="7"/>
      <c r="G18" s="7"/>
      <c r="H18" s="85"/>
      <c r="I18" s="76" t="s">
        <v>31</v>
      </c>
      <c r="J18" s="7"/>
      <c r="K18" s="7"/>
      <c r="L18" s="7"/>
      <c r="M18" s="85"/>
      <c r="N18" s="83"/>
      <c r="O18" s="83"/>
      <c r="P18" s="76"/>
      <c r="Q18" s="7"/>
      <c r="R18" s="7"/>
      <c r="S18" s="158"/>
      <c r="T18" s="88"/>
      <c r="U18" s="76"/>
      <c r="V18" s="20"/>
      <c r="W18" s="158"/>
      <c r="X18" s="83"/>
      <c r="Y18" s="83"/>
      <c r="Z18" s="76"/>
      <c r="AA18" s="20"/>
      <c r="AB18" s="158"/>
      <c r="AC18" s="83"/>
      <c r="AD18" s="83"/>
      <c r="AE18" s="83"/>
      <c r="AF18" s="76"/>
      <c r="AG18" s="7"/>
      <c r="AH18" s="7"/>
      <c r="AI18" s="103"/>
      <c r="AJ18" s="7"/>
    </row>
    <row r="19" spans="1:36" ht="18.75" x14ac:dyDescent="0.3">
      <c r="A19" s="7"/>
      <c r="B19" s="7"/>
      <c r="C19" s="102"/>
      <c r="D19" s="383" t="s">
        <v>108</v>
      </c>
      <c r="E19" s="76"/>
      <c r="F19" s="7"/>
      <c r="G19" s="7"/>
      <c r="H19" s="85"/>
      <c r="I19" s="76" t="s">
        <v>29</v>
      </c>
      <c r="J19" s="7"/>
      <c r="K19" s="7"/>
      <c r="L19" s="7"/>
      <c r="M19" s="85"/>
      <c r="N19" s="83"/>
      <c r="O19" s="83"/>
      <c r="P19" s="76"/>
      <c r="Q19" s="7"/>
      <c r="R19" s="7"/>
      <c r="S19" s="158"/>
      <c r="T19" s="88"/>
      <c r="U19" s="76"/>
      <c r="V19" s="20"/>
      <c r="W19" s="158"/>
      <c r="X19" s="83"/>
      <c r="Y19" s="83"/>
      <c r="Z19" s="76"/>
      <c r="AA19" s="20"/>
      <c r="AB19" s="158"/>
      <c r="AC19" s="83"/>
      <c r="AD19" s="83"/>
      <c r="AE19" s="83"/>
      <c r="AF19" s="76"/>
      <c r="AG19" s="7"/>
      <c r="AH19" s="7"/>
      <c r="AI19" s="103"/>
      <c r="AJ19" s="7"/>
    </row>
    <row r="20" spans="1:36" ht="18.75" x14ac:dyDescent="0.3">
      <c r="A20" s="7"/>
      <c r="B20" s="7"/>
      <c r="C20" s="102"/>
      <c r="D20" s="77" t="s">
        <v>109</v>
      </c>
      <c r="E20" s="76"/>
      <c r="F20" s="7"/>
      <c r="G20" s="7"/>
      <c r="H20" s="85"/>
      <c r="I20" s="76" t="s">
        <v>32</v>
      </c>
      <c r="J20" s="7"/>
      <c r="K20" s="7"/>
      <c r="L20" s="7"/>
      <c r="M20" s="85"/>
      <c r="N20" s="83"/>
      <c r="O20" s="83"/>
      <c r="P20" s="76"/>
      <c r="Q20" s="7"/>
      <c r="R20" s="7"/>
      <c r="S20" s="158"/>
      <c r="T20" s="88"/>
      <c r="U20" s="76"/>
      <c r="V20" s="20"/>
      <c r="W20" s="158"/>
      <c r="X20" s="83"/>
      <c r="Y20" s="83"/>
      <c r="Z20" s="76"/>
      <c r="AA20" s="20"/>
      <c r="AB20" s="158"/>
      <c r="AC20" s="83"/>
      <c r="AD20" s="83"/>
      <c r="AE20" s="83"/>
      <c r="AF20" s="76"/>
      <c r="AG20" s="7"/>
      <c r="AH20" s="7"/>
      <c r="AI20" s="103"/>
      <c r="AJ20" s="7"/>
    </row>
    <row r="21" spans="1:36" ht="18.75" x14ac:dyDescent="0.3">
      <c r="A21" s="7"/>
      <c r="B21" s="7"/>
      <c r="C21" s="102"/>
      <c r="D21" s="77" t="s">
        <v>110</v>
      </c>
      <c r="E21" s="213" t="s">
        <v>144</v>
      </c>
      <c r="F21" s="7"/>
      <c r="G21" s="7"/>
      <c r="H21" s="85"/>
      <c r="I21" s="76" t="s">
        <v>38</v>
      </c>
      <c r="J21" s="7"/>
      <c r="K21" s="7"/>
      <c r="L21" s="7"/>
      <c r="M21" s="85"/>
      <c r="N21" s="83"/>
      <c r="O21" s="83"/>
      <c r="P21" s="76"/>
      <c r="Q21" s="7"/>
      <c r="R21" s="7"/>
      <c r="S21" s="158"/>
      <c r="T21" s="88"/>
      <c r="U21" s="76"/>
      <c r="V21" s="20"/>
      <c r="W21" s="158"/>
      <c r="X21" s="83"/>
      <c r="Y21" s="83"/>
      <c r="Z21" s="76"/>
      <c r="AA21" s="20"/>
      <c r="AB21" s="158"/>
      <c r="AC21" s="83"/>
      <c r="AD21" s="83"/>
      <c r="AE21" s="83"/>
      <c r="AF21" s="76"/>
      <c r="AG21" s="7"/>
      <c r="AH21" s="7"/>
      <c r="AI21" s="103"/>
      <c r="AJ21" s="7"/>
    </row>
    <row r="22" spans="1:36" ht="19.5" thickBot="1" x14ac:dyDescent="0.35">
      <c r="A22" s="7"/>
      <c r="B22" s="7"/>
      <c r="C22" s="102"/>
      <c r="D22" s="77" t="s">
        <v>111</v>
      </c>
      <c r="E22" s="76"/>
      <c r="F22" s="7"/>
      <c r="G22" s="7"/>
      <c r="H22" s="85"/>
      <c r="I22" s="86"/>
      <c r="J22" s="7"/>
      <c r="K22" s="7"/>
      <c r="L22" s="7"/>
      <c r="M22" s="92"/>
      <c r="N22" s="162"/>
      <c r="O22" s="162"/>
      <c r="P22" s="79"/>
      <c r="Q22" s="7"/>
      <c r="R22" s="7"/>
      <c r="S22" s="158"/>
      <c r="T22" s="88"/>
      <c r="U22" s="76"/>
      <c r="V22" s="20"/>
      <c r="W22" s="158"/>
      <c r="X22" s="83"/>
      <c r="Y22" s="83"/>
      <c r="Z22" s="76"/>
      <c r="AA22" s="20"/>
      <c r="AB22" s="158"/>
      <c r="AC22" s="83"/>
      <c r="AD22" s="83"/>
      <c r="AE22" s="83"/>
      <c r="AF22" s="76"/>
      <c r="AG22" s="7"/>
      <c r="AH22" s="7"/>
      <c r="AI22" s="103"/>
      <c r="AJ22" s="7"/>
    </row>
    <row r="23" spans="1:36" ht="19.5" thickBot="1" x14ac:dyDescent="0.35">
      <c r="A23" s="7"/>
      <c r="B23" s="7"/>
      <c r="C23" s="102"/>
      <c r="D23" s="77" t="s">
        <v>112</v>
      </c>
      <c r="E23" s="76"/>
      <c r="F23" s="7"/>
      <c r="G23" s="7"/>
      <c r="H23" s="87"/>
      <c r="I23" s="90"/>
      <c r="J23" s="7"/>
      <c r="K23" s="7"/>
      <c r="L23" s="7"/>
      <c r="M23" s="7"/>
      <c r="N23" s="7"/>
      <c r="O23" s="7"/>
      <c r="P23" s="7"/>
      <c r="Q23" s="7"/>
      <c r="R23" s="7"/>
      <c r="S23" s="158"/>
      <c r="T23" s="88"/>
      <c r="U23" s="76"/>
      <c r="V23" s="20"/>
      <c r="W23" s="158"/>
      <c r="X23" s="83"/>
      <c r="Y23" s="83"/>
      <c r="Z23" s="76"/>
      <c r="AA23" s="20"/>
      <c r="AB23" s="158"/>
      <c r="AC23" s="83"/>
      <c r="AD23" s="83"/>
      <c r="AE23" s="83"/>
      <c r="AF23" s="76"/>
      <c r="AG23" s="7"/>
      <c r="AH23" s="7"/>
      <c r="AI23" s="103"/>
      <c r="AJ23" s="7"/>
    </row>
    <row r="24" spans="1:36" ht="19.5" thickBot="1" x14ac:dyDescent="0.35">
      <c r="A24" s="7"/>
      <c r="B24" s="7"/>
      <c r="C24" s="117"/>
      <c r="D24" s="193" t="s">
        <v>135</v>
      </c>
      <c r="E24" s="116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7"/>
      <c r="S24" s="161"/>
      <c r="T24" s="89"/>
      <c r="U24" s="79"/>
      <c r="V24" s="20"/>
      <c r="W24" s="158"/>
      <c r="X24" s="83"/>
      <c r="Y24" s="83"/>
      <c r="Z24" s="76"/>
      <c r="AA24" s="20"/>
      <c r="AB24" s="161"/>
      <c r="AC24" s="162"/>
      <c r="AD24" s="162"/>
      <c r="AE24" s="162"/>
      <c r="AF24" s="79"/>
      <c r="AG24" s="7"/>
      <c r="AH24" s="7"/>
      <c r="AI24" s="103"/>
      <c r="AJ24" s="7"/>
    </row>
    <row r="25" spans="1:36" ht="18.75" x14ac:dyDescent="0.3">
      <c r="A25" s="7"/>
      <c r="B25" s="7"/>
      <c r="C25" s="117"/>
      <c r="D25" s="193" t="s">
        <v>136</v>
      </c>
      <c r="E25" s="116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"/>
      <c r="S25" s="7"/>
      <c r="T25" s="7"/>
      <c r="U25" s="7"/>
      <c r="V25" s="7"/>
      <c r="W25" s="180"/>
      <c r="X25" s="181"/>
      <c r="Y25" s="181"/>
      <c r="Z25" s="182"/>
      <c r="AA25" s="7"/>
      <c r="AB25" s="7"/>
      <c r="AC25" s="7"/>
      <c r="AD25" s="7"/>
      <c r="AE25" s="7"/>
      <c r="AF25" s="7"/>
      <c r="AG25" s="7"/>
      <c r="AH25" s="7"/>
      <c r="AI25" s="103"/>
      <c r="AJ25" s="7"/>
    </row>
    <row r="26" spans="1:36" ht="18.75" x14ac:dyDescent="0.3">
      <c r="A26" s="7"/>
      <c r="B26" s="7"/>
      <c r="C26" s="117"/>
      <c r="D26" s="194" t="s">
        <v>137</v>
      </c>
      <c r="E26" s="103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180"/>
      <c r="X26" s="181"/>
      <c r="Y26" s="181"/>
      <c r="Z26" s="182"/>
      <c r="AA26" s="7"/>
      <c r="AB26" s="7"/>
      <c r="AC26" s="7"/>
      <c r="AD26" s="7"/>
      <c r="AE26" s="7"/>
      <c r="AF26" s="7"/>
      <c r="AG26" s="7"/>
      <c r="AH26" s="7"/>
      <c r="AI26" s="103"/>
      <c r="AJ26" s="7"/>
    </row>
    <row r="27" spans="1:36" ht="19.5" thickBot="1" x14ac:dyDescent="0.35">
      <c r="A27" s="7"/>
      <c r="B27" s="7"/>
      <c r="C27" s="117"/>
      <c r="D27" s="195" t="s">
        <v>145</v>
      </c>
      <c r="E27" s="70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183"/>
      <c r="X27" s="184"/>
      <c r="Y27" s="184"/>
      <c r="Z27" s="185"/>
      <c r="AA27" s="7"/>
      <c r="AB27" s="7"/>
      <c r="AC27" s="7"/>
      <c r="AD27" s="7"/>
      <c r="AE27" s="7"/>
      <c r="AF27" s="7"/>
      <c r="AG27" s="7"/>
      <c r="AH27" s="7"/>
      <c r="AI27" s="103"/>
      <c r="AJ27" s="7"/>
    </row>
    <row r="28" spans="1:36" x14ac:dyDescent="0.25">
      <c r="A28" s="7"/>
      <c r="B28" s="7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03"/>
      <c r="AJ28" s="7"/>
    </row>
    <row r="29" spans="1:36" x14ac:dyDescent="0.25">
      <c r="A29" s="7"/>
      <c r="B29" s="7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03"/>
      <c r="AJ29" s="7"/>
    </row>
    <row r="30" spans="1:36" x14ac:dyDescent="0.25">
      <c r="A30" s="7"/>
      <c r="B30" s="7"/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03"/>
      <c r="AJ30" s="7"/>
    </row>
    <row r="31" spans="1:36" x14ac:dyDescent="0.25">
      <c r="A31" s="7"/>
      <c r="B31" s="7"/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03"/>
      <c r="AJ31" s="7"/>
    </row>
    <row r="32" spans="1:36" x14ac:dyDescent="0.25">
      <c r="A32" s="7"/>
      <c r="B32" s="7"/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03"/>
      <c r="AJ32" s="7"/>
    </row>
    <row r="33" spans="1:36" x14ac:dyDescent="0.25">
      <c r="A33" s="7"/>
      <c r="B33" s="7"/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03"/>
      <c r="AJ33" s="7"/>
    </row>
    <row r="34" spans="1:36" x14ac:dyDescent="0.25">
      <c r="A34" s="7"/>
      <c r="B34" s="7"/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03"/>
      <c r="AJ34" s="7"/>
    </row>
    <row r="35" spans="1:36" x14ac:dyDescent="0.25">
      <c r="A35" s="7"/>
      <c r="B35" s="7"/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03"/>
      <c r="AJ35" s="7"/>
    </row>
    <row r="36" spans="1:36" x14ac:dyDescent="0.25">
      <c r="A36" s="7"/>
      <c r="B36" s="7"/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03"/>
      <c r="AJ36" s="7"/>
    </row>
    <row r="37" spans="1:36" x14ac:dyDescent="0.25">
      <c r="A37" s="7"/>
      <c r="B37" s="7"/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03"/>
      <c r="AJ37" s="7"/>
    </row>
    <row r="38" spans="1:36" x14ac:dyDescent="0.25">
      <c r="A38" s="7"/>
      <c r="B38" s="7"/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03"/>
      <c r="AJ38" s="7"/>
    </row>
    <row r="39" spans="1:36" x14ac:dyDescent="0.25">
      <c r="A39" s="7"/>
      <c r="B39" s="7"/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03"/>
      <c r="AJ39" s="7"/>
    </row>
    <row r="40" spans="1:36" x14ac:dyDescent="0.25">
      <c r="A40" s="7"/>
      <c r="B40" s="7"/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03"/>
      <c r="AJ40" s="7"/>
    </row>
    <row r="41" spans="1:36" x14ac:dyDescent="0.25">
      <c r="A41" s="7"/>
      <c r="B41" s="7"/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03"/>
      <c r="AJ41" s="7"/>
    </row>
    <row r="42" spans="1:36" x14ac:dyDescent="0.25">
      <c r="A42" s="7"/>
      <c r="B42" s="7"/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03"/>
      <c r="AJ42" s="7"/>
    </row>
    <row r="43" spans="1:36" x14ac:dyDescent="0.25">
      <c r="A43" s="7"/>
      <c r="B43" s="7"/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03"/>
      <c r="AJ43" s="7"/>
    </row>
    <row r="44" spans="1:36" x14ac:dyDescent="0.25">
      <c r="A44" s="7"/>
      <c r="B44" s="7"/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03"/>
      <c r="AJ44" s="7"/>
    </row>
    <row r="45" spans="1:36" x14ac:dyDescent="0.25">
      <c r="A45" s="7"/>
      <c r="B45" s="7"/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03"/>
      <c r="AJ45" s="7"/>
    </row>
    <row r="46" spans="1:36" x14ac:dyDescent="0.25">
      <c r="A46" s="7"/>
      <c r="B46" s="7"/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03"/>
      <c r="AJ46" s="7"/>
    </row>
    <row r="47" spans="1:36" ht="18.75" x14ac:dyDescent="0.25">
      <c r="A47" s="7"/>
      <c r="B47" s="7"/>
      <c r="C47" s="102"/>
      <c r="D47" s="608"/>
      <c r="E47" s="608"/>
      <c r="F47" s="608"/>
      <c r="G47" s="608"/>
      <c r="H47" s="608"/>
      <c r="I47" s="608"/>
      <c r="J47" s="608"/>
      <c r="K47" s="608"/>
      <c r="L47" s="608"/>
      <c r="M47" s="7"/>
      <c r="N47" s="7"/>
      <c r="O47" s="7"/>
      <c r="P47" s="39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03"/>
      <c r="AJ47" s="7"/>
    </row>
    <row r="48" spans="1:36" ht="15.75" x14ac:dyDescent="0.25">
      <c r="A48" s="7"/>
      <c r="B48" s="7"/>
      <c r="C48" s="102"/>
      <c r="D48" s="393"/>
      <c r="E48" s="393"/>
      <c r="F48" s="393"/>
      <c r="G48" s="393"/>
      <c r="H48" s="393"/>
      <c r="I48" s="393"/>
      <c r="J48" s="393"/>
      <c r="K48" s="393"/>
      <c r="L48" s="393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03"/>
      <c r="AJ48" s="7"/>
    </row>
    <row r="49" spans="1:36" ht="15.75" x14ac:dyDescent="0.25">
      <c r="A49" s="7"/>
      <c r="B49" s="7"/>
      <c r="C49" s="102"/>
      <c r="D49" s="392"/>
      <c r="E49" s="392"/>
      <c r="F49" s="392"/>
      <c r="G49" s="394"/>
      <c r="H49" s="392"/>
      <c r="I49" s="395"/>
      <c r="J49" s="395"/>
      <c r="K49" s="395"/>
      <c r="L49" s="39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03"/>
      <c r="AJ49" s="7"/>
    </row>
    <row r="50" spans="1:36" ht="15.75" x14ac:dyDescent="0.25">
      <c r="A50" s="7"/>
      <c r="B50" s="7"/>
      <c r="C50" s="102"/>
      <c r="D50" s="392"/>
      <c r="E50" s="392"/>
      <c r="F50" s="392"/>
      <c r="G50" s="394"/>
      <c r="H50" s="392"/>
      <c r="I50" s="395"/>
      <c r="J50" s="395"/>
      <c r="K50" s="395"/>
      <c r="L50" s="39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03"/>
      <c r="AJ50" s="7"/>
    </row>
    <row r="51" spans="1:36" ht="15.75" x14ac:dyDescent="0.25">
      <c r="A51" s="7"/>
      <c r="B51" s="7"/>
      <c r="C51" s="102"/>
      <c r="D51" s="392"/>
      <c r="E51" s="392"/>
      <c r="F51" s="392"/>
      <c r="G51" s="394"/>
      <c r="H51" s="392"/>
      <c r="I51" s="395"/>
      <c r="J51" s="395"/>
      <c r="K51" s="395"/>
      <c r="L51" s="39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03"/>
      <c r="AJ51" s="7"/>
    </row>
    <row r="52" spans="1:36" ht="15.75" x14ac:dyDescent="0.25">
      <c r="A52" s="7"/>
      <c r="B52" s="7"/>
      <c r="C52" s="102"/>
      <c r="D52" s="392"/>
      <c r="E52" s="392"/>
      <c r="F52" s="392"/>
      <c r="G52" s="394"/>
      <c r="H52" s="396"/>
      <c r="I52" s="396"/>
      <c r="J52" s="396"/>
      <c r="K52" s="396"/>
      <c r="L52" s="396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03"/>
      <c r="AJ52" s="7"/>
    </row>
    <row r="53" spans="1:36" ht="15.75" x14ac:dyDescent="0.25">
      <c r="A53" s="7"/>
      <c r="B53" s="7"/>
      <c r="C53" s="102"/>
      <c r="D53" s="392"/>
      <c r="E53" s="392"/>
      <c r="F53" s="392"/>
      <c r="G53" s="394"/>
      <c r="H53" s="396"/>
      <c r="I53" s="396"/>
      <c r="J53" s="396"/>
      <c r="K53" s="396"/>
      <c r="L53" s="396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03"/>
      <c r="AJ53" s="7"/>
    </row>
    <row r="54" spans="1:36" ht="15.75" x14ac:dyDescent="0.25">
      <c r="A54" s="7"/>
      <c r="B54" s="7"/>
      <c r="C54" s="102"/>
      <c r="D54" s="392"/>
      <c r="E54" s="392"/>
      <c r="F54" s="392"/>
      <c r="G54" s="394"/>
      <c r="H54" s="396"/>
      <c r="I54" s="396"/>
      <c r="J54" s="396"/>
      <c r="K54" s="396"/>
      <c r="L54" s="396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03"/>
      <c r="AJ54" s="7"/>
    </row>
    <row r="55" spans="1:36" x14ac:dyDescent="0.25">
      <c r="A55" s="7"/>
      <c r="B55" s="7"/>
      <c r="C55" s="102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03"/>
      <c r="AJ55" s="7"/>
    </row>
    <row r="56" spans="1:36" x14ac:dyDescent="0.25">
      <c r="A56" s="7"/>
      <c r="B56" s="7"/>
      <c r="C56" s="102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03"/>
      <c r="AJ56" s="7"/>
    </row>
    <row r="57" spans="1:36" x14ac:dyDescent="0.25">
      <c r="A57" s="7"/>
      <c r="B57" s="7"/>
      <c r="C57" s="102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03"/>
      <c r="AJ57" s="7"/>
    </row>
    <row r="58" spans="1:36" x14ac:dyDescent="0.25">
      <c r="A58" s="7"/>
      <c r="B58" s="7"/>
      <c r="C58" s="102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03"/>
      <c r="AJ58" s="7"/>
    </row>
    <row r="59" spans="1:36" x14ac:dyDescent="0.25">
      <c r="A59" s="7"/>
      <c r="B59" s="7"/>
      <c r="C59" s="102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03"/>
      <c r="AJ59" s="7"/>
    </row>
    <row r="60" spans="1:36" x14ac:dyDescent="0.25">
      <c r="A60" s="7"/>
      <c r="B60" s="7"/>
      <c r="C60" s="102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03"/>
      <c r="AJ60" s="7"/>
    </row>
    <row r="61" spans="1:36" x14ac:dyDescent="0.25">
      <c r="A61" s="7"/>
      <c r="B61" s="7"/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03"/>
      <c r="AJ61" s="7"/>
    </row>
    <row r="62" spans="1:36" x14ac:dyDescent="0.25">
      <c r="A62" s="7"/>
      <c r="B62" s="7"/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03"/>
      <c r="AJ62" s="7"/>
    </row>
    <row r="63" spans="1:36" x14ac:dyDescent="0.25">
      <c r="A63" s="7"/>
      <c r="B63" s="7"/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03"/>
      <c r="AJ63" s="7"/>
    </row>
    <row r="64" spans="1:36" x14ac:dyDescent="0.25">
      <c r="A64" s="7"/>
      <c r="B64" s="7"/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03"/>
      <c r="AJ64" s="7"/>
    </row>
    <row r="65" spans="1:36" x14ac:dyDescent="0.25">
      <c r="A65" s="7"/>
      <c r="B65" s="7"/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03"/>
      <c r="AJ65" s="7"/>
    </row>
    <row r="66" spans="1:36" x14ac:dyDescent="0.25">
      <c r="A66" s="7"/>
      <c r="B66" s="7"/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03"/>
      <c r="AJ66" s="7"/>
    </row>
    <row r="67" spans="1:36" x14ac:dyDescent="0.25">
      <c r="A67" s="7"/>
      <c r="B67" s="7"/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03"/>
      <c r="AJ67" s="7"/>
    </row>
    <row r="68" spans="1:36" x14ac:dyDescent="0.25">
      <c r="A68" s="7"/>
      <c r="B68" s="7"/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03"/>
      <c r="AJ68" s="7"/>
    </row>
    <row r="69" spans="1:36" ht="15.75" thickBot="1" x14ac:dyDescent="0.3">
      <c r="A69" s="7"/>
      <c r="B69" s="7"/>
      <c r="C69" s="87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70"/>
      <c r="AJ69" s="7"/>
    </row>
    <row r="70" spans="1:36" x14ac:dyDescent="0.25">
      <c r="A70" s="7"/>
      <c r="B70" s="7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3"/>
      <c r="P70" s="113"/>
      <c r="Q70" s="11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</row>
    <row r="71" spans="1:3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</row>
    <row r="72" spans="1:3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</row>
    <row r="73" spans="1:3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</row>
    <row r="74" spans="1:3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</row>
    <row r="75" spans="1:3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</row>
    <row r="76" spans="1:3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</row>
    <row r="77" spans="1:3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</row>
    <row r="78" spans="1:3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</row>
    <row r="79" spans="1:3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</row>
    <row r="80" spans="1:3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</row>
    <row r="81" spans="1:3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</row>
    <row r="82" spans="1:3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</row>
    <row r="83" spans="1:3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</row>
    <row r="84" spans="1:3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</row>
    <row r="85" spans="1:3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</row>
    <row r="86" spans="1:3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</row>
    <row r="87" spans="1:3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</row>
    <row r="88" spans="1:3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</row>
    <row r="89" spans="1:3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</row>
    <row r="90" spans="1:3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</row>
    <row r="91" spans="1:3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</row>
    <row r="92" spans="1:3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</row>
    <row r="93" spans="1:3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</row>
    <row r="94" spans="1:3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</row>
    <row r="95" spans="1:3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</row>
    <row r="96" spans="1:3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</row>
    <row r="97" spans="1:3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</row>
    <row r="98" spans="1:3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</row>
    <row r="99" spans="1:3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</row>
    <row r="100" spans="1:36" x14ac:dyDescent="0.25">
      <c r="AG100" s="7"/>
      <c r="AH100" s="7"/>
      <c r="AI100" s="7"/>
      <c r="AJ100" s="7"/>
    </row>
    <row r="144" spans="17:17" x14ac:dyDescent="0.25">
      <c r="Q144" s="3" t="s">
        <v>49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7B7480-5154-AD46-8CC7-6B24272A7D12}">
          <x14:formula1>
            <xm:f>'C:\Users\philippkenkel\Seafile\RESILIENTE ENERGIESYSTEME\Intern\[TEST_CASE.xlsm]DataBank'!#REF!</xm:f>
          </x14:formula1>
          <xm:sqref>I15:K15 AD10 AB10 O11:P11</xm:sqref>
        </x14:dataValidation>
        <x14:dataValidation type="whole" allowBlank="1" showInputMessage="1" showErrorMessage="1" xr:uid="{8F4FD0A6-E022-9C4A-9F1E-716EA4BE159C}">
          <x14:formula1>
            <xm:f>'C:\Users\philippkenkel\Seafile\RESILIENTE ENERGIESYSTEME\Intern\[TEST_CASE.xlsm]Systemblatt'!#REF!</xm:f>
          </x14:formula1>
          <x14:formula2>
            <xm:f>'C:\Users\philippkenkel\Seafile\RESILIENTE ENERGIESYSTEME\Intern\[TEST_CASE.xlsm]Systemblatt'!#REF!</xm:f>
          </x14:formula2>
          <xm:sqref>E19:F20</xm:sqref>
        </x14:dataValidation>
        <x14:dataValidation type="list" allowBlank="1" showInputMessage="1" showErrorMessage="1" xr:uid="{A564BE62-92E8-554E-BC37-555644D195E3}">
          <x14:formula1>
            <xm:f>'C:\Users\philippkenkel\Seafile\RESILIENTE ENERGIESYSTEME\Intern\[TEST_CASE.xlsm]Systemblatt'!#REF!</xm:f>
          </x14:formula1>
          <xm:sqref>J16:K17 AC10:AC24 AE12:AE24 AE10 O12:P22 N18:N22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0CCA-7EA7-7C45-B9F9-72ACAA97DF2E}">
  <sheetPr codeName="Tabelle27"/>
  <dimension ref="C1:AO137"/>
  <sheetViews>
    <sheetView tabSelected="1" zoomScale="70" zoomScaleNormal="70" workbookViewId="0">
      <selection activeCell="G43" sqref="G4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29" style="3" customWidth="1"/>
    <col min="5" max="5" width="28.28515625" style="3" customWidth="1"/>
    <col min="6" max="6" width="15.28515625" style="3" customWidth="1"/>
    <col min="7" max="7" width="6.28515625" style="3" customWidth="1"/>
    <col min="8" max="8" width="23.140625" style="3" customWidth="1"/>
    <col min="9" max="11" width="15.28515625" style="3" customWidth="1"/>
    <col min="12" max="12" width="4.28515625" style="3" customWidth="1"/>
    <col min="13" max="13" width="30.42578125" style="3" customWidth="1"/>
    <col min="14" max="14" width="15.28515625" style="3" customWidth="1"/>
    <col min="15" max="15" width="34.7109375" style="3" customWidth="1"/>
    <col min="16" max="16" width="31.42578125" style="3" customWidth="1"/>
    <col min="17" max="18" width="15.28515625" style="3" customWidth="1"/>
    <col min="19" max="19" width="21.7109375" style="3" customWidth="1"/>
    <col min="20" max="20" width="21.42578125" style="3" customWidth="1"/>
    <col min="21" max="22" width="10.85546875" style="3"/>
    <col min="23" max="23" width="15.28515625" style="3" customWidth="1"/>
    <col min="24" max="24" width="23.28515625" style="3" customWidth="1"/>
    <col min="25" max="25" width="18" style="3" customWidth="1"/>
    <col min="26" max="26" width="19.28515625" style="3" customWidth="1"/>
    <col min="27" max="27" width="10.85546875" style="3"/>
    <col min="28" max="28" width="12.85546875" style="3" customWidth="1"/>
    <col min="29" max="29" width="18.42578125" style="3" customWidth="1"/>
    <col min="30" max="31" width="10.85546875" style="3"/>
    <col min="32" max="32" width="68.28515625" style="3" customWidth="1"/>
    <col min="33" max="33" width="10.85546875" style="3"/>
    <col min="34" max="34" width="15.7109375" style="3" customWidth="1"/>
    <col min="35" max="35" width="12.140625" style="3" customWidth="1"/>
    <col min="36" max="37" width="10.85546875" style="3"/>
    <col min="38" max="38" width="15.140625" style="3" customWidth="1"/>
    <col min="39" max="39" width="16.85546875" style="3" customWidth="1"/>
    <col min="40" max="40" width="20.85546875" style="3" customWidth="1"/>
    <col min="41" max="16384" width="10.85546875" style="3"/>
  </cols>
  <sheetData>
    <row r="1" spans="3:41" ht="10.5" customHeight="1" thickBot="1" x14ac:dyDescent="0.3"/>
    <row r="2" spans="3:41" ht="6.95" customHeight="1" x14ac:dyDescent="0.25">
      <c r="C2" s="112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4"/>
      <c r="AJ2" s="114"/>
      <c r="AK2" s="114"/>
      <c r="AL2" s="114"/>
      <c r="AM2" s="114"/>
      <c r="AN2" s="114"/>
      <c r="AO2" s="124"/>
    </row>
    <row r="3" spans="3:41" x14ac:dyDescent="0.25">
      <c r="C3" s="102"/>
      <c r="D3" s="7"/>
      <c r="E3" s="7"/>
      <c r="F3" s="7"/>
      <c r="G3" s="7"/>
      <c r="H3" s="7"/>
      <c r="I3" s="7"/>
      <c r="J3" s="7" t="s">
        <v>42</v>
      </c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103"/>
    </row>
    <row r="4" spans="3:41" x14ac:dyDescent="0.25">
      <c r="C4" s="102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103"/>
    </row>
    <row r="5" spans="3:41" x14ac:dyDescent="0.25">
      <c r="C5" s="102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103"/>
    </row>
    <row r="6" spans="3:41" x14ac:dyDescent="0.25">
      <c r="C6" s="102"/>
      <c r="D6" s="547" t="s">
        <v>18</v>
      </c>
      <c r="E6" s="547"/>
      <c r="F6" s="7"/>
      <c r="G6" s="7"/>
      <c r="H6" s="548" t="s">
        <v>19</v>
      </c>
      <c r="I6" s="548"/>
      <c r="J6" s="20"/>
      <c r="K6" s="20"/>
      <c r="L6" s="7"/>
      <c r="M6" s="549" t="s">
        <v>7</v>
      </c>
      <c r="N6" s="549"/>
      <c r="O6" s="549"/>
      <c r="P6" s="549"/>
      <c r="Q6" s="7"/>
      <c r="R6" s="7"/>
      <c r="S6" s="539" t="s">
        <v>10</v>
      </c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362"/>
      <c r="AH6" s="362"/>
      <c r="AI6" s="362"/>
      <c r="AJ6" s="362"/>
      <c r="AK6" s="362"/>
      <c r="AL6" s="362"/>
      <c r="AM6" s="362"/>
      <c r="AN6" s="362"/>
      <c r="AO6" s="103"/>
    </row>
    <row r="7" spans="3:41" ht="15.75" thickBot="1" x14ac:dyDescent="0.3">
      <c r="C7" s="102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"/>
      <c r="AH7" s="7"/>
      <c r="AI7" s="7"/>
      <c r="AJ7" s="7"/>
      <c r="AK7" s="7"/>
      <c r="AL7" s="7"/>
      <c r="AM7" s="7"/>
      <c r="AN7" s="7"/>
      <c r="AO7" s="103"/>
    </row>
    <row r="8" spans="3:41" ht="24" thickBot="1" x14ac:dyDescent="0.4">
      <c r="C8" s="102"/>
      <c r="D8" s="515" t="s">
        <v>98</v>
      </c>
      <c r="E8" s="516"/>
      <c r="F8" s="7"/>
      <c r="G8" s="7"/>
      <c r="H8" s="517" t="s">
        <v>99</v>
      </c>
      <c r="I8" s="518"/>
      <c r="J8" s="21"/>
      <c r="K8" s="21"/>
      <c r="L8" s="7"/>
      <c r="M8" s="519" t="s">
        <v>118</v>
      </c>
      <c r="N8" s="520"/>
      <c r="O8" s="520"/>
      <c r="P8" s="521"/>
      <c r="Q8" s="7"/>
      <c r="R8" s="7"/>
      <c r="S8" s="576" t="s">
        <v>124</v>
      </c>
      <c r="T8" s="577"/>
      <c r="U8" s="578"/>
      <c r="V8" s="318"/>
      <c r="W8" s="579" t="s">
        <v>197</v>
      </c>
      <c r="X8" s="580"/>
      <c r="Y8" s="580"/>
      <c r="Z8" s="581"/>
      <c r="AA8" s="13"/>
      <c r="AB8" s="579" t="s">
        <v>134</v>
      </c>
      <c r="AC8" s="580"/>
      <c r="AD8" s="580"/>
      <c r="AE8" s="580"/>
      <c r="AF8" s="581"/>
      <c r="AG8" s="7"/>
      <c r="AH8" s="585" t="s">
        <v>11</v>
      </c>
      <c r="AI8" s="586"/>
      <c r="AJ8" s="587"/>
      <c r="AK8" s="363"/>
      <c r="AL8" s="579" t="s">
        <v>12</v>
      </c>
      <c r="AM8" s="580"/>
      <c r="AN8" s="581"/>
      <c r="AO8" s="103"/>
    </row>
    <row r="9" spans="3:41" ht="21.75" thickBot="1" x14ac:dyDescent="0.4">
      <c r="C9" s="102"/>
      <c r="D9" s="320" t="s">
        <v>73</v>
      </c>
      <c r="E9" s="245" t="s">
        <v>1</v>
      </c>
      <c r="F9" s="7"/>
      <c r="G9" s="7"/>
      <c r="H9" s="82" t="s">
        <v>73</v>
      </c>
      <c r="I9" s="82" t="s">
        <v>100</v>
      </c>
      <c r="J9" s="22"/>
      <c r="K9" s="22"/>
      <c r="L9" s="7"/>
      <c r="M9" s="91" t="s">
        <v>73</v>
      </c>
      <c r="N9" s="91" t="s">
        <v>41</v>
      </c>
      <c r="O9" s="91" t="s">
        <v>119</v>
      </c>
      <c r="P9" s="91" t="s">
        <v>120</v>
      </c>
      <c r="Q9" s="7"/>
      <c r="R9" s="7"/>
      <c r="S9" s="322" t="s">
        <v>126</v>
      </c>
      <c r="T9" s="322" t="s">
        <v>76</v>
      </c>
      <c r="U9" s="322" t="s">
        <v>127</v>
      </c>
      <c r="V9" s="321"/>
      <c r="W9" s="322" t="s">
        <v>188</v>
      </c>
      <c r="X9" s="573"/>
      <c r="Y9" s="574"/>
      <c r="Z9" s="575"/>
      <c r="AA9" s="13"/>
      <c r="AB9" s="322" t="s">
        <v>131</v>
      </c>
      <c r="AC9" s="322" t="s">
        <v>130</v>
      </c>
      <c r="AD9" s="322" t="s">
        <v>8</v>
      </c>
      <c r="AE9" s="322" t="s">
        <v>132</v>
      </c>
      <c r="AF9" s="322" t="s">
        <v>133</v>
      </c>
      <c r="AG9" s="7"/>
      <c r="AH9" s="364" t="s">
        <v>13</v>
      </c>
      <c r="AI9" s="365" t="s">
        <v>14</v>
      </c>
      <c r="AJ9" s="366" t="s">
        <v>1</v>
      </c>
      <c r="AK9" s="321"/>
      <c r="AL9" s="364" t="s">
        <v>15</v>
      </c>
      <c r="AM9" s="365" t="s">
        <v>16</v>
      </c>
      <c r="AN9" s="366" t="s">
        <v>17</v>
      </c>
      <c r="AO9" s="103"/>
    </row>
    <row r="10" spans="3:41" ht="18.75" x14ac:dyDescent="0.3">
      <c r="C10" s="102"/>
      <c r="D10" s="327" t="s">
        <v>2</v>
      </c>
      <c r="E10" s="74" t="s">
        <v>219</v>
      </c>
      <c r="F10" s="88"/>
      <c r="G10" s="88"/>
      <c r="H10" s="328" t="s">
        <v>3</v>
      </c>
      <c r="I10" s="76"/>
      <c r="J10" s="88"/>
      <c r="K10" s="88"/>
      <c r="L10" s="88"/>
      <c r="M10" s="328" t="s">
        <v>121</v>
      </c>
      <c r="N10" s="88"/>
      <c r="O10" s="88"/>
      <c r="P10" s="86"/>
      <c r="Q10" s="88"/>
      <c r="R10" s="88"/>
      <c r="S10" s="330"/>
      <c r="T10" s="83"/>
      <c r="U10" s="331"/>
      <c r="V10" s="329"/>
      <c r="W10" s="152">
        <v>110</v>
      </c>
      <c r="X10" s="83"/>
      <c r="Y10" s="153"/>
      <c r="Z10" s="154"/>
      <c r="AA10" s="83"/>
      <c r="AB10" s="187" t="s">
        <v>27</v>
      </c>
      <c r="AC10" s="186" t="s">
        <v>9</v>
      </c>
      <c r="AD10" s="186" t="s">
        <v>27</v>
      </c>
      <c r="AE10" s="186" t="s">
        <v>9</v>
      </c>
      <c r="AF10" s="188">
        <v>0.1</v>
      </c>
      <c r="AG10" s="88"/>
      <c r="AH10" s="189" t="s">
        <v>9</v>
      </c>
      <c r="AI10" s="367">
        <v>2</v>
      </c>
      <c r="AJ10" s="368">
        <v>-1.5</v>
      </c>
      <c r="AK10" s="332"/>
      <c r="AL10" s="189">
        <v>2</v>
      </c>
      <c r="AM10" s="190" t="s">
        <v>50</v>
      </c>
      <c r="AN10" s="191">
        <v>1</v>
      </c>
      <c r="AO10" s="103"/>
    </row>
    <row r="11" spans="3:41" ht="18.75" x14ac:dyDescent="0.3">
      <c r="C11" s="102"/>
      <c r="D11" s="328" t="s">
        <v>4</v>
      </c>
      <c r="E11" s="76">
        <v>4200</v>
      </c>
      <c r="F11" s="88"/>
      <c r="G11" s="88"/>
      <c r="H11" s="328" t="s">
        <v>113</v>
      </c>
      <c r="I11" s="76">
        <v>2.8066569000000001</v>
      </c>
      <c r="J11" s="88"/>
      <c r="K11" s="88"/>
      <c r="L11" s="88"/>
      <c r="M11" s="333" t="s">
        <v>122</v>
      </c>
      <c r="N11" s="88"/>
      <c r="O11" s="88"/>
      <c r="P11" s="86"/>
      <c r="Q11" s="88"/>
      <c r="R11" s="88"/>
      <c r="S11" s="330"/>
      <c r="T11" s="83"/>
      <c r="U11" s="331"/>
      <c r="V11" s="329"/>
      <c r="W11" s="158">
        <v>116</v>
      </c>
      <c r="X11" s="83"/>
      <c r="Y11" s="329"/>
      <c r="Z11" s="331"/>
      <c r="AA11" s="83"/>
      <c r="AB11" s="330"/>
      <c r="AC11" s="83"/>
      <c r="AD11" s="329"/>
      <c r="AE11" s="337" t="s">
        <v>30</v>
      </c>
      <c r="AF11" s="331"/>
      <c r="AG11" s="88"/>
      <c r="AH11" s="189" t="s">
        <v>30</v>
      </c>
      <c r="AI11" s="367">
        <v>2</v>
      </c>
      <c r="AJ11" s="368">
        <v>1.125</v>
      </c>
      <c r="AK11" s="332"/>
      <c r="AL11" s="189">
        <v>3</v>
      </c>
      <c r="AM11" s="190" t="s">
        <v>32</v>
      </c>
      <c r="AN11" s="191">
        <v>1</v>
      </c>
      <c r="AO11" s="103"/>
    </row>
    <row r="12" spans="3:41" ht="18.75" x14ac:dyDescent="0.3">
      <c r="C12" s="102"/>
      <c r="D12" s="328" t="s">
        <v>90</v>
      </c>
      <c r="E12" s="76" t="s">
        <v>220</v>
      </c>
      <c r="F12" s="88"/>
      <c r="G12" s="88"/>
      <c r="H12" s="328" t="s">
        <v>114</v>
      </c>
      <c r="I12" s="76">
        <v>1</v>
      </c>
      <c r="J12" s="88"/>
      <c r="K12" s="88"/>
      <c r="L12" s="88"/>
      <c r="M12" s="333" t="s">
        <v>123</v>
      </c>
      <c r="N12" s="88"/>
      <c r="O12" s="88"/>
      <c r="P12" s="86"/>
      <c r="Q12" s="88"/>
      <c r="R12" s="88"/>
      <c r="S12" s="330"/>
      <c r="T12" s="83"/>
      <c r="U12" s="331"/>
      <c r="V12" s="329"/>
      <c r="W12" s="158"/>
      <c r="X12" s="83"/>
      <c r="Y12" s="337"/>
      <c r="Z12" s="338"/>
      <c r="AA12" s="337"/>
      <c r="AB12" s="339"/>
      <c r="AC12" s="83"/>
      <c r="AD12" s="337"/>
      <c r="AE12" s="337" t="s">
        <v>38</v>
      </c>
      <c r="AF12" s="331"/>
      <c r="AG12" s="88"/>
      <c r="AH12" s="189" t="s">
        <v>31</v>
      </c>
      <c r="AI12" s="367">
        <v>2</v>
      </c>
      <c r="AJ12" s="368">
        <v>1.375</v>
      </c>
      <c r="AK12" s="332"/>
      <c r="AL12" s="189">
        <v>4</v>
      </c>
      <c r="AM12" s="190" t="s">
        <v>29</v>
      </c>
      <c r="AN12" s="191">
        <v>1</v>
      </c>
      <c r="AO12" s="103"/>
    </row>
    <row r="13" spans="3:41" ht="18.75" x14ac:dyDescent="0.3">
      <c r="C13" s="102"/>
      <c r="D13" s="328" t="s">
        <v>102</v>
      </c>
      <c r="E13" s="76"/>
      <c r="F13" s="88"/>
      <c r="G13" s="88"/>
      <c r="H13" s="328" t="s">
        <v>115</v>
      </c>
      <c r="I13" s="76">
        <v>0.63149999999999995</v>
      </c>
      <c r="J13" s="88"/>
      <c r="K13" s="88"/>
      <c r="L13" s="88"/>
      <c r="M13" s="333"/>
      <c r="N13" s="88"/>
      <c r="O13" s="88"/>
      <c r="P13" s="86"/>
      <c r="Q13" s="88"/>
      <c r="R13" s="88"/>
      <c r="S13" s="339"/>
      <c r="T13" s="83"/>
      <c r="U13" s="338"/>
      <c r="V13" s="337"/>
      <c r="W13" s="158"/>
      <c r="X13" s="83"/>
      <c r="Y13" s="337"/>
      <c r="Z13" s="338"/>
      <c r="AA13" s="337"/>
      <c r="AB13" s="339"/>
      <c r="AC13" s="83"/>
      <c r="AD13" s="337"/>
      <c r="AE13" s="337" t="s">
        <v>31</v>
      </c>
      <c r="AF13" s="331"/>
      <c r="AG13" s="88"/>
      <c r="AH13" s="189" t="s">
        <v>50</v>
      </c>
      <c r="AI13" s="367">
        <v>2</v>
      </c>
      <c r="AJ13" s="368">
        <v>-1</v>
      </c>
      <c r="AK13" s="332"/>
      <c r="AL13" s="369">
        <v>6</v>
      </c>
      <c r="AM13" s="370" t="s">
        <v>200</v>
      </c>
      <c r="AN13" s="371">
        <v>1</v>
      </c>
      <c r="AO13" s="103"/>
    </row>
    <row r="14" spans="3:41" ht="18.75" x14ac:dyDescent="0.3">
      <c r="C14" s="102"/>
      <c r="D14" s="328" t="s">
        <v>103</v>
      </c>
      <c r="E14" s="76">
        <v>25</v>
      </c>
      <c r="F14" s="88"/>
      <c r="G14" s="88"/>
      <c r="H14" s="328" t="s">
        <v>116</v>
      </c>
      <c r="I14" s="76">
        <v>2013</v>
      </c>
      <c r="J14" s="88"/>
      <c r="K14" s="88"/>
      <c r="L14" s="88"/>
      <c r="M14" s="85"/>
      <c r="N14" s="88"/>
      <c r="O14" s="88"/>
      <c r="P14" s="86"/>
      <c r="Q14" s="88"/>
      <c r="R14" s="88"/>
      <c r="S14" s="339"/>
      <c r="T14" s="83"/>
      <c r="U14" s="338"/>
      <c r="V14" s="337"/>
      <c r="W14" s="158"/>
      <c r="X14" s="83"/>
      <c r="Y14" s="337"/>
      <c r="Z14" s="338"/>
      <c r="AA14" s="337"/>
      <c r="AB14" s="339"/>
      <c r="AC14" s="83"/>
      <c r="AD14" s="337"/>
      <c r="AE14" s="83"/>
      <c r="AF14" s="331"/>
      <c r="AG14" s="88"/>
      <c r="AH14" s="189" t="s">
        <v>32</v>
      </c>
      <c r="AI14" s="367">
        <v>3</v>
      </c>
      <c r="AJ14" s="368">
        <v>-1</v>
      </c>
      <c r="AK14" s="332"/>
      <c r="AL14" s="340"/>
      <c r="AM14" s="88"/>
      <c r="AN14" s="341"/>
      <c r="AO14" s="103"/>
    </row>
    <row r="15" spans="3:41" ht="18.75" x14ac:dyDescent="0.3">
      <c r="C15" s="102"/>
      <c r="D15" s="328" t="s">
        <v>104</v>
      </c>
      <c r="E15" s="204">
        <v>2.6</v>
      </c>
      <c r="F15" s="88"/>
      <c r="G15" s="88"/>
      <c r="H15" s="333" t="s">
        <v>117</v>
      </c>
      <c r="I15" s="76" t="s">
        <v>59</v>
      </c>
      <c r="J15" s="88"/>
      <c r="K15" s="88"/>
      <c r="L15" s="88"/>
      <c r="M15" s="85"/>
      <c r="N15" s="88"/>
      <c r="O15" s="88"/>
      <c r="P15" s="86"/>
      <c r="Q15" s="88"/>
      <c r="R15" s="88"/>
      <c r="S15" s="339"/>
      <c r="T15" s="83"/>
      <c r="U15" s="338"/>
      <c r="V15" s="337"/>
      <c r="W15" s="158"/>
      <c r="X15" s="83"/>
      <c r="Y15" s="83"/>
      <c r="Z15" s="76"/>
      <c r="AA15" s="83"/>
      <c r="AB15" s="158"/>
      <c r="AC15" s="83"/>
      <c r="AD15" s="83"/>
      <c r="AE15" s="83"/>
      <c r="AF15" s="331"/>
      <c r="AG15" s="88"/>
      <c r="AH15" s="189" t="s">
        <v>9</v>
      </c>
      <c r="AI15" s="367">
        <v>3</v>
      </c>
      <c r="AJ15" s="368">
        <v>-8</v>
      </c>
      <c r="AK15" s="332"/>
      <c r="AL15" s="340"/>
      <c r="AM15" s="88"/>
      <c r="AN15" s="341"/>
      <c r="AO15" s="103"/>
    </row>
    <row r="16" spans="3:41" ht="18.75" x14ac:dyDescent="0.3">
      <c r="C16" s="102"/>
      <c r="D16" s="328" t="s">
        <v>105</v>
      </c>
      <c r="E16" s="204">
        <v>1.44</v>
      </c>
      <c r="F16" s="88"/>
      <c r="G16" s="88"/>
      <c r="H16" s="333" t="s">
        <v>101</v>
      </c>
      <c r="I16" s="76"/>
      <c r="J16" s="88"/>
      <c r="K16" s="88"/>
      <c r="L16" s="88"/>
      <c r="M16" s="85"/>
      <c r="N16" s="88"/>
      <c r="O16" s="88"/>
      <c r="P16" s="86"/>
      <c r="Q16" s="88"/>
      <c r="R16" s="88"/>
      <c r="S16" s="158"/>
      <c r="T16" s="83"/>
      <c r="U16" s="76"/>
      <c r="V16" s="83"/>
      <c r="W16" s="158"/>
      <c r="X16" s="83"/>
      <c r="Y16" s="83"/>
      <c r="Z16" s="76"/>
      <c r="AA16" s="83"/>
      <c r="AB16" s="158"/>
      <c r="AC16" s="83"/>
      <c r="AD16" s="83"/>
      <c r="AE16" s="83"/>
      <c r="AF16" s="76"/>
      <c r="AG16" s="88"/>
      <c r="AH16" s="369" t="s">
        <v>30</v>
      </c>
      <c r="AI16" s="370">
        <v>3</v>
      </c>
      <c r="AJ16" s="176">
        <v>9</v>
      </c>
      <c r="AK16" s="88"/>
      <c r="AL16" s="159"/>
      <c r="AM16" s="88"/>
      <c r="AN16" s="86"/>
      <c r="AO16" s="103"/>
    </row>
    <row r="17" spans="3:41" ht="18.75" x14ac:dyDescent="0.3">
      <c r="C17" s="102"/>
      <c r="D17" s="328" t="s">
        <v>106</v>
      </c>
      <c r="E17" s="76"/>
      <c r="F17" s="88"/>
      <c r="G17" s="88"/>
      <c r="H17" s="333"/>
      <c r="I17" s="76"/>
      <c r="J17" s="88"/>
      <c r="K17" s="88"/>
      <c r="L17" s="88"/>
      <c r="M17" s="85"/>
      <c r="N17" s="88"/>
      <c r="O17" s="88"/>
      <c r="P17" s="86"/>
      <c r="Q17" s="88"/>
      <c r="R17" s="88"/>
      <c r="S17" s="158"/>
      <c r="T17" s="83"/>
      <c r="U17" s="76"/>
      <c r="V17" s="83"/>
      <c r="W17" s="158"/>
      <c r="X17" s="83"/>
      <c r="Y17" s="83"/>
      <c r="Z17" s="76"/>
      <c r="AA17" s="83"/>
      <c r="AB17" s="158"/>
      <c r="AC17" s="83"/>
      <c r="AD17" s="83"/>
      <c r="AE17" s="83"/>
      <c r="AF17" s="76"/>
      <c r="AG17" s="88"/>
      <c r="AH17" s="369" t="s">
        <v>29</v>
      </c>
      <c r="AI17" s="370">
        <v>4</v>
      </c>
      <c r="AJ17" s="176">
        <v>-1</v>
      </c>
      <c r="AK17" s="88"/>
      <c r="AL17" s="159"/>
      <c r="AM17" s="88"/>
      <c r="AN17" s="86"/>
      <c r="AO17" s="103"/>
    </row>
    <row r="18" spans="3:41" ht="18.75" x14ac:dyDescent="0.3">
      <c r="C18" s="102"/>
      <c r="D18" s="77" t="s">
        <v>107</v>
      </c>
      <c r="E18" s="76"/>
      <c r="F18" s="88"/>
      <c r="G18" s="88"/>
      <c r="H18" s="85"/>
      <c r="I18" s="76"/>
      <c r="J18" s="88"/>
      <c r="K18" s="88"/>
      <c r="L18" s="88"/>
      <c r="M18" s="85"/>
      <c r="N18" s="88"/>
      <c r="O18" s="88"/>
      <c r="P18" s="86"/>
      <c r="Q18" s="88"/>
      <c r="R18" s="88"/>
      <c r="S18" s="158"/>
      <c r="T18" s="83"/>
      <c r="U18" s="76"/>
      <c r="V18" s="83"/>
      <c r="W18" s="158"/>
      <c r="X18" s="83"/>
      <c r="Y18" s="83"/>
      <c r="Z18" s="76"/>
      <c r="AA18" s="83"/>
      <c r="AB18" s="158"/>
      <c r="AC18" s="83"/>
      <c r="AD18" s="83"/>
      <c r="AE18" s="83"/>
      <c r="AF18" s="76"/>
      <c r="AG18" s="88"/>
      <c r="AH18" s="369" t="s">
        <v>9</v>
      </c>
      <c r="AI18" s="370">
        <v>4</v>
      </c>
      <c r="AJ18" s="176">
        <v>-0.57099999999999995</v>
      </c>
      <c r="AK18" s="88"/>
      <c r="AL18" s="159"/>
      <c r="AM18" s="88"/>
      <c r="AN18" s="86"/>
      <c r="AO18" s="103"/>
    </row>
    <row r="19" spans="3:41" ht="19.5" thickBot="1" x14ac:dyDescent="0.35">
      <c r="C19" s="102"/>
      <c r="D19" s="328" t="s">
        <v>108</v>
      </c>
      <c r="E19" s="76"/>
      <c r="F19" s="88"/>
      <c r="G19" s="88"/>
      <c r="H19" s="85"/>
      <c r="I19" s="76"/>
      <c r="J19" s="88"/>
      <c r="K19" s="88"/>
      <c r="L19" s="88"/>
      <c r="M19" s="85"/>
      <c r="N19" s="88"/>
      <c r="O19" s="88"/>
      <c r="P19" s="86"/>
      <c r="Q19" s="88"/>
      <c r="R19" s="88"/>
      <c r="S19" s="158"/>
      <c r="T19" s="83"/>
      <c r="U19" s="76"/>
      <c r="V19" s="83"/>
      <c r="W19" s="158"/>
      <c r="X19" s="83"/>
      <c r="Y19" s="83"/>
      <c r="Z19" s="76"/>
      <c r="AA19" s="83"/>
      <c r="AB19" s="158"/>
      <c r="AC19" s="83"/>
      <c r="AD19" s="83"/>
      <c r="AE19" s="83"/>
      <c r="AF19" s="76"/>
      <c r="AG19" s="88"/>
      <c r="AH19" s="369" t="s">
        <v>31</v>
      </c>
      <c r="AI19" s="370">
        <v>4</v>
      </c>
      <c r="AJ19" s="176">
        <v>1.571</v>
      </c>
      <c r="AK19" s="88"/>
      <c r="AL19" s="159"/>
      <c r="AM19" s="88"/>
      <c r="AN19" s="86"/>
      <c r="AO19" s="103"/>
    </row>
    <row r="20" spans="3:41" ht="18.75" x14ac:dyDescent="0.3">
      <c r="C20" s="102"/>
      <c r="D20" s="77" t="s">
        <v>109</v>
      </c>
      <c r="E20" s="76"/>
      <c r="F20" s="88"/>
      <c r="G20" s="88"/>
      <c r="H20" s="85"/>
      <c r="I20" s="76"/>
      <c r="J20" s="88"/>
      <c r="K20" s="88"/>
      <c r="L20" s="88"/>
      <c r="M20" s="159"/>
      <c r="N20" s="88"/>
      <c r="O20" s="88"/>
      <c r="P20" s="86"/>
      <c r="Q20" s="88"/>
      <c r="R20" s="88"/>
      <c r="S20" s="158"/>
      <c r="T20" s="83"/>
      <c r="U20" s="76"/>
      <c r="V20" s="83"/>
      <c r="W20" s="158"/>
      <c r="X20" s="83"/>
      <c r="Y20" s="83"/>
      <c r="Z20" s="76"/>
      <c r="AA20" s="83"/>
      <c r="AB20" s="158"/>
      <c r="AC20" s="83"/>
      <c r="AD20" s="83"/>
      <c r="AE20" s="83"/>
      <c r="AF20" s="76"/>
      <c r="AG20" s="88"/>
      <c r="AH20" s="440" t="s">
        <v>200</v>
      </c>
      <c r="AI20" s="441">
        <v>6</v>
      </c>
      <c r="AJ20" s="442">
        <v>-1</v>
      </c>
      <c r="AK20" s="88"/>
      <c r="AL20" s="159"/>
      <c r="AM20" s="88"/>
      <c r="AN20" s="86"/>
      <c r="AO20" s="103"/>
    </row>
    <row r="21" spans="3:41" ht="18.75" x14ac:dyDescent="0.3">
      <c r="C21" s="102"/>
      <c r="D21" s="77" t="s">
        <v>110</v>
      </c>
      <c r="E21" s="76">
        <v>0.57999999999999996</v>
      </c>
      <c r="F21" s="88"/>
      <c r="G21" s="88"/>
      <c r="H21" s="159"/>
      <c r="I21" s="76"/>
      <c r="J21" s="88"/>
      <c r="K21" s="88"/>
      <c r="L21" s="88"/>
      <c r="M21" s="159"/>
      <c r="N21" s="88"/>
      <c r="O21" s="88"/>
      <c r="P21" s="86"/>
      <c r="Q21" s="88"/>
      <c r="R21" s="88"/>
      <c r="S21" s="158"/>
      <c r="T21" s="83"/>
      <c r="U21" s="76"/>
      <c r="V21" s="83"/>
      <c r="W21" s="158"/>
      <c r="X21" s="83"/>
      <c r="Y21" s="83"/>
      <c r="Z21" s="76"/>
      <c r="AA21" s="83"/>
      <c r="AB21" s="158"/>
      <c r="AC21" s="83"/>
      <c r="AD21" s="83"/>
      <c r="AE21" s="83"/>
      <c r="AF21" s="76"/>
      <c r="AG21" s="88"/>
      <c r="AH21" s="443" t="s">
        <v>9</v>
      </c>
      <c r="AI21" s="444">
        <v>6</v>
      </c>
      <c r="AJ21" s="445">
        <v>-4</v>
      </c>
      <c r="AK21" s="88"/>
      <c r="AL21" s="159"/>
      <c r="AM21" s="88"/>
      <c r="AN21" s="86"/>
      <c r="AO21" s="103"/>
    </row>
    <row r="22" spans="3:41" ht="18.75" x14ac:dyDescent="0.3">
      <c r="C22" s="102"/>
      <c r="D22" s="77" t="s">
        <v>111</v>
      </c>
      <c r="E22" s="76"/>
      <c r="F22" s="88"/>
      <c r="G22" s="88"/>
      <c r="H22" s="159"/>
      <c r="I22" s="76"/>
      <c r="J22" s="88"/>
      <c r="K22" s="88"/>
      <c r="L22" s="88"/>
      <c r="M22" s="159"/>
      <c r="N22" s="88"/>
      <c r="O22" s="88"/>
      <c r="P22" s="86"/>
      <c r="Q22" s="88"/>
      <c r="R22" s="88"/>
      <c r="S22" s="158"/>
      <c r="T22" s="83"/>
      <c r="U22" s="76"/>
      <c r="V22" s="83"/>
      <c r="W22" s="158"/>
      <c r="X22" s="83"/>
      <c r="Y22" s="83"/>
      <c r="Z22" s="76"/>
      <c r="AA22" s="83"/>
      <c r="AB22" s="158"/>
      <c r="AC22" s="83"/>
      <c r="AD22" s="83"/>
      <c r="AE22" s="83"/>
      <c r="AF22" s="76"/>
      <c r="AG22" s="88"/>
      <c r="AH22" s="443" t="s">
        <v>31</v>
      </c>
      <c r="AI22" s="444">
        <v>6</v>
      </c>
      <c r="AJ22" s="445">
        <v>2.75</v>
      </c>
      <c r="AK22" s="88"/>
      <c r="AL22" s="159"/>
      <c r="AM22" s="88"/>
      <c r="AN22" s="86"/>
      <c r="AO22" s="103"/>
    </row>
    <row r="23" spans="3:41" ht="18.75" x14ac:dyDescent="0.3">
      <c r="C23" s="102"/>
      <c r="D23" s="77" t="s">
        <v>112</v>
      </c>
      <c r="E23" s="76"/>
      <c r="F23" s="88"/>
      <c r="G23" s="88"/>
      <c r="H23" s="159"/>
      <c r="I23" s="76"/>
      <c r="J23" s="88"/>
      <c r="K23" s="88"/>
      <c r="L23" s="88"/>
      <c r="M23" s="159"/>
      <c r="N23" s="88"/>
      <c r="O23" s="88"/>
      <c r="P23" s="86"/>
      <c r="Q23" s="88"/>
      <c r="R23" s="88"/>
      <c r="S23" s="158"/>
      <c r="T23" s="83"/>
      <c r="U23" s="76"/>
      <c r="V23" s="83"/>
      <c r="W23" s="158"/>
      <c r="X23" s="83"/>
      <c r="Y23" s="83"/>
      <c r="Z23" s="76"/>
      <c r="AA23" s="83"/>
      <c r="AB23" s="158"/>
      <c r="AC23" s="83"/>
      <c r="AD23" s="83"/>
      <c r="AE23" s="83"/>
      <c r="AF23" s="76"/>
      <c r="AG23" s="88"/>
      <c r="AH23" s="443" t="s">
        <v>30</v>
      </c>
      <c r="AI23" s="446">
        <v>6</v>
      </c>
      <c r="AJ23" s="447">
        <v>2.25</v>
      </c>
      <c r="AK23" s="88"/>
      <c r="AL23" s="159"/>
      <c r="AM23" s="88"/>
      <c r="AN23" s="86"/>
      <c r="AO23" s="103"/>
    </row>
    <row r="24" spans="3:41" ht="18.75" x14ac:dyDescent="0.3">
      <c r="C24" s="102"/>
      <c r="D24" s="193" t="s">
        <v>135</v>
      </c>
      <c r="E24" s="76"/>
      <c r="F24" s="88"/>
      <c r="G24" s="88"/>
      <c r="H24" s="159"/>
      <c r="I24" s="76"/>
      <c r="J24" s="88"/>
      <c r="K24" s="88"/>
      <c r="L24" s="88"/>
      <c r="M24" s="159"/>
      <c r="N24" s="88"/>
      <c r="O24" s="88"/>
      <c r="P24" s="86"/>
      <c r="Q24" s="88"/>
      <c r="R24" s="88"/>
      <c r="S24" s="158"/>
      <c r="T24" s="83"/>
      <c r="U24" s="76"/>
      <c r="V24" s="83"/>
      <c r="W24" s="158"/>
      <c r="X24" s="83"/>
      <c r="Y24" s="83"/>
      <c r="Z24" s="76"/>
      <c r="AA24" s="83"/>
      <c r="AB24" s="158"/>
      <c r="AC24" s="83"/>
      <c r="AD24" s="83"/>
      <c r="AE24" s="83"/>
      <c r="AF24" s="76"/>
      <c r="AG24" s="88"/>
      <c r="AH24" s="159"/>
      <c r="AI24" s="88"/>
      <c r="AJ24" s="86"/>
      <c r="AK24" s="88"/>
      <c r="AL24" s="159"/>
      <c r="AM24" s="88"/>
      <c r="AN24" s="86"/>
      <c r="AO24" s="103"/>
    </row>
    <row r="25" spans="3:41" ht="18.75" x14ac:dyDescent="0.3">
      <c r="C25" s="102"/>
      <c r="D25" s="193" t="s">
        <v>136</v>
      </c>
      <c r="E25" s="182"/>
      <c r="F25" s="163"/>
      <c r="G25" s="163"/>
      <c r="H25" s="175"/>
      <c r="I25" s="182"/>
      <c r="J25" s="163"/>
      <c r="K25" s="163"/>
      <c r="L25" s="163"/>
      <c r="M25" s="175"/>
      <c r="N25" s="163"/>
      <c r="O25" s="163"/>
      <c r="P25" s="176"/>
      <c r="Q25" s="163"/>
      <c r="R25" s="88"/>
      <c r="S25" s="158"/>
      <c r="T25" s="83"/>
      <c r="U25" s="76"/>
      <c r="V25" s="83"/>
      <c r="W25" s="180"/>
      <c r="X25" s="181"/>
      <c r="Y25" s="181"/>
      <c r="Z25" s="182"/>
      <c r="AA25" s="83"/>
      <c r="AB25" s="158"/>
      <c r="AC25" s="83"/>
      <c r="AD25" s="83"/>
      <c r="AE25" s="83"/>
      <c r="AF25" s="76"/>
      <c r="AG25" s="88"/>
      <c r="AH25" s="159"/>
      <c r="AI25" s="88"/>
      <c r="AJ25" s="86"/>
      <c r="AK25" s="88"/>
      <c r="AL25" s="159"/>
      <c r="AM25" s="88"/>
      <c r="AN25" s="86"/>
      <c r="AO25" s="103"/>
    </row>
    <row r="26" spans="3:41" ht="19.5" thickBot="1" x14ac:dyDescent="0.35">
      <c r="C26" s="102"/>
      <c r="D26" s="195" t="s">
        <v>137</v>
      </c>
      <c r="E26" s="76"/>
      <c r="F26" s="88"/>
      <c r="G26" s="88"/>
      <c r="H26" s="159"/>
      <c r="I26" s="76"/>
      <c r="J26" s="88"/>
      <c r="K26" s="88"/>
      <c r="L26" s="88"/>
      <c r="M26" s="159"/>
      <c r="N26" s="88"/>
      <c r="O26" s="88"/>
      <c r="P26" s="86"/>
      <c r="Q26" s="88"/>
      <c r="R26" s="88"/>
      <c r="S26" s="158"/>
      <c r="T26" s="83"/>
      <c r="U26" s="76"/>
      <c r="V26" s="83"/>
      <c r="W26" s="180"/>
      <c r="X26" s="181"/>
      <c r="Y26" s="181"/>
      <c r="Z26" s="182"/>
      <c r="AA26" s="83"/>
      <c r="AB26" s="158"/>
      <c r="AC26" s="83"/>
      <c r="AD26" s="83"/>
      <c r="AE26" s="83"/>
      <c r="AF26" s="76"/>
      <c r="AG26" s="88"/>
      <c r="AH26" s="159"/>
      <c r="AI26" s="88"/>
      <c r="AJ26" s="86"/>
      <c r="AK26" s="88"/>
      <c r="AL26" s="159"/>
      <c r="AM26" s="88"/>
      <c r="AN26" s="86"/>
      <c r="AO26" s="103"/>
    </row>
    <row r="27" spans="3:41" ht="19.5" thickBot="1" x14ac:dyDescent="0.35">
      <c r="C27" s="102"/>
      <c r="D27" s="160"/>
      <c r="E27" s="79"/>
      <c r="F27" s="88"/>
      <c r="G27" s="88"/>
      <c r="H27" s="160"/>
      <c r="I27" s="90"/>
      <c r="J27" s="88"/>
      <c r="K27" s="88"/>
      <c r="L27" s="88"/>
      <c r="M27" s="160"/>
      <c r="N27" s="89"/>
      <c r="O27" s="89"/>
      <c r="P27" s="90"/>
      <c r="Q27" s="88"/>
      <c r="R27" s="88"/>
      <c r="S27" s="161"/>
      <c r="T27" s="162"/>
      <c r="U27" s="79"/>
      <c r="V27" s="83"/>
      <c r="W27" s="183"/>
      <c r="X27" s="184"/>
      <c r="Y27" s="184"/>
      <c r="Z27" s="185"/>
      <c r="AA27" s="83"/>
      <c r="AB27" s="161"/>
      <c r="AC27" s="162"/>
      <c r="AD27" s="162"/>
      <c r="AE27" s="162"/>
      <c r="AF27" s="79"/>
      <c r="AG27" s="88"/>
      <c r="AH27" s="160"/>
      <c r="AI27" s="89"/>
      <c r="AJ27" s="90"/>
      <c r="AK27" s="88"/>
      <c r="AL27" s="160"/>
      <c r="AM27" s="89"/>
      <c r="AN27" s="90"/>
      <c r="AO27" s="103"/>
    </row>
    <row r="28" spans="3:41" x14ac:dyDescent="0.25">
      <c r="C28" s="102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103"/>
    </row>
    <row r="29" spans="3:41" x14ac:dyDescent="0.25">
      <c r="C29" s="102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103"/>
    </row>
    <row r="30" spans="3:41" x14ac:dyDescent="0.25">
      <c r="C30" s="102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103"/>
    </row>
    <row r="31" spans="3:41" x14ac:dyDescent="0.25">
      <c r="C31" s="102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103"/>
    </row>
    <row r="32" spans="3:41" x14ac:dyDescent="0.25">
      <c r="C32" s="102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103"/>
    </row>
    <row r="33" spans="3:41" x14ac:dyDescent="0.25">
      <c r="C33" s="102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103"/>
    </row>
    <row r="34" spans="3:41" x14ac:dyDescent="0.25">
      <c r="C34" s="102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103"/>
    </row>
    <row r="35" spans="3:41" x14ac:dyDescent="0.25">
      <c r="C35" s="102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103"/>
    </row>
    <row r="36" spans="3:41" x14ac:dyDescent="0.25">
      <c r="C36" s="102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103"/>
    </row>
    <row r="37" spans="3:41" x14ac:dyDescent="0.25">
      <c r="C37" s="102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103"/>
    </row>
    <row r="38" spans="3:41" x14ac:dyDescent="0.25">
      <c r="C38" s="102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103"/>
    </row>
    <row r="39" spans="3:41" x14ac:dyDescent="0.25">
      <c r="C39" s="102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103"/>
    </row>
    <row r="40" spans="3:41" x14ac:dyDescent="0.25">
      <c r="C40" s="102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103"/>
    </row>
    <row r="41" spans="3:41" x14ac:dyDescent="0.25">
      <c r="C41" s="102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103"/>
    </row>
    <row r="42" spans="3:41" x14ac:dyDescent="0.25">
      <c r="C42" s="102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103"/>
    </row>
    <row r="43" spans="3:41" x14ac:dyDescent="0.25">
      <c r="C43" s="102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103"/>
    </row>
    <row r="44" spans="3:41" x14ac:dyDescent="0.25">
      <c r="C44" s="102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103"/>
    </row>
    <row r="45" spans="3:41" x14ac:dyDescent="0.25">
      <c r="C45" s="102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103"/>
    </row>
    <row r="46" spans="3:41" x14ac:dyDescent="0.25">
      <c r="C46" s="102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103"/>
    </row>
    <row r="47" spans="3:41" ht="15.75" x14ac:dyDescent="0.25">
      <c r="C47" s="102"/>
      <c r="D47" s="372"/>
      <c r="E47" s="372"/>
      <c r="F47" s="131"/>
      <c r="G47" s="7"/>
      <c r="H47" s="7"/>
      <c r="I47" s="7"/>
      <c r="J47" s="7"/>
      <c r="K47" s="7"/>
      <c r="L47" s="7"/>
      <c r="M47" s="7"/>
      <c r="N47" s="7"/>
      <c r="O47" s="7"/>
      <c r="P47" s="344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103"/>
    </row>
    <row r="48" spans="3:41" x14ac:dyDescent="0.25">
      <c r="C48" s="102"/>
      <c r="D48" s="372"/>
      <c r="E48" s="372"/>
      <c r="F48" s="131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103"/>
    </row>
    <row r="49" spans="3:41" x14ac:dyDescent="0.25">
      <c r="C49" s="102"/>
      <c r="D49" s="372"/>
      <c r="E49" s="372"/>
      <c r="F49" s="131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103"/>
    </row>
    <row r="50" spans="3:41" x14ac:dyDescent="0.25">
      <c r="C50" s="102"/>
      <c r="D50" s="373"/>
      <c r="E50" s="372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103"/>
    </row>
    <row r="51" spans="3:41" x14ac:dyDescent="0.25">
      <c r="C51" s="102"/>
      <c r="D51" s="373"/>
      <c r="E51" s="372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103"/>
    </row>
    <row r="52" spans="3:41" x14ac:dyDescent="0.25">
      <c r="C52" s="102"/>
      <c r="D52" s="373"/>
      <c r="E52" s="372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103"/>
    </row>
    <row r="53" spans="3:41" x14ac:dyDescent="0.25">
      <c r="C53" s="102"/>
      <c r="D53" s="373"/>
      <c r="E53" s="372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103"/>
    </row>
    <row r="54" spans="3:41" x14ac:dyDescent="0.25">
      <c r="C54" s="102"/>
      <c r="D54" s="372"/>
      <c r="E54" s="372"/>
      <c r="F54" s="372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103"/>
    </row>
    <row r="55" spans="3:41" x14ac:dyDescent="0.25">
      <c r="C55" s="102"/>
      <c r="D55" s="372"/>
      <c r="E55" s="372"/>
      <c r="F55" s="372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103"/>
    </row>
    <row r="56" spans="3:41" x14ac:dyDescent="0.25">
      <c r="C56" s="102"/>
      <c r="D56" s="373"/>
      <c r="E56" s="372"/>
      <c r="F56" s="373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103"/>
    </row>
    <row r="57" spans="3:41" x14ac:dyDescent="0.25">
      <c r="C57" s="102"/>
      <c r="D57" s="373"/>
      <c r="E57" s="372"/>
      <c r="F57" s="373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103"/>
    </row>
    <row r="58" spans="3:41" x14ac:dyDescent="0.25">
      <c r="C58" s="102"/>
      <c r="D58" s="373"/>
      <c r="E58" s="372"/>
      <c r="F58" s="373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103"/>
    </row>
    <row r="59" spans="3:41" x14ac:dyDescent="0.25">
      <c r="C59" s="102"/>
      <c r="D59" s="373"/>
      <c r="E59" s="372"/>
      <c r="F59" s="373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103"/>
    </row>
    <row r="60" spans="3:41" x14ac:dyDescent="0.25">
      <c r="C60" s="102"/>
      <c r="D60" s="373"/>
      <c r="E60" s="372"/>
      <c r="F60" s="373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103"/>
    </row>
    <row r="61" spans="3:41" x14ac:dyDescent="0.25">
      <c r="C61" s="102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103"/>
    </row>
    <row r="62" spans="3:41" x14ac:dyDescent="0.25">
      <c r="C62" s="102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103"/>
    </row>
    <row r="63" spans="3:41" x14ac:dyDescent="0.25">
      <c r="C63" s="102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103"/>
    </row>
    <row r="64" spans="3:41" x14ac:dyDescent="0.25">
      <c r="C64" s="102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103"/>
    </row>
    <row r="65" spans="3:41" x14ac:dyDescent="0.25">
      <c r="C65" s="102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103"/>
    </row>
    <row r="66" spans="3:41" x14ac:dyDescent="0.25">
      <c r="C66" s="102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103"/>
    </row>
    <row r="67" spans="3:41" x14ac:dyDescent="0.25">
      <c r="C67" s="102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103"/>
    </row>
    <row r="68" spans="3:41" x14ac:dyDescent="0.25">
      <c r="C68" s="102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103"/>
    </row>
    <row r="69" spans="3:41" x14ac:dyDescent="0.25">
      <c r="C69" s="102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103"/>
    </row>
    <row r="70" spans="3:41" ht="15.75" thickBot="1" x14ac:dyDescent="0.3">
      <c r="C70" s="87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70"/>
    </row>
    <row r="71" spans="3:41" x14ac:dyDescent="0.25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72" spans="3:41" x14ac:dyDescent="0.25"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</row>
    <row r="73" spans="3:41" x14ac:dyDescent="0.25"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</row>
    <row r="74" spans="3:41" x14ac:dyDescent="0.25"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</row>
    <row r="75" spans="3:41" x14ac:dyDescent="0.25"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</row>
    <row r="76" spans="3:41" x14ac:dyDescent="0.25"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</row>
    <row r="77" spans="3:41" x14ac:dyDescent="0.25"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</row>
    <row r="78" spans="3:41" x14ac:dyDescent="0.25"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</row>
    <row r="79" spans="3:41" x14ac:dyDescent="0.25"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</row>
    <row r="80" spans="3:41" x14ac:dyDescent="0.25"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</row>
    <row r="81" spans="4:41" x14ac:dyDescent="0.25"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</row>
    <row r="82" spans="4:41" x14ac:dyDescent="0.25"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</row>
    <row r="83" spans="4:41" x14ac:dyDescent="0.25"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</row>
    <row r="84" spans="4:41" x14ac:dyDescent="0.25"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</row>
    <row r="85" spans="4:41" x14ac:dyDescent="0.25">
      <c r="AN85" s="7"/>
      <c r="AO85" s="7"/>
    </row>
    <row r="137" spans="17:17" x14ac:dyDescent="0.25">
      <c r="Q137" s="3" t="s">
        <v>49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I11"/>
  <sheetViews>
    <sheetView workbookViewId="0">
      <selection activeCell="I10" sqref="I10"/>
    </sheetView>
  </sheetViews>
  <sheetFormatPr baseColWidth="10" defaultRowHeight="15" x14ac:dyDescent="0.25"/>
  <sheetData>
    <row r="1" spans="1:9" x14ac:dyDescent="0.25">
      <c r="A1" t="s">
        <v>59</v>
      </c>
      <c r="F1" t="s">
        <v>250</v>
      </c>
      <c r="I1" t="s">
        <v>262</v>
      </c>
    </row>
    <row r="2" spans="1:9" x14ac:dyDescent="0.25">
      <c r="A2" t="s">
        <v>54</v>
      </c>
      <c r="F2" t="s">
        <v>251</v>
      </c>
      <c r="I2" t="s">
        <v>263</v>
      </c>
    </row>
    <row r="3" spans="1:9" x14ac:dyDescent="0.25">
      <c r="A3" t="s">
        <v>26</v>
      </c>
      <c r="F3" t="s">
        <v>273</v>
      </c>
      <c r="I3" t="s">
        <v>264</v>
      </c>
    </row>
    <row r="4" spans="1:9" x14ac:dyDescent="0.25">
      <c r="A4" t="s">
        <v>27</v>
      </c>
      <c r="F4" t="s">
        <v>252</v>
      </c>
      <c r="I4" t="s">
        <v>265</v>
      </c>
    </row>
    <row r="5" spans="1:9" x14ac:dyDescent="0.25">
      <c r="A5" t="s">
        <v>43</v>
      </c>
      <c r="F5" t="s">
        <v>253</v>
      </c>
      <c r="I5" t="s">
        <v>266</v>
      </c>
    </row>
    <row r="6" spans="1:9" x14ac:dyDescent="0.25">
      <c r="A6" t="s">
        <v>53</v>
      </c>
      <c r="I6" t="s">
        <v>267</v>
      </c>
    </row>
    <row r="7" spans="1:9" ht="15.75" x14ac:dyDescent="0.25">
      <c r="A7" s="1" t="s">
        <v>35</v>
      </c>
      <c r="I7" t="s">
        <v>268</v>
      </c>
    </row>
    <row r="8" spans="1:9" ht="15.75" x14ac:dyDescent="0.25">
      <c r="A8" s="1" t="s">
        <v>37</v>
      </c>
      <c r="I8" t="s">
        <v>280</v>
      </c>
    </row>
    <row r="9" spans="1:9" x14ac:dyDescent="0.25">
      <c r="A9" t="s">
        <v>56</v>
      </c>
      <c r="I9" t="s">
        <v>281</v>
      </c>
    </row>
    <row r="10" spans="1:9" ht="15.75" x14ac:dyDescent="0.25">
      <c r="A10" s="1" t="s">
        <v>40</v>
      </c>
    </row>
    <row r="11" spans="1:9" ht="15.75" x14ac:dyDescent="0.25">
      <c r="A11" s="316" t="s">
        <v>211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45</vt:i4>
      </vt:variant>
    </vt:vector>
  </HeadingPairs>
  <TitlesOfParts>
    <vt:vector size="45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Sources</vt:lpstr>
      <vt:lpstr>Pools</vt:lpstr>
      <vt:lpstr>Distributor</vt:lpstr>
      <vt:lpstr>CC-MEA</vt:lpstr>
      <vt:lpstr>CC-MEA (2)</vt:lpstr>
      <vt:lpstr>CC-OXY1</vt:lpstr>
      <vt:lpstr>CC--OXY3</vt:lpstr>
      <vt:lpstr>DAC</vt:lpstr>
      <vt:lpstr>DAC (2)</vt:lpstr>
      <vt:lpstr>CO2-COMP</vt:lpstr>
      <vt:lpstr>AEL</vt:lpstr>
      <vt:lpstr>SOEL</vt:lpstr>
      <vt:lpstr>H2-COMP</vt:lpstr>
      <vt:lpstr>HP AEL</vt:lpstr>
      <vt:lpstr>HP PEM</vt:lpstr>
      <vt:lpstr>H2-COMP2</vt:lpstr>
      <vt:lpstr>MEOH1</vt:lpstr>
      <vt:lpstr>MEOH2</vt:lpstr>
      <vt:lpstr>MEOH3</vt:lpstr>
      <vt:lpstr>FURNACE</vt:lpstr>
      <vt:lpstr>PSA</vt:lpstr>
      <vt:lpstr>VACP</vt:lpstr>
      <vt:lpstr>SMR1</vt:lpstr>
      <vt:lpstr>SMR2</vt:lpstr>
      <vt:lpstr>SMR-PSA</vt:lpstr>
      <vt:lpstr>SMR-COMP</vt:lpstr>
      <vt:lpstr>ATR1</vt:lpstr>
      <vt:lpstr>ATR2</vt:lpstr>
      <vt:lpstr>ATR-SEL</vt:lpstr>
      <vt:lpstr>ATR-COMP</vt:lpstr>
      <vt:lpstr>TRI1</vt:lpstr>
      <vt:lpstr>TRI2</vt:lpstr>
      <vt:lpstr>TRI-SEL</vt:lpstr>
      <vt:lpstr>TRI-COMP</vt:lpstr>
      <vt:lpstr>SynFeed COMP</vt:lpstr>
      <vt:lpstr>H2O-PUR</vt:lpstr>
      <vt:lpstr>CCP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Kenkel, Philipp</cp:lastModifiedBy>
  <dcterms:created xsi:type="dcterms:W3CDTF">2020-07-30T12:51:03Z</dcterms:created>
  <dcterms:modified xsi:type="dcterms:W3CDTF">2022-10-13T11:30:05Z</dcterms:modified>
</cp:coreProperties>
</file>