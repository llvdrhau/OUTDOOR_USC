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wbkeph\Desktop\OUTDOOR - Kopie\examples\"/>
    </mc:Choice>
  </mc:AlternateContent>
  <xr:revisionPtr revIDLastSave="0" documentId="13_ncr:1_{B1F57F75-E382-4A2E-AA4B-8D57B2D8AC0B}" xr6:coauthVersionLast="47" xr6:coauthVersionMax="47" xr10:uidLastSave="{00000000-0000-0000-0000-000000000000}"/>
  <bookViews>
    <workbookView xWindow="3765" yWindow="2775" windowWidth="21600" windowHeight="11385" tabRatio="609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15" l="1"/>
  <c r="G12" i="115"/>
  <c r="H12" i="115"/>
  <c r="I12" i="115"/>
  <c r="J12" i="115"/>
  <c r="K12" i="115"/>
  <c r="L12" i="115"/>
  <c r="M12" i="115"/>
  <c r="N12" i="115"/>
  <c r="O12" i="115"/>
  <c r="E12" i="115"/>
</calcChain>
</file>

<file path=xl/sharedStrings.xml><?xml version="1.0" encoding="utf-8"?>
<sst xmlns="http://schemas.openxmlformats.org/spreadsheetml/2006/main" count="987" uniqueCount="224">
  <si>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</si>
  <si>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</si>
  <si>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</si>
  <si>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</si>
  <si>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</si>
  <si>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</si>
  <si>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</si>
  <si>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</si>
  <si>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</si>
  <si>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</si>
  <si>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</si>
  <si>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</si>
  <si>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</si>
  <si>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</si>
  <si>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</si>
  <si>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</si>
  <si>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</si>
  <si>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</si>
  <si>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</si>
  <si>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</si>
  <si>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</si>
  <si>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</si>
  <si>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</si>
  <si>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</si>
  <si>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</si>
  <si>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</si>
  <si>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</si>
  <si>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</si>
  <si>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</si>
  <si>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MEA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</si>
  <si>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</si>
  <si>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</si>
  <si>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</si>
  <si>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</si>
  <si>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</si>
  <si>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</si>
  <si>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</si>
  <si>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</si>
  <si>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</si>
  <si>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</si>
  <si>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</si>
  <si>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</si>
  <si>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</si>
  <si>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</si>
  <si>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</si>
  <si>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</si>
  <si>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</si>
  <si>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</si>
  <si>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</si>
  <si>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</si>
  <si>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</si>
  <si>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</si>
  <si>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</si>
  <si>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</si>
  <si>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</si>
  <si>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</si>
  <si>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</si>
  <si>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</si>
  <si>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</si>
  <si>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</si>
  <si>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</si>
  <si>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</si>
  <si>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</si>
  <si>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</si>
  <si>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</si>
  <si>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</si>
  <si>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</si>
  <si>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</si>
  <si>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</si>
  <si>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</si>
  <si>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</si>
  <si>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</si>
  <si>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</si>
  <si>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</si>
  <si>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</si>
  <si>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</si>
  <si>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</si>
  <si>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</si>
  <si>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</si>
  <si>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</si>
  <si>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</si>
  <si>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</si>
  <si>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</si>
  <si>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</si>
  <si>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</si>
  <si>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</si>
  <si>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</si>
  <si>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</si>
  <si>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</si>
  <si>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</si>
  <si>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</si>
  <si>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</si>
  <si>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</si>
  <si>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</si>
  <si>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</si>
  <si>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</si>
  <si>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</si>
  <si>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</si>
  <si>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</si>
  <si>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</si>
  <si>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</si>
  <si>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</si>
  <si>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</si>
  <si>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</si>
  <si>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</si>
  <si>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</si>
  <si>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</si>
  <si>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</si>
  <si>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</si>
  <si>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</si>
  <si>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</si>
  <si>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</si>
  <si>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</si>
  <si>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</si>
  <si>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</si>
  <si>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</si>
  <si>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</si>
  <si>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</si>
  <si>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</si>
  <si>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</si>
  <si>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</si>
  <si>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</si>
  <si>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</si>
  <si>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</si>
  <si>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</si>
  <si>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</si>
  <si>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</si>
  <si>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</si>
  <si>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</si>
  <si>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</si>
  <si>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</si>
  <si>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</si>
  <si>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</si>
  <si>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</si>
  <si>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</si>
  <si>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</si>
  <si>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</si>
  <si>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</si>
  <si>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</si>
  <si>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</si>
  <si>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</si>
  <si>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</si>
  <si>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</si>
  <si>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</si>
  <si>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</si>
  <si>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</si>
  <si>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</si>
  <si>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</si>
  <si>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</si>
  <si>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</si>
  <si>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</si>
  <si>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</si>
  <si>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</si>
  <si>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</si>
  <si>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</si>
  <si>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</si>
  <si>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</si>
  <si>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</si>
  <si>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</si>
  <si>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</si>
  <si>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</si>
  <si>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</si>
  <si>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</si>
  <si>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</si>
  <si>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</si>
  <si>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</si>
  <si>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</si>
  <si>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</si>
  <si>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</si>
  <si>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</si>
  <si>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</si>
  <si>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</si>
  <si>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</si>
  <si>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</si>
  <si>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Fresh water factor</t>
  </si>
  <si>
    <t>FIN_CP</t>
  </si>
  <si>
    <t>FOUT_CP</t>
  </si>
  <si>
    <t>Inert Component</t>
  </si>
  <si>
    <t xml:space="preserve">O&amp;M Factor 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</si>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</sst>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86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16" fillId="5" borderId="0" xfId="1" applyFont="1" applyFill="1" applyAlignment="1" applyProtection="1">
      <alignment vertic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topLeftCell="G1" zoomScale="53" zoomScaleNormal="40" workbookViewId="0">
      <selection activeCell="T6" sqref="T6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17.42578125" style="2" customWidth="1"/>
    <col min="4" max="4" width="13.85546875" style="2" customWidth="1"/>
    <col min="5" max="6" width="21.28515625" style="2" customWidth="1"/>
    <col min="7" max="7" width="17.7109375" style="2" customWidth="1"/>
    <col min="8" max="8" width="23.28515625" style="2" customWidth="1"/>
    <col min="9" max="9" width="18.4257812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25.7109375" style="2" bestFit="1" customWidth="1"/>
    <col min="16" max="16" width="19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3">
      <c r="A3" s="38"/>
      <c r="B3" s="305" t="s">
        <v>55</v>
      </c>
      <c r="C3" s="306"/>
      <c r="D3" s="14"/>
      <c r="E3" s="316" t="s">
        <v>58</v>
      </c>
      <c r="F3" s="317"/>
      <c r="G3" s="317"/>
      <c r="H3" s="317"/>
      <c r="I3" s="317"/>
      <c r="J3" s="318"/>
      <c r="K3" s="33"/>
      <c r="L3" s="14"/>
      <c r="M3" s="14"/>
      <c r="N3" s="307" t="s">
        <v>64</v>
      </c>
      <c r="O3" s="308"/>
      <c r="P3" s="309"/>
      <c r="Q3" s="14"/>
      <c r="R3" s="14"/>
      <c r="S3" s="310" t="s">
        <v>70</v>
      </c>
      <c r="T3" s="311"/>
      <c r="U3" s="311"/>
      <c r="V3" s="312"/>
      <c r="W3" s="14"/>
      <c r="X3" s="14"/>
      <c r="Y3" s="14"/>
      <c r="Z3" s="37"/>
      <c r="AA3" s="14"/>
      <c r="AB3" s="14"/>
      <c r="AC3" s="14"/>
    </row>
    <row r="4" spans="1:29" ht="107.1" customHeight="1" thickBot="1" x14ac:dyDescent="0.3">
      <c r="A4" s="38"/>
      <c r="B4" s="279" t="s">
        <v>56</v>
      </c>
      <c r="C4" s="280" t="s">
        <v>0</v>
      </c>
      <c r="D4" s="14"/>
      <c r="E4" s="275" t="s">
        <v>59</v>
      </c>
      <c r="F4" s="276" t="s">
        <v>60</v>
      </c>
      <c r="G4" s="277" t="s">
        <v>61</v>
      </c>
      <c r="H4" s="277" t="s">
        <v>62</v>
      </c>
      <c r="I4" s="277" t="s">
        <v>63</v>
      </c>
      <c r="J4" s="278"/>
      <c r="K4" s="14"/>
      <c r="L4" s="32"/>
      <c r="M4" s="32"/>
      <c r="N4" s="47" t="s">
        <v>65</v>
      </c>
      <c r="O4" s="48" t="s">
        <v>67</v>
      </c>
      <c r="P4" s="47" t="s">
        <v>66</v>
      </c>
      <c r="Q4" s="14"/>
      <c r="R4" s="14"/>
      <c r="S4" s="254" t="s">
        <v>79</v>
      </c>
      <c r="T4" s="254" t="s">
        <v>78</v>
      </c>
      <c r="U4" s="255" t="s">
        <v>80</v>
      </c>
      <c r="V4" s="255" t="s">
        <v>170</v>
      </c>
      <c r="W4" s="14"/>
      <c r="X4" s="14"/>
      <c r="Z4" s="37"/>
      <c r="AA4" s="14"/>
      <c r="AB4" s="14"/>
      <c r="AC4" s="14"/>
    </row>
    <row r="5" spans="1:29" ht="18.75" x14ac:dyDescent="0.3">
      <c r="A5" s="63"/>
      <c r="B5" s="26" t="s">
        <v>53</v>
      </c>
      <c r="C5" s="28" t="s">
        <v>123</v>
      </c>
      <c r="D5" s="14"/>
      <c r="E5" s="24" t="s">
        <v>25</v>
      </c>
      <c r="F5" s="44">
        <v>2.8088000000000002</v>
      </c>
      <c r="G5" s="45">
        <v>1.054</v>
      </c>
      <c r="H5" s="44">
        <v>28</v>
      </c>
      <c r="I5" s="44">
        <v>1.57</v>
      </c>
      <c r="J5" s="37"/>
      <c r="K5" s="14"/>
      <c r="L5" s="14"/>
      <c r="M5" s="14"/>
      <c r="N5" s="49">
        <v>1</v>
      </c>
      <c r="O5" s="50" t="s">
        <v>68</v>
      </c>
      <c r="P5" s="28" t="s">
        <v>26</v>
      </c>
      <c r="Q5" s="14"/>
      <c r="R5" s="14"/>
      <c r="S5" s="20" t="s">
        <v>33</v>
      </c>
      <c r="T5" s="43">
        <v>87</v>
      </c>
      <c r="U5" s="43">
        <v>1.4E-2</v>
      </c>
      <c r="V5" s="256"/>
      <c r="W5" s="14"/>
      <c r="X5" s="14"/>
      <c r="Y5" s="14"/>
      <c r="Z5" s="37"/>
      <c r="AA5" s="14"/>
      <c r="AB5" s="14"/>
      <c r="AC5" s="14"/>
    </row>
    <row r="6" spans="1:29" ht="18.75" x14ac:dyDescent="0.3">
      <c r="A6" s="38"/>
      <c r="B6" s="24" t="s">
        <v>54</v>
      </c>
      <c r="C6" s="30" t="s">
        <v>124</v>
      </c>
      <c r="D6" s="14"/>
      <c r="E6" s="24" t="s">
        <v>27</v>
      </c>
      <c r="F6" s="44"/>
      <c r="G6" s="45">
        <v>0.97799999999999998</v>
      </c>
      <c r="H6" s="44">
        <v>44</v>
      </c>
      <c r="I6" s="44">
        <v>1</v>
      </c>
      <c r="J6" s="37"/>
      <c r="K6" s="14"/>
      <c r="L6" s="14"/>
      <c r="M6" s="14"/>
      <c r="N6" s="51">
        <v>2</v>
      </c>
      <c r="O6" s="52" t="s">
        <v>69</v>
      </c>
      <c r="P6" s="30" t="s">
        <v>28</v>
      </c>
      <c r="Q6" s="14"/>
      <c r="R6" s="14"/>
      <c r="S6" s="24" t="s">
        <v>34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.5" thickBot="1" x14ac:dyDescent="0.35">
      <c r="A7" s="38"/>
      <c r="B7" s="281" t="s">
        <v>187</v>
      </c>
      <c r="C7" s="282" t="s">
        <v>185</v>
      </c>
      <c r="D7" s="14"/>
      <c r="E7" s="24" t="s">
        <v>28</v>
      </c>
      <c r="F7" s="44">
        <v>33.33</v>
      </c>
      <c r="G7" s="45">
        <v>14.5</v>
      </c>
      <c r="H7" s="44">
        <v>2</v>
      </c>
      <c r="I7" s="44"/>
      <c r="J7" s="37"/>
      <c r="K7" s="14"/>
      <c r="L7" s="14"/>
      <c r="M7" s="14"/>
      <c r="N7" s="51">
        <v>3</v>
      </c>
      <c r="O7" s="52" t="s">
        <v>156</v>
      </c>
      <c r="P7" s="30" t="s">
        <v>25</v>
      </c>
      <c r="Q7" s="14"/>
      <c r="R7" s="14"/>
      <c r="S7" s="25" t="s">
        <v>169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75" x14ac:dyDescent="0.3">
      <c r="A8" s="38"/>
      <c r="B8" s="21" t="s">
        <v>21</v>
      </c>
      <c r="C8" s="30" t="s">
        <v>155</v>
      </c>
      <c r="D8" s="14"/>
      <c r="E8" s="24" t="s">
        <v>26</v>
      </c>
      <c r="F8" s="44"/>
      <c r="G8" s="45">
        <v>4.2</v>
      </c>
      <c r="H8" s="44">
        <v>18</v>
      </c>
      <c r="I8" s="44"/>
      <c r="J8" s="37"/>
      <c r="K8" s="14"/>
      <c r="L8" s="14"/>
      <c r="M8" s="14"/>
      <c r="N8" s="51"/>
      <c r="O8" s="52"/>
      <c r="P8" s="30"/>
      <c r="Q8" s="14"/>
      <c r="R8" s="14"/>
      <c r="S8" s="59"/>
      <c r="T8" s="35"/>
      <c r="U8" s="35"/>
      <c r="V8" s="256"/>
      <c r="W8" s="14"/>
      <c r="X8" s="14"/>
      <c r="Y8" s="14"/>
      <c r="Z8" s="37"/>
      <c r="AA8" s="14"/>
      <c r="AB8" s="14"/>
      <c r="AC8" s="14"/>
    </row>
    <row r="9" spans="1:29" ht="19.5" thickBot="1" x14ac:dyDescent="0.35">
      <c r="A9" s="38"/>
      <c r="B9" s="21" t="s">
        <v>32</v>
      </c>
      <c r="C9" s="30">
        <v>5000</v>
      </c>
      <c r="D9" s="14"/>
      <c r="E9" s="24" t="s">
        <v>40</v>
      </c>
      <c r="F9" s="44">
        <v>5.54</v>
      </c>
      <c r="G9" s="45">
        <v>1.6339999999999999</v>
      </c>
      <c r="H9" s="44">
        <v>32</v>
      </c>
      <c r="I9" s="44"/>
      <c r="J9" s="37"/>
      <c r="K9" s="14"/>
      <c r="L9" s="14"/>
      <c r="M9" s="14"/>
      <c r="N9" s="53"/>
      <c r="O9" s="19"/>
      <c r="P9" s="54"/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8.75" x14ac:dyDescent="0.3">
      <c r="A10" s="38"/>
      <c r="B10" s="20" t="s">
        <v>24</v>
      </c>
      <c r="C10" s="28">
        <v>8000</v>
      </c>
      <c r="D10" s="14"/>
      <c r="E10" s="24" t="s">
        <v>31</v>
      </c>
      <c r="F10" s="44"/>
      <c r="G10" s="45">
        <v>1.0489999999999999</v>
      </c>
      <c r="H10" s="44">
        <v>28</v>
      </c>
      <c r="I10" s="44"/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75" x14ac:dyDescent="0.3">
      <c r="A11" s="38"/>
      <c r="B11" s="21" t="s">
        <v>57</v>
      </c>
      <c r="C11" s="30">
        <v>2018</v>
      </c>
      <c r="D11" s="14"/>
      <c r="E11" s="24" t="s">
        <v>6</v>
      </c>
      <c r="F11" s="44"/>
      <c r="G11" s="45">
        <v>0.95599999999999996</v>
      </c>
      <c r="H11" s="44">
        <v>32</v>
      </c>
      <c r="I11" s="44"/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.5" thickBot="1" x14ac:dyDescent="0.35">
      <c r="A12" s="38"/>
      <c r="B12" s="21" t="s">
        <v>188</v>
      </c>
      <c r="C12" s="30">
        <v>0.05</v>
      </c>
      <c r="D12" s="14"/>
      <c r="E12" s="63"/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42.75" thickBot="1" x14ac:dyDescent="0.35">
      <c r="A13" s="38"/>
      <c r="B13" s="23" t="s">
        <v>189</v>
      </c>
      <c r="C13" s="30" t="s">
        <v>171</v>
      </c>
      <c r="D13" s="14"/>
      <c r="E13" s="24"/>
      <c r="F13" s="44"/>
      <c r="G13" s="45"/>
      <c r="H13" s="44"/>
      <c r="I13" s="44"/>
      <c r="J13" s="37"/>
      <c r="K13" s="14"/>
      <c r="L13" s="14"/>
      <c r="M13" s="14"/>
      <c r="N13" s="53"/>
      <c r="O13" s="19"/>
      <c r="P13" s="54"/>
      <c r="Q13" s="14"/>
      <c r="R13" s="14"/>
      <c r="S13" s="60" t="s">
        <v>71</v>
      </c>
      <c r="T13" s="61" t="s">
        <v>77</v>
      </c>
      <c r="U13" s="62" t="s">
        <v>78</v>
      </c>
      <c r="V13" s="60"/>
      <c r="W13" s="14"/>
      <c r="X13" s="14"/>
      <c r="Y13" s="14"/>
      <c r="Z13" s="37"/>
      <c r="AA13" s="14"/>
      <c r="AB13" s="14"/>
      <c r="AC13" s="14"/>
    </row>
    <row r="14" spans="1:29" ht="19.5" thickBot="1" x14ac:dyDescent="0.35">
      <c r="A14" s="38"/>
      <c r="B14" s="27" t="s">
        <v>178</v>
      </c>
      <c r="C14" s="29">
        <v>0.04</v>
      </c>
      <c r="D14" s="14"/>
      <c r="E14" s="24"/>
      <c r="F14" s="44"/>
      <c r="G14" s="45"/>
      <c r="H14" s="44"/>
      <c r="I14" s="44"/>
      <c r="J14" s="37"/>
      <c r="K14" s="14"/>
      <c r="L14" s="14"/>
      <c r="M14" s="14"/>
      <c r="N14" s="53"/>
      <c r="O14" s="19"/>
      <c r="P14" s="54"/>
      <c r="Q14" s="14"/>
      <c r="R14" s="14"/>
      <c r="S14" s="26" t="s">
        <v>72</v>
      </c>
      <c r="T14" s="43">
        <v>600</v>
      </c>
      <c r="U14" s="28">
        <v>34</v>
      </c>
      <c r="V14" s="256"/>
      <c r="W14" s="14"/>
      <c r="X14" s="14"/>
      <c r="Y14" s="14"/>
      <c r="Z14" s="37"/>
      <c r="AA14" s="14"/>
      <c r="AB14" s="14"/>
      <c r="AC14" s="14"/>
    </row>
    <row r="15" spans="1:29" ht="18.75" x14ac:dyDescent="0.3">
      <c r="A15" s="38"/>
      <c r="B15" s="26" t="s">
        <v>130</v>
      </c>
      <c r="C15" s="28" t="s">
        <v>131</v>
      </c>
      <c r="D15" s="14"/>
      <c r="E15" s="24"/>
      <c r="F15" s="44"/>
      <c r="G15" s="45"/>
      <c r="H15" s="44"/>
      <c r="I15" s="44"/>
      <c r="J15" s="37"/>
      <c r="K15" s="14"/>
      <c r="L15" s="14"/>
      <c r="M15" s="14"/>
      <c r="N15" s="53"/>
      <c r="O15" s="19"/>
      <c r="P15" s="54"/>
      <c r="Q15" s="14"/>
      <c r="R15" s="14"/>
      <c r="S15" s="24" t="s">
        <v>73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75" x14ac:dyDescent="0.3">
      <c r="A16" s="38"/>
      <c r="B16" s="182" t="s">
        <v>132</v>
      </c>
      <c r="C16" s="183">
        <v>2.5</v>
      </c>
      <c r="D16" s="14"/>
      <c r="E16" s="24"/>
      <c r="F16" s="44"/>
      <c r="G16" s="45"/>
      <c r="H16" s="44"/>
      <c r="I16" s="4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74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75" x14ac:dyDescent="0.3">
      <c r="A17" s="64"/>
      <c r="B17" s="24" t="s">
        <v>133</v>
      </c>
      <c r="C17" s="30">
        <v>450</v>
      </c>
      <c r="D17" s="14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75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8"/>
      <c r="B18" s="24" t="s">
        <v>86</v>
      </c>
      <c r="C18" s="30">
        <v>15</v>
      </c>
      <c r="D18" s="14"/>
      <c r="E18" s="24"/>
      <c r="F18" s="44"/>
      <c r="G18" s="45"/>
      <c r="H18" s="44"/>
      <c r="I18" s="44"/>
      <c r="J18" s="253"/>
      <c r="K18" s="14"/>
      <c r="L18" s="14"/>
      <c r="M18" s="14"/>
      <c r="N18" s="25"/>
      <c r="O18" s="55"/>
      <c r="P18" s="56"/>
      <c r="Q18" s="8"/>
      <c r="R18" s="57"/>
      <c r="S18" s="25" t="s">
        <v>76</v>
      </c>
      <c r="T18" s="46">
        <v>15</v>
      </c>
      <c r="U18" s="29">
        <v>0.22</v>
      </c>
      <c r="V18" s="56"/>
      <c r="W18" s="319"/>
      <c r="X18" s="319"/>
      <c r="Y18" s="319"/>
      <c r="Z18" s="320"/>
      <c r="AA18" s="14"/>
      <c r="AB18" s="14"/>
      <c r="AC18" s="14"/>
    </row>
    <row r="19" spans="1:29" ht="18.75" x14ac:dyDescent="0.3">
      <c r="A19" s="38"/>
      <c r="B19" s="24" t="s">
        <v>134</v>
      </c>
      <c r="C19" s="30">
        <v>75</v>
      </c>
      <c r="D19" s="14"/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314"/>
      <c r="Z19" s="315"/>
      <c r="AA19" s="14"/>
      <c r="AB19" s="14"/>
      <c r="AC19" s="14"/>
    </row>
    <row r="20" spans="1:29" ht="19.5" thickBot="1" x14ac:dyDescent="0.35">
      <c r="A20" s="38"/>
      <c r="B20" s="25" t="s">
        <v>135</v>
      </c>
      <c r="C20" s="29">
        <v>130</v>
      </c>
      <c r="D20" s="14"/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14"/>
      <c r="Z20" s="315"/>
      <c r="AA20" s="14"/>
      <c r="AB20" s="14"/>
      <c r="AC20" s="14"/>
    </row>
    <row r="21" spans="1:29" ht="18.75" x14ac:dyDescent="0.3">
      <c r="A21" s="38"/>
      <c r="B21" s="14"/>
      <c r="C21" s="14"/>
      <c r="D21" s="14"/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14"/>
      <c r="Z21" s="315"/>
      <c r="AA21" s="14"/>
      <c r="AB21" s="14"/>
      <c r="AC21" s="14"/>
    </row>
    <row r="22" spans="1:29" ht="18.75" x14ac:dyDescent="0.3">
      <c r="A22" s="38"/>
      <c r="B22" s="14"/>
      <c r="C22" s="14"/>
      <c r="D22" s="14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14"/>
      <c r="Z22" s="315"/>
      <c r="AA22" s="14"/>
      <c r="AB22" s="14"/>
      <c r="AC22" s="14"/>
    </row>
    <row r="23" spans="1:29" ht="18.75" x14ac:dyDescent="0.3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313"/>
      <c r="U23" s="313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.5" thickBot="1" x14ac:dyDescent="0.3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75" thickBot="1" x14ac:dyDescent="0.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302" t="s">
        <v>190</v>
      </c>
      <c r="O30" s="303"/>
      <c r="P30" s="304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75" thickBot="1" x14ac:dyDescent="0.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286" t="s">
        <v>191</v>
      </c>
      <c r="O31" s="286" t="s">
        <v>192</v>
      </c>
      <c r="P31" s="286" t="s">
        <v>193</v>
      </c>
      <c r="Q31" s="14"/>
      <c r="R31" s="14"/>
      <c r="S31" s="302" t="s">
        <v>197</v>
      </c>
      <c r="T31" s="303"/>
      <c r="U31" s="303"/>
      <c r="V31" s="303"/>
      <c r="W31" s="304"/>
      <c r="X31" s="14"/>
      <c r="Y31" s="14"/>
      <c r="Z31" s="37"/>
      <c r="AA31" s="14"/>
      <c r="AB31" s="14"/>
      <c r="AC31" s="14"/>
    </row>
    <row r="32" spans="1:29" ht="21.75" thickBot="1" x14ac:dyDescent="0.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124</v>
      </c>
      <c r="O32" s="287">
        <v>0.55000000000000004</v>
      </c>
      <c r="P32" s="256">
        <v>325</v>
      </c>
      <c r="Q32" s="14"/>
      <c r="R32" s="14"/>
      <c r="S32" s="288" t="s">
        <v>198</v>
      </c>
      <c r="T32" s="288" t="s">
        <v>199</v>
      </c>
      <c r="U32" s="288" t="s">
        <v>200</v>
      </c>
      <c r="V32" s="288" t="s">
        <v>201</v>
      </c>
      <c r="W32" s="289" t="s">
        <v>202</v>
      </c>
      <c r="X32" s="14"/>
      <c r="Y32" s="14"/>
      <c r="Z32" s="37"/>
      <c r="AA32" s="14"/>
      <c r="AB32" s="14"/>
      <c r="AC32" s="14"/>
    </row>
    <row r="33" spans="1:29" ht="18.75" x14ac:dyDescent="0.3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205</v>
      </c>
      <c r="O33" s="19">
        <v>0.27</v>
      </c>
      <c r="P33" s="54">
        <v>0.58599999999999997</v>
      </c>
      <c r="Q33" s="14"/>
      <c r="R33" s="14"/>
      <c r="S33" s="26" t="s">
        <v>221</v>
      </c>
      <c r="T33" s="297">
        <v>5000</v>
      </c>
      <c r="U33" s="287">
        <v>10</v>
      </c>
      <c r="V33" s="287">
        <v>50</v>
      </c>
      <c r="W33" s="256">
        <v>3</v>
      </c>
      <c r="X33" s="14"/>
      <c r="Y33" s="14"/>
      <c r="Z33" s="37"/>
      <c r="AA33" s="14"/>
      <c r="AB33" s="14"/>
      <c r="AC33" s="14"/>
    </row>
    <row r="34" spans="1:29" ht="19.5" thickBot="1" x14ac:dyDescent="0.3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194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75" x14ac:dyDescent="0.3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3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283"/>
      <c r="O36" s="285"/>
      <c r="P36" s="284"/>
      <c r="Q36" s="285"/>
      <c r="R36" s="28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75" x14ac:dyDescent="0.3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.5" thickBot="1" x14ac:dyDescent="0.35">
      <c r="A38" s="38"/>
      <c r="B38" s="14"/>
      <c r="C38" s="14"/>
      <c r="D38" s="14"/>
      <c r="E38" s="39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301" t="s">
        <v>39</v>
      </c>
      <c r="AC38" s="14"/>
    </row>
    <row r="39" spans="1:29" ht="18.75" x14ac:dyDescent="0.3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75" x14ac:dyDescent="0.3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27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.5" thickBot="1" x14ac:dyDescent="0.3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1" t="s">
        <v>39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 t="s">
        <v>47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25">
      <c r="A72" s="2" t="s">
        <v>39</v>
      </c>
    </row>
    <row r="79" spans="1:29" x14ac:dyDescent="0.25">
      <c r="V79" s="2" t="s">
        <v>39</v>
      </c>
    </row>
  </sheetData>
  <mergeCells count="12">
    <mergeCell ref="Y20:Z20"/>
    <mergeCell ref="Y21:Z21"/>
    <mergeCell ref="Y22:Z22"/>
    <mergeCell ref="E3:J3"/>
    <mergeCell ref="W18:Z18"/>
    <mergeCell ref="Y19:Z19"/>
    <mergeCell ref="N30:P30"/>
    <mergeCell ref="S31:W31"/>
    <mergeCell ref="B3:C3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C13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982ADF77-772D-DE45-81AF-C4B379E4B3FF}">
          <x14:formula1>
            <xm:f>DataBank!$I$9:$I$11</xm:f>
          </x14:formula1>
          <xm:sqref>C6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C8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2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25"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21" t="s">
        <v>8</v>
      </c>
      <c r="AI8" s="322"/>
      <c r="AJ8" s="323"/>
      <c r="AK8" s="106"/>
      <c r="AL8" s="321" t="s">
        <v>9</v>
      </c>
      <c r="AM8" s="322"/>
      <c r="AN8" s="323"/>
      <c r="AO8" s="92"/>
    </row>
    <row r="9" spans="3:41" ht="21.75" thickBot="1" x14ac:dyDescent="0.4"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110" t="s">
        <v>140</v>
      </c>
      <c r="X9" s="294" t="s">
        <v>215</v>
      </c>
      <c r="Y9" s="294" t="s">
        <v>216</v>
      </c>
      <c r="Z9" s="295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11"/>
      <c r="AH9" s="180" t="s">
        <v>59</v>
      </c>
      <c r="AI9" s="180" t="s">
        <v>125</v>
      </c>
      <c r="AJ9" s="180" t="s">
        <v>0</v>
      </c>
      <c r="AK9" s="104"/>
      <c r="AL9" s="180" t="s">
        <v>125</v>
      </c>
      <c r="AM9" s="180" t="s">
        <v>126</v>
      </c>
      <c r="AN9" s="180" t="s">
        <v>127</v>
      </c>
      <c r="AO9" s="92"/>
    </row>
    <row r="10" spans="3:41" ht="18.75" x14ac:dyDescent="0.3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75" x14ac:dyDescent="0.3">
      <c r="C11" s="91"/>
      <c r="D11" s="70" t="s">
        <v>3</v>
      </c>
      <c r="E11" s="129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75" x14ac:dyDescent="0.3">
      <c r="C12" s="91"/>
      <c r="D12" s="70" t="s">
        <v>71</v>
      </c>
      <c r="E12" s="296" t="s">
        <v>37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75" x14ac:dyDescent="0.3">
      <c r="C13" s="91"/>
      <c r="D13" s="70" t="s">
        <v>85</v>
      </c>
      <c r="E13" s="129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75" x14ac:dyDescent="0.3">
      <c r="C14" s="91"/>
      <c r="D14" s="70" t="s">
        <v>86</v>
      </c>
      <c r="E14" s="71">
        <v>25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75" x14ac:dyDescent="0.3">
      <c r="C15" s="91"/>
      <c r="D15" s="70" t="s">
        <v>87</v>
      </c>
      <c r="E15" s="71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75" x14ac:dyDescent="0.3">
      <c r="C16" s="91"/>
      <c r="D16" s="70" t="s">
        <v>88</v>
      </c>
      <c r="E16" s="71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75" x14ac:dyDescent="0.3"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75" x14ac:dyDescent="0.3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75" x14ac:dyDescent="0.3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75" x14ac:dyDescent="0.3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75" x14ac:dyDescent="0.3">
      <c r="C21" s="91"/>
      <c r="D21" s="72" t="s">
        <v>93</v>
      </c>
      <c r="E21" s="181" t="s">
        <v>128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75" x14ac:dyDescent="0.3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75" x14ac:dyDescent="0.3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75" x14ac:dyDescent="0.3">
      <c r="C24" s="91"/>
      <c r="D24" s="157" t="s">
        <v>118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75" x14ac:dyDescent="0.3">
      <c r="C25" s="91"/>
      <c r="D25" s="157" t="s">
        <v>119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75" x14ac:dyDescent="0.3">
      <c r="C26" s="91"/>
      <c r="D26" s="158" t="s">
        <v>122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.5" thickBot="1" x14ac:dyDescent="0.3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75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75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75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2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2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2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25">
      <c r="R130" s="3" t="s">
        <v>39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2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25"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21" t="s">
        <v>8</v>
      </c>
      <c r="AI8" s="322"/>
      <c r="AJ8" s="323"/>
      <c r="AK8" s="106"/>
      <c r="AL8" s="321" t="s">
        <v>9</v>
      </c>
      <c r="AM8" s="322"/>
      <c r="AN8" s="323"/>
      <c r="AO8" s="92"/>
    </row>
    <row r="9" spans="3:41" ht="21.75" thickBot="1" x14ac:dyDescent="0.4"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110" t="s">
        <v>140</v>
      </c>
      <c r="X9" s="294" t="s">
        <v>215</v>
      </c>
      <c r="Y9" s="294" t="s">
        <v>216</v>
      </c>
      <c r="Z9" s="292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11"/>
      <c r="AH9" s="180" t="s">
        <v>59</v>
      </c>
      <c r="AI9" s="180" t="s">
        <v>125</v>
      </c>
      <c r="AJ9" s="180" t="s">
        <v>0</v>
      </c>
      <c r="AK9" s="104"/>
      <c r="AL9" s="180" t="s">
        <v>125</v>
      </c>
      <c r="AM9" s="180" t="s">
        <v>126</v>
      </c>
      <c r="AN9" s="180" t="s">
        <v>127</v>
      </c>
      <c r="AO9" s="92"/>
    </row>
    <row r="10" spans="3:41" ht="18.75" x14ac:dyDescent="0.3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75" x14ac:dyDescent="0.3">
      <c r="C11" s="91"/>
      <c r="D11" s="70" t="s">
        <v>3</v>
      </c>
      <c r="E11" s="129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75" x14ac:dyDescent="0.3">
      <c r="C12" s="91"/>
      <c r="D12" s="70" t="s">
        <v>71</v>
      </c>
      <c r="E12" s="296" t="s">
        <v>218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75" x14ac:dyDescent="0.3">
      <c r="C13" s="91"/>
      <c r="D13" s="70" t="s">
        <v>85</v>
      </c>
      <c r="E13" s="129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75" x14ac:dyDescent="0.3">
      <c r="C14" s="91"/>
      <c r="D14" s="70" t="s">
        <v>86</v>
      </c>
      <c r="E14" s="71">
        <v>25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75" x14ac:dyDescent="0.3">
      <c r="C15" s="91"/>
      <c r="D15" s="70" t="s">
        <v>87</v>
      </c>
      <c r="E15" s="71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75" x14ac:dyDescent="0.3">
      <c r="C16" s="91"/>
      <c r="D16" s="70" t="s">
        <v>88</v>
      </c>
      <c r="E16" s="71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75" x14ac:dyDescent="0.3"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75" x14ac:dyDescent="0.3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75" x14ac:dyDescent="0.3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75" x14ac:dyDescent="0.3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75" x14ac:dyDescent="0.3">
      <c r="C21" s="91"/>
      <c r="D21" s="72" t="s">
        <v>93</v>
      </c>
      <c r="E21" s="181">
        <v>0.57999999999999996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75" x14ac:dyDescent="0.3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75" x14ac:dyDescent="0.3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75" x14ac:dyDescent="0.3">
      <c r="C24" s="91"/>
      <c r="D24" s="157" t="s">
        <v>118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75" x14ac:dyDescent="0.3">
      <c r="C25" s="91"/>
      <c r="D25" s="157" t="s">
        <v>119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75" x14ac:dyDescent="0.3">
      <c r="C26" s="91"/>
      <c r="D26" s="158" t="s">
        <v>122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.5" thickBot="1" x14ac:dyDescent="0.3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75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75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75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2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2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2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25">
      <c r="R130" s="3" t="s">
        <v>39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N12:Q27 T10:T27 AH10:AH27 AE10:AE27 AC10:AC27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2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25"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21" t="s">
        <v>8</v>
      </c>
      <c r="AI8" s="322"/>
      <c r="AJ8" s="323"/>
      <c r="AK8" s="106"/>
      <c r="AL8" s="321" t="s">
        <v>9</v>
      </c>
      <c r="AM8" s="322"/>
      <c r="AN8" s="323"/>
      <c r="AO8" s="92"/>
    </row>
    <row r="9" spans="3:41" ht="21.75" thickBot="1" x14ac:dyDescent="0.4"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110" t="s">
        <v>140</v>
      </c>
      <c r="X9" s="294" t="s">
        <v>215</v>
      </c>
      <c r="Y9" s="294" t="s">
        <v>216</v>
      </c>
      <c r="Z9" s="292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11"/>
      <c r="AH9" s="180" t="s">
        <v>59</v>
      </c>
      <c r="AI9" s="180" t="s">
        <v>125</v>
      </c>
      <c r="AJ9" s="180" t="s">
        <v>0</v>
      </c>
      <c r="AK9" s="104"/>
      <c r="AL9" s="180" t="s">
        <v>125</v>
      </c>
      <c r="AM9" s="180" t="s">
        <v>126</v>
      </c>
      <c r="AN9" s="180" t="s">
        <v>127</v>
      </c>
      <c r="AO9" s="92"/>
    </row>
    <row r="10" spans="3:41" ht="18.75" x14ac:dyDescent="0.3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75" x14ac:dyDescent="0.3">
      <c r="C11" s="91"/>
      <c r="D11" s="70" t="s">
        <v>3</v>
      </c>
      <c r="E11" s="129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75" x14ac:dyDescent="0.3">
      <c r="C12" s="91"/>
      <c r="D12" s="70" t="s">
        <v>71</v>
      </c>
      <c r="E12" s="296" t="s">
        <v>42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75" x14ac:dyDescent="0.3">
      <c r="C13" s="91"/>
      <c r="D13" s="70" t="s">
        <v>85</v>
      </c>
      <c r="E13" s="129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75" x14ac:dyDescent="0.3">
      <c r="C14" s="91"/>
      <c r="D14" s="70" t="s">
        <v>86</v>
      </c>
      <c r="E14" s="71">
        <v>25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75" x14ac:dyDescent="0.3">
      <c r="C15" s="91"/>
      <c r="D15" s="70" t="s">
        <v>87</v>
      </c>
      <c r="E15" s="71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75" x14ac:dyDescent="0.3">
      <c r="C16" s="91"/>
      <c r="D16" s="70" t="s">
        <v>88</v>
      </c>
      <c r="E16" s="71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75" x14ac:dyDescent="0.3"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75" x14ac:dyDescent="0.3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75" x14ac:dyDescent="0.3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75" x14ac:dyDescent="0.3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75" x14ac:dyDescent="0.3">
      <c r="C21" s="91"/>
      <c r="D21" s="72" t="s">
        <v>93</v>
      </c>
      <c r="E21" s="181">
        <v>0.83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75" x14ac:dyDescent="0.3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75" x14ac:dyDescent="0.3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75" x14ac:dyDescent="0.3">
      <c r="C24" s="91"/>
      <c r="D24" s="157" t="s">
        <v>118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75" x14ac:dyDescent="0.3">
      <c r="C25" s="91"/>
      <c r="D25" s="157" t="s">
        <v>119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75" x14ac:dyDescent="0.3">
      <c r="C26" s="91"/>
      <c r="D26" s="158" t="s">
        <v>122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.5" thickBot="1" x14ac:dyDescent="0.3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75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75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75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2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2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2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25">
      <c r="R130" s="3" t="s">
        <v>39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E1" zoomScale="75" zoomScaleNormal="47" workbookViewId="0">
      <selection activeCell="AF10" sqref="AF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2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2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2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25">
      <c r="A6" s="5"/>
      <c r="B6" s="5"/>
      <c r="C6" s="91"/>
      <c r="D6" s="340"/>
      <c r="E6" s="340"/>
      <c r="F6" s="5"/>
      <c r="G6" s="5"/>
      <c r="H6" s="340"/>
      <c r="I6" s="340"/>
      <c r="J6" s="15"/>
      <c r="K6" s="15"/>
      <c r="L6" s="5"/>
      <c r="M6" s="340"/>
      <c r="N6" s="340"/>
      <c r="O6" s="340"/>
      <c r="P6" s="340"/>
      <c r="Q6" s="5"/>
      <c r="R6" s="5"/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5"/>
      <c r="AH6" s="5"/>
      <c r="AI6" s="92"/>
      <c r="AJ6" s="5"/>
    </row>
    <row r="7" spans="1:36" ht="15.75" thickBot="1" x14ac:dyDescent="0.3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4">
      <c r="A8" s="5"/>
      <c r="B8" s="5"/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5"/>
      <c r="AH8" s="5"/>
      <c r="AI8" s="92"/>
      <c r="AJ8" s="5"/>
    </row>
    <row r="9" spans="1:36" ht="21.75" thickBot="1" x14ac:dyDescent="0.4">
      <c r="A9" s="5"/>
      <c r="B9" s="5"/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90" t="s">
        <v>140</v>
      </c>
      <c r="X9" s="291" t="s">
        <v>215</v>
      </c>
      <c r="Y9" s="291" t="s">
        <v>216</v>
      </c>
      <c r="Z9" s="292" t="s">
        <v>217</v>
      </c>
      <c r="AA9" s="11"/>
      <c r="AB9" s="110" t="s">
        <v>114</v>
      </c>
      <c r="AC9" s="110" t="s">
        <v>113</v>
      </c>
      <c r="AD9" s="110" t="s">
        <v>115</v>
      </c>
      <c r="AE9" s="110" t="s">
        <v>59</v>
      </c>
      <c r="AF9" s="110" t="s">
        <v>116</v>
      </c>
      <c r="AG9" s="5"/>
      <c r="AH9" s="5"/>
      <c r="AI9" s="92"/>
      <c r="AJ9" s="5"/>
    </row>
    <row r="10" spans="1:36" ht="18.75" x14ac:dyDescent="0.3">
      <c r="A10" s="5"/>
      <c r="B10" s="5"/>
      <c r="C10" s="91"/>
      <c r="D10" s="68" t="s">
        <v>1</v>
      </c>
      <c r="E10" s="69"/>
      <c r="F10" s="5"/>
      <c r="G10" s="5"/>
      <c r="H10" s="70" t="s">
        <v>2</v>
      </c>
      <c r="I10" s="71"/>
      <c r="J10" s="5"/>
      <c r="K10" s="5"/>
      <c r="L10" s="5"/>
      <c r="M10" s="68" t="s">
        <v>104</v>
      </c>
      <c r="N10" s="269"/>
      <c r="O10" s="269"/>
      <c r="P10" s="270"/>
      <c r="Q10" s="271"/>
      <c r="R10" s="5"/>
      <c r="S10" s="127"/>
      <c r="T10" s="128"/>
      <c r="U10" s="129"/>
      <c r="V10" s="88"/>
      <c r="W10" s="169"/>
      <c r="X10" s="87"/>
      <c r="Y10" s="171"/>
      <c r="Z10" s="168"/>
      <c r="AA10" s="15"/>
      <c r="AB10" s="167"/>
      <c r="AC10" s="87"/>
      <c r="AD10" s="171"/>
      <c r="AE10" s="87"/>
      <c r="AF10" s="168"/>
      <c r="AG10" s="5"/>
      <c r="AH10" s="5"/>
      <c r="AI10" s="92"/>
      <c r="AJ10" s="5"/>
    </row>
    <row r="11" spans="1:36" ht="18.75" x14ac:dyDescent="0.3">
      <c r="A11" s="5"/>
      <c r="B11" s="5"/>
      <c r="C11" s="91"/>
      <c r="D11" s="70" t="s">
        <v>3</v>
      </c>
      <c r="E11" s="71"/>
      <c r="F11" s="5"/>
      <c r="G11" s="5"/>
      <c r="H11" s="70" t="s">
        <v>96</v>
      </c>
      <c r="I11" s="129"/>
      <c r="J11" s="5"/>
      <c r="K11" s="5"/>
      <c r="L11" s="5"/>
      <c r="M11" s="78" t="s">
        <v>105</v>
      </c>
      <c r="N11" s="150"/>
      <c r="O11" s="150"/>
      <c r="P11" s="81"/>
      <c r="Q11" s="152"/>
      <c r="R11" s="5"/>
      <c r="S11" s="127"/>
      <c r="T11" s="128"/>
      <c r="U11" s="129"/>
      <c r="V11" s="88"/>
      <c r="W11" s="133"/>
      <c r="X11" s="77"/>
      <c r="Y11" s="130"/>
      <c r="Z11" s="132"/>
      <c r="AA11" s="15"/>
      <c r="AB11" s="131"/>
      <c r="AC11" s="77"/>
      <c r="AD11" s="130"/>
      <c r="AE11" s="77"/>
      <c r="AF11" s="132"/>
      <c r="AG11" s="5"/>
      <c r="AH11" s="5"/>
      <c r="AI11" s="92"/>
      <c r="AJ11" s="5"/>
    </row>
    <row r="12" spans="1:36" ht="18.75" x14ac:dyDescent="0.3">
      <c r="A12" s="5"/>
      <c r="B12" s="5"/>
      <c r="C12" s="91"/>
      <c r="D12" s="70" t="s">
        <v>71</v>
      </c>
      <c r="E12" s="71"/>
      <c r="F12" s="5"/>
      <c r="G12" s="5"/>
      <c r="H12" s="70" t="s">
        <v>97</v>
      </c>
      <c r="I12" s="129"/>
      <c r="J12" s="5"/>
      <c r="K12" s="5"/>
      <c r="L12" s="5"/>
      <c r="M12" s="78" t="s">
        <v>106</v>
      </c>
      <c r="N12" s="150"/>
      <c r="O12" s="150"/>
      <c r="P12" s="81"/>
      <c r="Q12" s="152"/>
      <c r="R12" s="5"/>
      <c r="S12" s="151"/>
      <c r="T12" s="150"/>
      <c r="U12" s="152"/>
      <c r="V12" s="88"/>
      <c r="W12" s="133"/>
      <c r="X12" s="77"/>
      <c r="Y12" s="44"/>
      <c r="Z12" s="30"/>
      <c r="AA12" s="42"/>
      <c r="AB12" s="51"/>
      <c r="AC12" s="77"/>
      <c r="AD12" s="44"/>
      <c r="AE12" s="77"/>
      <c r="AF12" s="132"/>
      <c r="AG12" s="5"/>
      <c r="AH12" s="5"/>
      <c r="AI12" s="92"/>
      <c r="AJ12" s="5"/>
    </row>
    <row r="13" spans="1:36" ht="18.75" x14ac:dyDescent="0.3">
      <c r="A13" s="5"/>
      <c r="B13" s="5"/>
      <c r="C13" s="91"/>
      <c r="D13" s="70" t="s">
        <v>85</v>
      </c>
      <c r="E13" s="293"/>
      <c r="F13" s="5"/>
      <c r="G13" s="5"/>
      <c r="H13" s="70" t="s">
        <v>98</v>
      </c>
      <c r="I13" s="129"/>
      <c r="J13" s="5"/>
      <c r="K13" s="5"/>
      <c r="L13" s="5"/>
      <c r="M13" s="78"/>
      <c r="N13" s="77"/>
      <c r="O13" s="77"/>
      <c r="P13" s="81"/>
      <c r="Q13" s="71"/>
      <c r="R13" s="5"/>
      <c r="S13" s="144"/>
      <c r="T13" s="145"/>
      <c r="U13" s="146"/>
      <c r="V13" s="42"/>
      <c r="W13" s="133"/>
      <c r="X13" s="77"/>
      <c r="Y13" s="44"/>
      <c r="Z13" s="30"/>
      <c r="AA13" s="42"/>
      <c r="AB13" s="51"/>
      <c r="AC13" s="77"/>
      <c r="AD13" s="44"/>
      <c r="AE13" s="77"/>
      <c r="AF13" s="132"/>
      <c r="AG13" s="5"/>
      <c r="AH13" s="5"/>
      <c r="AI13" s="92"/>
      <c r="AJ13" s="5"/>
    </row>
    <row r="14" spans="1:36" ht="18.75" x14ac:dyDescent="0.3">
      <c r="A14" s="5"/>
      <c r="B14" s="5"/>
      <c r="C14" s="91"/>
      <c r="D14" s="70" t="s">
        <v>86</v>
      </c>
      <c r="E14" s="71">
        <v>20</v>
      </c>
      <c r="F14" s="5"/>
      <c r="G14" s="5"/>
      <c r="H14" s="70" t="s">
        <v>99</v>
      </c>
      <c r="I14" s="129"/>
      <c r="J14" s="5"/>
      <c r="K14" s="5"/>
      <c r="L14" s="5"/>
      <c r="M14" s="79"/>
      <c r="N14" s="81"/>
      <c r="O14" s="81"/>
      <c r="P14" s="81"/>
      <c r="Q14" s="84"/>
      <c r="R14" s="5"/>
      <c r="S14" s="51"/>
      <c r="T14" s="77"/>
      <c r="U14" s="30"/>
      <c r="V14" s="42"/>
      <c r="W14" s="133"/>
      <c r="X14" s="77"/>
      <c r="Y14" s="44"/>
      <c r="Z14" s="30"/>
      <c r="AA14" s="42"/>
      <c r="AB14" s="51"/>
      <c r="AC14" s="77"/>
      <c r="AD14" s="44"/>
      <c r="AE14" s="77"/>
      <c r="AF14" s="132"/>
      <c r="AG14" s="5"/>
      <c r="AH14" s="5"/>
      <c r="AI14" s="92"/>
      <c r="AJ14" s="5"/>
    </row>
    <row r="15" spans="1:36" ht="18.75" x14ac:dyDescent="0.3">
      <c r="A15" s="5"/>
      <c r="B15" s="5"/>
      <c r="C15" s="91"/>
      <c r="D15" s="70" t="s">
        <v>87</v>
      </c>
      <c r="E15" s="71">
        <v>2.6</v>
      </c>
      <c r="F15" s="5"/>
      <c r="G15" s="5"/>
      <c r="H15" s="78" t="s">
        <v>100</v>
      </c>
      <c r="I15" s="71"/>
      <c r="J15" s="5"/>
      <c r="K15" s="5"/>
      <c r="L15" s="5"/>
      <c r="M15" s="79"/>
      <c r="N15" s="81"/>
      <c r="O15" s="81"/>
      <c r="P15" s="81"/>
      <c r="Q15" s="84"/>
      <c r="R15" s="5"/>
      <c r="S15" s="51"/>
      <c r="T15" s="77"/>
      <c r="U15" s="30"/>
      <c r="V15" s="42"/>
      <c r="W15" s="94"/>
      <c r="X15" s="15"/>
      <c r="Y15" s="15"/>
      <c r="Z15" s="67"/>
      <c r="AA15" s="15"/>
      <c r="AB15" s="133"/>
      <c r="AC15" s="77"/>
      <c r="AD15" s="77"/>
      <c r="AE15" s="77"/>
      <c r="AF15" s="132"/>
      <c r="AG15" s="5"/>
      <c r="AH15" s="5"/>
      <c r="AI15" s="92"/>
      <c r="AJ15" s="5"/>
    </row>
    <row r="16" spans="1:36" ht="18.75" x14ac:dyDescent="0.3">
      <c r="A16" s="5"/>
      <c r="B16" s="5"/>
      <c r="C16" s="91"/>
      <c r="D16" s="70" t="s">
        <v>88</v>
      </c>
      <c r="E16" s="71">
        <v>1.44</v>
      </c>
      <c r="F16" s="5"/>
      <c r="G16" s="5"/>
      <c r="H16" s="78" t="s">
        <v>84</v>
      </c>
      <c r="I16" s="71"/>
      <c r="J16" s="5"/>
      <c r="K16" s="5"/>
      <c r="L16" s="5"/>
      <c r="M16" s="79"/>
      <c r="N16" s="81"/>
      <c r="O16" s="81"/>
      <c r="P16" s="81"/>
      <c r="Q16" s="84"/>
      <c r="R16" s="5"/>
      <c r="S16" s="133"/>
      <c r="T16" s="77"/>
      <c r="U16" s="71"/>
      <c r="V16" s="15"/>
      <c r="W16" s="94"/>
      <c r="X16" s="15"/>
      <c r="Y16" s="15"/>
      <c r="Z16" s="67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75" x14ac:dyDescent="0.3">
      <c r="A17" s="5"/>
      <c r="B17" s="5"/>
      <c r="C17" s="91"/>
      <c r="D17" s="70" t="s">
        <v>89</v>
      </c>
      <c r="E17" s="71"/>
      <c r="F17" s="5"/>
      <c r="G17" s="5"/>
      <c r="H17" s="78"/>
      <c r="I17" s="71"/>
      <c r="J17" s="5"/>
      <c r="K17" s="5"/>
      <c r="L17" s="5"/>
      <c r="M17" s="79"/>
      <c r="N17" s="81"/>
      <c r="O17" s="81"/>
      <c r="P17" s="81"/>
      <c r="Q17" s="84"/>
      <c r="R17" s="5"/>
      <c r="S17" s="133"/>
      <c r="T17" s="77"/>
      <c r="U17" s="71"/>
      <c r="V17" s="15"/>
      <c r="W17" s="94"/>
      <c r="X17" s="15"/>
      <c r="Y17" s="15"/>
      <c r="Z17" s="67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75" x14ac:dyDescent="0.3">
      <c r="A18" s="5"/>
      <c r="B18" s="5"/>
      <c r="C18" s="91"/>
      <c r="D18" s="72" t="s">
        <v>90</v>
      </c>
      <c r="E18" s="71"/>
      <c r="F18" s="5"/>
      <c r="G18" s="5"/>
      <c r="H18" s="79"/>
      <c r="I18" s="71"/>
      <c r="J18" s="5"/>
      <c r="K18" s="5"/>
      <c r="L18" s="5"/>
      <c r="M18" s="79"/>
      <c r="N18" s="81"/>
      <c r="O18" s="81"/>
      <c r="P18" s="81"/>
      <c r="Q18" s="84"/>
      <c r="R18" s="5"/>
      <c r="S18" s="133"/>
      <c r="T18" s="77"/>
      <c r="U18" s="71"/>
      <c r="V18" s="15"/>
      <c r="W18" s="94"/>
      <c r="X18" s="15"/>
      <c r="Y18" s="15"/>
      <c r="Z18" s="67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75" x14ac:dyDescent="0.3">
      <c r="A19" s="5"/>
      <c r="B19" s="5"/>
      <c r="C19" s="91"/>
      <c r="D19" s="70" t="s">
        <v>91</v>
      </c>
      <c r="E19" s="71"/>
      <c r="F19" s="5"/>
      <c r="G19" s="5"/>
      <c r="H19" s="79"/>
      <c r="I19" s="71"/>
      <c r="J19" s="5"/>
      <c r="K19" s="5"/>
      <c r="L19" s="5"/>
      <c r="M19" s="79"/>
      <c r="N19" s="81"/>
      <c r="O19" s="81"/>
      <c r="P19" s="81"/>
      <c r="Q19" s="84"/>
      <c r="R19" s="5"/>
      <c r="S19" s="133"/>
      <c r="T19" s="77"/>
      <c r="U19" s="71"/>
      <c r="V19" s="15"/>
      <c r="W19" s="94"/>
      <c r="X19" s="15"/>
      <c r="Y19" s="15"/>
      <c r="Z19" s="67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75" x14ac:dyDescent="0.3">
      <c r="A20" s="5"/>
      <c r="B20" s="5"/>
      <c r="C20" s="91"/>
      <c r="D20" s="72" t="s">
        <v>92</v>
      </c>
      <c r="E20" s="71"/>
      <c r="F20" s="5"/>
      <c r="G20" s="5"/>
      <c r="H20" s="79"/>
      <c r="I20" s="71"/>
      <c r="J20" s="5"/>
      <c r="K20" s="5"/>
      <c r="L20" s="5"/>
      <c r="M20" s="134"/>
      <c r="N20" s="81"/>
      <c r="O20" s="81"/>
      <c r="P20" s="81"/>
      <c r="Q20" s="84"/>
      <c r="R20" s="5"/>
      <c r="S20" s="133"/>
      <c r="T20" s="77"/>
      <c r="U20" s="71"/>
      <c r="V20" s="15"/>
      <c r="W20" s="94"/>
      <c r="X20" s="15"/>
      <c r="Y20" s="15"/>
      <c r="Z20" s="67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75" x14ac:dyDescent="0.3">
      <c r="A21" s="5"/>
      <c r="B21" s="5"/>
      <c r="C21" s="91"/>
      <c r="D21" s="72" t="s">
        <v>93</v>
      </c>
      <c r="E21" s="181" t="s">
        <v>128</v>
      </c>
      <c r="F21" s="5"/>
      <c r="G21" s="5"/>
      <c r="H21" s="134"/>
      <c r="I21" s="71"/>
      <c r="J21" s="5"/>
      <c r="K21" s="5"/>
      <c r="L21" s="5"/>
      <c r="M21" s="134"/>
      <c r="N21" s="81"/>
      <c r="O21" s="81"/>
      <c r="P21" s="81"/>
      <c r="Q21" s="84"/>
      <c r="R21" s="5"/>
      <c r="S21" s="133"/>
      <c r="T21" s="77"/>
      <c r="U21" s="71"/>
      <c r="V21" s="15"/>
      <c r="W21" s="94"/>
      <c r="X21" s="15"/>
      <c r="Y21" s="15"/>
      <c r="Z21" s="67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8.75" x14ac:dyDescent="0.3">
      <c r="A22" s="5"/>
      <c r="B22" s="5"/>
      <c r="C22" s="91"/>
      <c r="D22" s="72" t="s">
        <v>94</v>
      </c>
      <c r="E22" s="71"/>
      <c r="F22" s="5"/>
      <c r="G22" s="5"/>
      <c r="H22" s="134"/>
      <c r="I22" s="71"/>
      <c r="J22" s="5"/>
      <c r="K22" s="5"/>
      <c r="L22" s="5"/>
      <c r="M22" s="134"/>
      <c r="N22" s="81"/>
      <c r="O22" s="81"/>
      <c r="P22" s="81"/>
      <c r="Q22" s="84"/>
      <c r="R22" s="5"/>
      <c r="S22" s="133"/>
      <c r="T22" s="77"/>
      <c r="U22" s="71"/>
      <c r="V22" s="15"/>
      <c r="W22" s="94"/>
      <c r="X22" s="15"/>
      <c r="Y22" s="15"/>
      <c r="Z22" s="67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8.75" x14ac:dyDescent="0.3">
      <c r="A23" s="5"/>
      <c r="B23" s="5"/>
      <c r="C23" s="91"/>
      <c r="D23" s="72" t="s">
        <v>95</v>
      </c>
      <c r="E23" s="71"/>
      <c r="F23" s="5"/>
      <c r="G23" s="5"/>
      <c r="H23" s="134"/>
      <c r="I23" s="84"/>
      <c r="J23" s="5"/>
      <c r="K23" s="5"/>
      <c r="L23" s="5"/>
      <c r="M23" s="134"/>
      <c r="N23" s="81"/>
      <c r="O23" s="81"/>
      <c r="P23" s="81"/>
      <c r="Q23" s="84"/>
      <c r="R23" s="5"/>
      <c r="S23" s="133"/>
      <c r="T23" s="77"/>
      <c r="U23" s="71"/>
      <c r="V23" s="15"/>
      <c r="W23" s="94"/>
      <c r="X23" s="15"/>
      <c r="Y23" s="15"/>
      <c r="Z23" s="67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8.75" x14ac:dyDescent="0.3">
      <c r="A24" s="5"/>
      <c r="B24" s="5"/>
      <c r="C24" s="100"/>
      <c r="D24" s="157" t="s">
        <v>118</v>
      </c>
      <c r="E24" s="99"/>
      <c r="F24" s="11"/>
      <c r="G24" s="11"/>
      <c r="H24" s="134"/>
      <c r="I24" s="84"/>
      <c r="J24" s="11"/>
      <c r="K24" s="11"/>
      <c r="L24" s="11"/>
      <c r="M24" s="134"/>
      <c r="N24" s="81"/>
      <c r="O24" s="81"/>
      <c r="P24" s="81"/>
      <c r="Q24" s="84"/>
      <c r="R24" s="5"/>
      <c r="S24" s="133"/>
      <c r="T24" s="77"/>
      <c r="U24" s="71"/>
      <c r="V24" s="15"/>
      <c r="W24" s="94"/>
      <c r="X24" s="15"/>
      <c r="Y24" s="15"/>
      <c r="Z24" s="67"/>
      <c r="AA24" s="15"/>
      <c r="AB24" s="133"/>
      <c r="AC24" s="77"/>
      <c r="AD24" s="77"/>
      <c r="AE24" s="77"/>
      <c r="AF24" s="71"/>
      <c r="AG24" s="5"/>
      <c r="AH24" s="5"/>
      <c r="AI24" s="92"/>
      <c r="AJ24" s="5"/>
    </row>
    <row r="25" spans="1:36" ht="18.75" x14ac:dyDescent="0.3">
      <c r="A25" s="5"/>
      <c r="B25" s="5"/>
      <c r="C25" s="100"/>
      <c r="D25" s="157" t="s">
        <v>119</v>
      </c>
      <c r="E25" s="99"/>
      <c r="F25" s="11"/>
      <c r="G25" s="11"/>
      <c r="H25" s="134"/>
      <c r="I25" s="84"/>
      <c r="J25" s="11"/>
      <c r="K25" s="11"/>
      <c r="L25" s="11"/>
      <c r="M25" s="134"/>
      <c r="N25" s="81"/>
      <c r="O25" s="81"/>
      <c r="P25" s="81"/>
      <c r="Q25" s="84"/>
      <c r="R25" s="5"/>
      <c r="S25" s="144"/>
      <c r="T25" s="145"/>
      <c r="U25" s="146"/>
      <c r="V25" s="5"/>
      <c r="W25" s="144"/>
      <c r="X25" s="145"/>
      <c r="Y25" s="145"/>
      <c r="Z25" s="146"/>
      <c r="AA25" s="5"/>
      <c r="AB25" s="144"/>
      <c r="AC25" s="145"/>
      <c r="AD25" s="145"/>
      <c r="AE25" s="145"/>
      <c r="AF25" s="146"/>
      <c r="AG25" s="5"/>
      <c r="AH25" s="5"/>
      <c r="AI25" s="92"/>
      <c r="AJ25" s="5"/>
    </row>
    <row r="26" spans="1:36" ht="19.5" thickBot="1" x14ac:dyDescent="0.35">
      <c r="A26" s="5"/>
      <c r="B26" s="5"/>
      <c r="C26" s="100"/>
      <c r="D26" s="159" t="s">
        <v>120</v>
      </c>
      <c r="E26" s="65"/>
      <c r="F26" s="5"/>
      <c r="G26" s="5"/>
      <c r="H26" s="134"/>
      <c r="I26" s="84"/>
      <c r="J26" s="5"/>
      <c r="K26" s="5"/>
      <c r="L26" s="5"/>
      <c r="M26" s="134"/>
      <c r="N26" s="81"/>
      <c r="O26" s="81"/>
      <c r="P26" s="81"/>
      <c r="Q26" s="84"/>
      <c r="R26" s="5"/>
      <c r="S26" s="144"/>
      <c r="T26" s="145"/>
      <c r="U26" s="146"/>
      <c r="V26" s="5"/>
      <c r="W26" s="144"/>
      <c r="X26" s="145"/>
      <c r="Y26" s="145"/>
      <c r="Z26" s="146"/>
      <c r="AA26" s="5"/>
      <c r="AB26" s="144"/>
      <c r="AC26" s="145"/>
      <c r="AD26" s="145"/>
      <c r="AE26" s="145"/>
      <c r="AF26" s="146"/>
      <c r="AG26" s="5"/>
      <c r="AH26" s="5"/>
      <c r="AI26" s="92"/>
      <c r="AJ26" s="5"/>
    </row>
    <row r="27" spans="1:36" ht="19.5" thickBot="1" x14ac:dyDescent="0.35">
      <c r="A27" s="5"/>
      <c r="B27" s="5"/>
      <c r="C27" s="100"/>
      <c r="D27" s="5"/>
      <c r="E27" s="5"/>
      <c r="F27" s="5"/>
      <c r="G27" s="5"/>
      <c r="H27" s="135"/>
      <c r="I27" s="83"/>
      <c r="J27" s="5"/>
      <c r="K27" s="5"/>
      <c r="L27" s="5"/>
      <c r="M27" s="135"/>
      <c r="N27" s="82"/>
      <c r="O27" s="82"/>
      <c r="P27" s="82"/>
      <c r="Q27" s="83"/>
      <c r="R27" s="5"/>
      <c r="S27" s="147"/>
      <c r="T27" s="148"/>
      <c r="U27" s="149"/>
      <c r="V27" s="5"/>
      <c r="W27" s="147"/>
      <c r="X27" s="148"/>
      <c r="Y27" s="148"/>
      <c r="Z27" s="149"/>
      <c r="AA27" s="5"/>
      <c r="AB27" s="147"/>
      <c r="AC27" s="148"/>
      <c r="AD27" s="148"/>
      <c r="AE27" s="148"/>
      <c r="AF27" s="149"/>
      <c r="AG27" s="5"/>
      <c r="AH27" s="5"/>
      <c r="AI27" s="92"/>
      <c r="AJ27" s="5"/>
    </row>
    <row r="28" spans="1:36" x14ac:dyDescent="0.2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2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2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2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2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2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2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2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2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2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2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2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2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2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2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2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2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2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2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75" x14ac:dyDescent="0.25">
      <c r="A47" s="5"/>
      <c r="B47" s="5"/>
      <c r="C47" s="91"/>
      <c r="D47" s="339"/>
      <c r="E47" s="339"/>
      <c r="F47" s="339"/>
      <c r="G47" s="339"/>
      <c r="H47" s="339"/>
      <c r="I47" s="339"/>
      <c r="J47" s="339"/>
      <c r="K47" s="339"/>
      <c r="L47" s="33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75" x14ac:dyDescent="0.25">
      <c r="A48" s="5"/>
      <c r="B48" s="5"/>
      <c r="C48" s="91"/>
      <c r="D48" s="104"/>
      <c r="E48" s="104"/>
      <c r="F48" s="104"/>
      <c r="G48" s="104"/>
      <c r="H48" s="104"/>
      <c r="I48" s="104"/>
      <c r="J48" s="104"/>
      <c r="K48" s="104"/>
      <c r="L48" s="104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75" x14ac:dyDescent="0.25">
      <c r="A49" s="5"/>
      <c r="B49" s="5"/>
      <c r="C49" s="9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75" x14ac:dyDescent="0.25">
      <c r="A50" s="5"/>
      <c r="B50" s="5"/>
      <c r="C50" s="9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75" x14ac:dyDescent="0.25">
      <c r="A51" s="5"/>
      <c r="B51" s="5"/>
      <c r="C51" s="9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75" x14ac:dyDescent="0.25">
      <c r="A52" s="5"/>
      <c r="B52" s="5"/>
      <c r="C52" s="9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75" x14ac:dyDescent="0.25">
      <c r="A53" s="5"/>
      <c r="B53" s="5"/>
      <c r="C53" s="9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75" x14ac:dyDescent="0.25">
      <c r="A54" s="5"/>
      <c r="B54" s="5"/>
      <c r="C54" s="9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2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2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2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2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2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2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2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2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2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2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2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2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2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2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.75" thickBot="1" x14ac:dyDescent="0.3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2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39</v>
      </c>
    </row>
  </sheetData>
  <mergeCells count="12">
    <mergeCell ref="S6:AF6"/>
    <mergeCell ref="D8:E8"/>
    <mergeCell ref="H8:I8"/>
    <mergeCell ref="S8:U8"/>
    <mergeCell ref="W8:Z8"/>
    <mergeCell ref="AB8:AF8"/>
    <mergeCell ref="M8:Q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95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3"/>
      <c r="AL3" s="5"/>
      <c r="AM3" s="5"/>
      <c r="AN3" s="5"/>
      <c r="AO3" s="5"/>
    </row>
    <row r="4" spans="1:41" x14ac:dyDescent="0.2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2"/>
      <c r="AL4" s="5"/>
      <c r="AM4" s="5"/>
      <c r="AN4" s="5"/>
      <c r="AO4" s="5"/>
    </row>
    <row r="5" spans="1:41" x14ac:dyDescent="0.2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2"/>
      <c r="AL5" s="5"/>
      <c r="AM5" s="5"/>
      <c r="AN5" s="5"/>
      <c r="AO5" s="5"/>
    </row>
    <row r="6" spans="1:41" x14ac:dyDescent="0.25">
      <c r="A6" s="5"/>
      <c r="B6" s="5"/>
      <c r="C6" s="91"/>
      <c r="D6" s="324"/>
      <c r="E6" s="324"/>
      <c r="F6" s="5"/>
      <c r="G6" s="5"/>
      <c r="H6" s="324"/>
      <c r="I6" s="324"/>
      <c r="J6" s="15"/>
      <c r="K6" s="15"/>
      <c r="L6" s="5"/>
      <c r="M6" s="324"/>
      <c r="N6" s="324"/>
      <c r="O6" s="324"/>
      <c r="P6" s="324"/>
      <c r="Q6" s="5"/>
      <c r="R6" s="5"/>
      <c r="S6" s="325"/>
      <c r="T6" s="325"/>
      <c r="U6" s="325"/>
      <c r="V6" s="325"/>
      <c r="W6" s="325"/>
      <c r="X6" s="325"/>
      <c r="Y6" s="325"/>
      <c r="Z6" s="325"/>
      <c r="AA6" s="325"/>
      <c r="AB6" s="325"/>
      <c r="AC6" s="325"/>
      <c r="AD6" s="325"/>
      <c r="AE6" s="325"/>
      <c r="AF6" s="325"/>
      <c r="AG6" s="11"/>
      <c r="AH6" s="11"/>
      <c r="AI6" s="11"/>
      <c r="AJ6" s="11"/>
      <c r="AK6" s="92"/>
      <c r="AL6" s="5"/>
      <c r="AM6" s="5"/>
      <c r="AN6" s="5"/>
      <c r="AO6" s="5"/>
    </row>
    <row r="7" spans="1:41" ht="15.75" thickBot="1" x14ac:dyDescent="0.3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2"/>
      <c r="AL7" s="5"/>
      <c r="AM7" s="5"/>
      <c r="AN7" s="5"/>
      <c r="AO7" s="5"/>
    </row>
    <row r="8" spans="1:41" ht="24" thickBot="1" x14ac:dyDescent="0.4">
      <c r="A8" s="5"/>
      <c r="B8" s="5"/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36" t="s">
        <v>101</v>
      </c>
      <c r="N8" s="337"/>
      <c r="O8" s="337"/>
      <c r="P8" s="337"/>
      <c r="Q8" s="338"/>
      <c r="R8" s="5"/>
      <c r="S8" s="330" t="s">
        <v>107</v>
      </c>
      <c r="T8" s="331"/>
      <c r="U8" s="332"/>
      <c r="V8" s="12"/>
      <c r="W8" s="333" t="s">
        <v>145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33" t="s">
        <v>17</v>
      </c>
      <c r="AI8" s="334"/>
      <c r="AJ8" s="335"/>
      <c r="AK8" s="92"/>
      <c r="AL8" s="5"/>
      <c r="AM8" s="5"/>
      <c r="AN8" s="5"/>
      <c r="AO8" s="5"/>
    </row>
    <row r="9" spans="1:41" ht="21.75" thickBot="1" x14ac:dyDescent="0.4">
      <c r="A9" s="5"/>
      <c r="B9" s="5"/>
      <c r="C9" s="91"/>
      <c r="D9" s="75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109" t="s">
        <v>169</v>
      </c>
      <c r="R9" s="5"/>
      <c r="S9" s="90" t="s">
        <v>109</v>
      </c>
      <c r="T9" s="90" t="s">
        <v>59</v>
      </c>
      <c r="U9" s="90" t="s">
        <v>110</v>
      </c>
      <c r="V9" s="13"/>
      <c r="W9" s="90" t="s">
        <v>140</v>
      </c>
      <c r="X9" s="291" t="s">
        <v>212</v>
      </c>
      <c r="Y9" s="291" t="s">
        <v>213</v>
      </c>
      <c r="Z9" s="292" t="s">
        <v>214</v>
      </c>
      <c r="AA9" s="11"/>
      <c r="AB9" s="90" t="s">
        <v>114</v>
      </c>
      <c r="AC9" s="90" t="s">
        <v>113</v>
      </c>
      <c r="AD9" s="90" t="s">
        <v>115</v>
      </c>
      <c r="AE9" s="90" t="s">
        <v>59</v>
      </c>
      <c r="AF9" s="90" t="s">
        <v>116</v>
      </c>
      <c r="AG9" s="11"/>
      <c r="AH9" s="268" t="s">
        <v>59</v>
      </c>
      <c r="AI9" s="268" t="s">
        <v>0</v>
      </c>
      <c r="AJ9" s="268" t="s">
        <v>177</v>
      </c>
      <c r="AK9" s="92"/>
      <c r="AL9" s="5"/>
      <c r="AM9" s="5"/>
      <c r="AN9" s="5"/>
      <c r="AO9" s="5"/>
    </row>
    <row r="10" spans="1:41" ht="18.75" x14ac:dyDescent="0.3">
      <c r="A10" s="5"/>
      <c r="B10" s="5"/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27"/>
      <c r="AC10" s="128"/>
      <c r="AD10" s="128"/>
      <c r="AE10" s="128"/>
      <c r="AF10" s="71"/>
      <c r="AG10" s="145"/>
      <c r="AH10" s="178"/>
      <c r="AI10" s="87"/>
      <c r="AJ10" s="252"/>
      <c r="AK10" s="92"/>
      <c r="AL10" s="5"/>
      <c r="AM10" s="5"/>
      <c r="AN10" s="5"/>
      <c r="AO10" s="5"/>
    </row>
    <row r="11" spans="1:41" ht="18.75" x14ac:dyDescent="0.3">
      <c r="A11" s="5"/>
      <c r="B11" s="5"/>
      <c r="C11" s="91"/>
      <c r="D11" s="70" t="s">
        <v>3</v>
      </c>
      <c r="E11" s="71"/>
      <c r="F11" s="81"/>
      <c r="G11" s="81"/>
      <c r="H11" s="70" t="s">
        <v>96</v>
      </c>
      <c r="I11" s="129"/>
      <c r="J11" s="81"/>
      <c r="K11" s="81"/>
      <c r="L11" s="81"/>
      <c r="M11" s="78" t="s">
        <v>105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/>
      <c r="AI11" s="77"/>
      <c r="AJ11" s="99"/>
      <c r="AK11" s="92"/>
      <c r="AL11" s="5"/>
      <c r="AM11" s="5"/>
      <c r="AN11" s="5"/>
      <c r="AO11" s="5"/>
    </row>
    <row r="12" spans="1:41" ht="18.75" x14ac:dyDescent="0.3">
      <c r="A12" s="5"/>
      <c r="B12" s="5"/>
      <c r="C12" s="91"/>
      <c r="D12" s="70" t="s">
        <v>71</v>
      </c>
      <c r="E12" s="290" t="s">
        <v>41</v>
      </c>
      <c r="F12" s="81"/>
      <c r="G12" s="81"/>
      <c r="H12" s="70" t="s">
        <v>97</v>
      </c>
      <c r="I12" s="129"/>
      <c r="J12" s="81"/>
      <c r="K12" s="81"/>
      <c r="L12" s="81"/>
      <c r="M12" s="78" t="s">
        <v>106</v>
      </c>
      <c r="N12" s="150"/>
      <c r="O12" s="150"/>
      <c r="P12" s="81"/>
      <c r="Q12" s="152"/>
      <c r="R12" s="138"/>
      <c r="S12" s="133"/>
      <c r="T12" s="150"/>
      <c r="U12" s="71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/>
      <c r="AI12" s="77"/>
      <c r="AJ12" s="99"/>
      <c r="AK12" s="92"/>
      <c r="AL12" s="5"/>
      <c r="AM12" s="5"/>
      <c r="AN12" s="5"/>
      <c r="AO12" s="5"/>
    </row>
    <row r="13" spans="1:41" ht="18.75" x14ac:dyDescent="0.3">
      <c r="A13" s="5"/>
      <c r="B13" s="5"/>
      <c r="C13" s="91"/>
      <c r="D13" s="70" t="s">
        <v>85</v>
      </c>
      <c r="E13" s="71"/>
      <c r="F13" s="81"/>
      <c r="G13" s="81"/>
      <c r="H13" s="70" t="s">
        <v>98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33"/>
      <c r="T13" s="145"/>
      <c r="U13" s="71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27"/>
      <c r="AI13" s="77"/>
      <c r="AJ13" s="99"/>
      <c r="AK13" s="92"/>
      <c r="AL13" s="5"/>
      <c r="AM13" s="5"/>
      <c r="AN13" s="5"/>
      <c r="AO13" s="5"/>
    </row>
    <row r="14" spans="1:41" ht="18.75" x14ac:dyDescent="0.3">
      <c r="A14" s="5"/>
      <c r="B14" s="5"/>
      <c r="C14" s="91"/>
      <c r="D14" s="70" t="s">
        <v>86</v>
      </c>
      <c r="E14" s="71">
        <v>20</v>
      </c>
      <c r="F14" s="81"/>
      <c r="G14" s="81"/>
      <c r="H14" s="70" t="s">
        <v>99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133"/>
      <c r="T14" s="77"/>
      <c r="U14" s="71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27"/>
      <c r="AI14" s="77"/>
      <c r="AJ14" s="99"/>
      <c r="AK14" s="92"/>
      <c r="AL14" s="5"/>
      <c r="AM14" s="5"/>
      <c r="AN14" s="5"/>
      <c r="AO14" s="5"/>
    </row>
    <row r="15" spans="1:41" ht="18.75" x14ac:dyDescent="0.3">
      <c r="A15" s="5"/>
      <c r="B15" s="5"/>
      <c r="C15" s="91"/>
      <c r="D15" s="70" t="s">
        <v>87</v>
      </c>
      <c r="E15" s="129">
        <v>2.6</v>
      </c>
      <c r="F15" s="81"/>
      <c r="G15" s="81"/>
      <c r="H15" s="78" t="s">
        <v>100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133"/>
      <c r="T15" s="77"/>
      <c r="U15" s="71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27"/>
      <c r="AI15" s="77"/>
      <c r="AJ15" s="99"/>
      <c r="AK15" s="92"/>
      <c r="AL15" s="5"/>
      <c r="AM15" s="5"/>
      <c r="AN15" s="5"/>
      <c r="AO15" s="5"/>
    </row>
    <row r="16" spans="1:41" ht="18.75" x14ac:dyDescent="0.3">
      <c r="A16" s="5"/>
      <c r="B16" s="5"/>
      <c r="C16" s="91"/>
      <c r="D16" s="70" t="s">
        <v>88</v>
      </c>
      <c r="E16" s="129">
        <v>1.44</v>
      </c>
      <c r="F16" s="81"/>
      <c r="G16" s="81"/>
      <c r="H16" s="78" t="s">
        <v>84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3"/>
      <c r="AI16" s="77"/>
      <c r="AJ16" s="99"/>
      <c r="AK16" s="92"/>
      <c r="AL16" s="5"/>
      <c r="AM16" s="5"/>
      <c r="AN16" s="5"/>
      <c r="AO16" s="5"/>
    </row>
    <row r="17" spans="1:41" ht="18.75" x14ac:dyDescent="0.3">
      <c r="A17" s="5"/>
      <c r="B17" s="5"/>
      <c r="C17" s="91"/>
      <c r="D17" s="70" t="s">
        <v>89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3"/>
      <c r="AI17" s="77"/>
      <c r="AJ17" s="99"/>
      <c r="AK17" s="92"/>
      <c r="AL17" s="5"/>
      <c r="AM17" s="5"/>
      <c r="AN17" s="5"/>
      <c r="AO17" s="5"/>
    </row>
    <row r="18" spans="1:41" ht="18.75" x14ac:dyDescent="0.3">
      <c r="A18" s="5"/>
      <c r="B18" s="5"/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3"/>
      <c r="AI18" s="77"/>
      <c r="AJ18" s="99"/>
      <c r="AK18" s="92"/>
      <c r="AL18" s="5"/>
      <c r="AM18" s="5"/>
      <c r="AN18" s="5"/>
      <c r="AO18" s="5"/>
    </row>
    <row r="19" spans="1:41" ht="18.75" x14ac:dyDescent="0.3">
      <c r="A19" s="5"/>
      <c r="B19" s="5"/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3"/>
      <c r="AI19" s="77"/>
      <c r="AJ19" s="99"/>
      <c r="AK19" s="92"/>
      <c r="AL19" s="5"/>
      <c r="AM19" s="5"/>
      <c r="AN19" s="5"/>
      <c r="AO19" s="5"/>
    </row>
    <row r="20" spans="1:41" ht="18.75" x14ac:dyDescent="0.3">
      <c r="A20" s="5"/>
      <c r="B20" s="5"/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3"/>
      <c r="AI20" s="77"/>
      <c r="AJ20" s="99"/>
      <c r="AK20" s="92"/>
      <c r="AL20" s="5"/>
      <c r="AM20" s="5"/>
      <c r="AN20" s="5"/>
      <c r="AO20" s="5"/>
    </row>
    <row r="21" spans="1:41" ht="18.75" x14ac:dyDescent="0.3">
      <c r="A21" s="5"/>
      <c r="B21" s="5"/>
      <c r="C21" s="91"/>
      <c r="D21" s="72" t="s">
        <v>93</v>
      </c>
      <c r="E21" s="71"/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3"/>
      <c r="AI21" s="77"/>
      <c r="AJ21" s="99"/>
      <c r="AK21" s="92"/>
      <c r="AL21" s="5"/>
      <c r="AM21" s="5"/>
      <c r="AN21" s="5"/>
      <c r="AO21" s="5"/>
    </row>
    <row r="22" spans="1:41" ht="18.75" x14ac:dyDescent="0.3">
      <c r="A22" s="5"/>
      <c r="B22" s="5"/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3"/>
      <c r="AI22" s="77"/>
      <c r="AJ22" s="99"/>
      <c r="AK22" s="92"/>
      <c r="AL22" s="5"/>
      <c r="AM22" s="5"/>
      <c r="AN22" s="5"/>
      <c r="AO22" s="5"/>
    </row>
    <row r="23" spans="1:41" ht="18.75" x14ac:dyDescent="0.3">
      <c r="A23" s="5"/>
      <c r="B23" s="5"/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3"/>
      <c r="AI23" s="77"/>
      <c r="AJ23" s="99"/>
      <c r="AK23" s="92"/>
      <c r="AL23" s="5"/>
      <c r="AM23" s="5"/>
      <c r="AN23" s="5"/>
      <c r="AO23" s="5"/>
    </row>
    <row r="24" spans="1:41" ht="18.75" x14ac:dyDescent="0.3">
      <c r="A24" s="5"/>
      <c r="B24" s="5"/>
      <c r="C24" s="91"/>
      <c r="D24" s="157" t="s">
        <v>118</v>
      </c>
      <c r="E24" s="84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3"/>
      <c r="AI24" s="77"/>
      <c r="AJ24" s="99"/>
      <c r="AK24" s="92"/>
      <c r="AL24" s="5"/>
      <c r="AM24" s="5"/>
      <c r="AN24" s="5"/>
      <c r="AO24" s="5"/>
    </row>
    <row r="25" spans="1:41" ht="18.75" x14ac:dyDescent="0.3">
      <c r="A25" s="5"/>
      <c r="B25" s="5"/>
      <c r="C25" s="91"/>
      <c r="D25" s="157" t="s">
        <v>119</v>
      </c>
      <c r="E25" s="84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7"/>
      <c r="AJ25" s="99"/>
      <c r="AK25" s="92"/>
      <c r="AL25" s="5"/>
      <c r="AM25" s="5"/>
      <c r="AN25" s="5"/>
      <c r="AO25" s="5"/>
    </row>
    <row r="26" spans="1:41" ht="19.5" thickBot="1" x14ac:dyDescent="0.35">
      <c r="A26" s="5"/>
      <c r="B26" s="5"/>
      <c r="C26" s="91"/>
      <c r="D26" s="159" t="s">
        <v>120</v>
      </c>
      <c r="E26" s="84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7"/>
      <c r="AJ26" s="99"/>
      <c r="AK26" s="92"/>
      <c r="AL26" s="5"/>
      <c r="AM26" s="5"/>
      <c r="AN26" s="5"/>
      <c r="AO26" s="5"/>
    </row>
    <row r="27" spans="1:41" ht="19.5" thickBot="1" x14ac:dyDescent="0.35">
      <c r="A27" s="5"/>
      <c r="B27" s="5"/>
      <c r="C27" s="91"/>
      <c r="D27" s="135"/>
      <c r="E27" s="8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137"/>
      <c r="AJ27" s="184"/>
      <c r="AK27" s="92"/>
      <c r="AL27" s="5"/>
      <c r="AM27" s="5"/>
      <c r="AN27" s="5"/>
      <c r="AO27" s="5"/>
    </row>
    <row r="28" spans="1:41" x14ac:dyDescent="0.25">
      <c r="A28" s="5"/>
      <c r="B28" s="5"/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2"/>
      <c r="AL28" s="5"/>
      <c r="AM28" s="5"/>
      <c r="AN28" s="5"/>
      <c r="AO28" s="5"/>
    </row>
    <row r="29" spans="1:41" x14ac:dyDescent="0.25">
      <c r="A29" s="5"/>
      <c r="B29" s="5"/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2"/>
      <c r="AL29" s="5"/>
      <c r="AM29" s="5"/>
      <c r="AN29" s="5"/>
      <c r="AO29" s="5"/>
    </row>
    <row r="30" spans="1:41" x14ac:dyDescent="0.2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2"/>
      <c r="AL30" s="5"/>
      <c r="AM30" s="5"/>
      <c r="AN30" s="5"/>
      <c r="AO30" s="5"/>
    </row>
    <row r="31" spans="1:41" x14ac:dyDescent="0.2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2"/>
      <c r="AL31" s="5"/>
      <c r="AM31" s="5"/>
      <c r="AN31" s="5"/>
      <c r="AO31" s="5"/>
    </row>
    <row r="32" spans="1:41" x14ac:dyDescent="0.2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2"/>
      <c r="AL32" s="5"/>
      <c r="AM32" s="5"/>
      <c r="AN32" s="5"/>
      <c r="AO32" s="5"/>
    </row>
    <row r="33" spans="1:41" x14ac:dyDescent="0.2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2"/>
      <c r="AL33" s="5"/>
      <c r="AM33" s="5"/>
      <c r="AN33" s="5"/>
      <c r="AO33" s="5"/>
    </row>
    <row r="34" spans="1:41" x14ac:dyDescent="0.2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2"/>
      <c r="AL34" s="5"/>
      <c r="AM34" s="5"/>
      <c r="AN34" s="5"/>
      <c r="AO34" s="5"/>
    </row>
    <row r="35" spans="1:41" x14ac:dyDescent="0.2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2"/>
      <c r="AL35" s="5"/>
      <c r="AM35" s="5"/>
      <c r="AN35" s="5"/>
      <c r="AO35" s="5"/>
    </row>
    <row r="36" spans="1:41" x14ac:dyDescent="0.2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2"/>
      <c r="AL36" s="5"/>
      <c r="AM36" s="5"/>
      <c r="AN36" s="5"/>
      <c r="AO36" s="5"/>
    </row>
    <row r="37" spans="1:41" x14ac:dyDescent="0.2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2"/>
      <c r="AL37" s="5"/>
      <c r="AM37" s="5"/>
      <c r="AN37" s="5"/>
      <c r="AO37" s="5"/>
    </row>
    <row r="38" spans="1:41" x14ac:dyDescent="0.2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2"/>
      <c r="AL38" s="5"/>
      <c r="AM38" s="5"/>
      <c r="AN38" s="5"/>
      <c r="AO38" s="5"/>
    </row>
    <row r="39" spans="1:41" x14ac:dyDescent="0.2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2"/>
      <c r="AL39" s="5"/>
      <c r="AM39" s="5"/>
      <c r="AN39" s="5"/>
      <c r="AO39" s="5"/>
    </row>
    <row r="40" spans="1:41" x14ac:dyDescent="0.2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2"/>
      <c r="AL40" s="5"/>
      <c r="AM40" s="5"/>
      <c r="AN40" s="5"/>
      <c r="AO40" s="5"/>
    </row>
    <row r="41" spans="1:41" x14ac:dyDescent="0.2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2"/>
      <c r="AL41" s="5"/>
      <c r="AM41" s="5"/>
      <c r="AN41" s="5"/>
      <c r="AO41" s="5"/>
    </row>
    <row r="42" spans="1:41" x14ac:dyDescent="0.2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2"/>
      <c r="AL42" s="5"/>
      <c r="AM42" s="5"/>
      <c r="AN42" s="5"/>
      <c r="AO42" s="5"/>
    </row>
    <row r="43" spans="1:41" x14ac:dyDescent="0.2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2"/>
      <c r="AL43" s="5"/>
      <c r="AM43" s="5"/>
      <c r="AN43" s="5"/>
      <c r="AO43" s="5"/>
    </row>
    <row r="44" spans="1:41" x14ac:dyDescent="0.2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2"/>
      <c r="AL44" s="5"/>
      <c r="AM44" s="5"/>
      <c r="AN44" s="5"/>
      <c r="AO44" s="5"/>
    </row>
    <row r="45" spans="1:41" x14ac:dyDescent="0.2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2"/>
      <c r="AL45" s="5"/>
      <c r="AM45" s="5"/>
      <c r="AN45" s="5"/>
      <c r="AO45" s="5"/>
    </row>
    <row r="46" spans="1:41" x14ac:dyDescent="0.2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2"/>
      <c r="AL46" s="5"/>
      <c r="AM46" s="5"/>
      <c r="AN46" s="5"/>
      <c r="AO46" s="5"/>
    </row>
    <row r="47" spans="1:41" ht="18.75" x14ac:dyDescent="0.25">
      <c r="A47" s="5"/>
      <c r="B47" s="5"/>
      <c r="C47" s="91"/>
      <c r="D47" s="5"/>
      <c r="E47" s="5"/>
      <c r="F47" s="6"/>
      <c r="G47" s="106"/>
      <c r="H47" s="5"/>
      <c r="I47" s="5"/>
      <c r="J47" s="6"/>
      <c r="K47" s="106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2"/>
      <c r="AL47" s="5"/>
      <c r="AM47" s="5"/>
      <c r="AN47" s="5"/>
      <c r="AO47" s="5"/>
    </row>
    <row r="48" spans="1:41" ht="15.75" x14ac:dyDescent="0.25">
      <c r="A48" s="5"/>
      <c r="B48" s="5"/>
      <c r="C48" s="91"/>
      <c r="D48" s="5"/>
      <c r="E48" s="5"/>
      <c r="F48" s="104"/>
      <c r="G48" s="104"/>
      <c r="H48" s="5"/>
      <c r="I48" s="5"/>
      <c r="J48" s="104"/>
      <c r="K48" s="104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2"/>
      <c r="AL48" s="5"/>
      <c r="AM48" s="5"/>
      <c r="AN48" s="5"/>
      <c r="AO48" s="5"/>
    </row>
    <row r="49" spans="1:41" ht="15.75" x14ac:dyDescent="0.25">
      <c r="A49" s="5"/>
      <c r="B49" s="5"/>
      <c r="C49" s="91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2"/>
      <c r="AL49" s="5"/>
      <c r="AM49" s="5"/>
      <c r="AN49" s="5"/>
      <c r="AO49" s="5"/>
    </row>
    <row r="50" spans="1:41" ht="15.75" x14ac:dyDescent="0.25">
      <c r="A50" s="5"/>
      <c r="B50" s="5"/>
      <c r="C50" s="91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2"/>
      <c r="AL50" s="5"/>
      <c r="AM50" s="5"/>
      <c r="AN50" s="5"/>
      <c r="AO50" s="5"/>
    </row>
    <row r="51" spans="1:41" ht="15.75" x14ac:dyDescent="0.25">
      <c r="A51" s="5"/>
      <c r="B51" s="5"/>
      <c r="C51" s="91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2"/>
      <c r="AL51" s="5"/>
      <c r="AM51" s="5"/>
      <c r="AN51" s="5"/>
      <c r="AO51" s="5"/>
    </row>
    <row r="52" spans="1:41" ht="15.75" x14ac:dyDescent="0.25">
      <c r="A52" s="5"/>
      <c r="B52" s="5"/>
      <c r="C52" s="9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2"/>
      <c r="AL52" s="5"/>
      <c r="AM52" s="5"/>
      <c r="AN52" s="5"/>
      <c r="AO52" s="5"/>
    </row>
    <row r="53" spans="1:41" ht="15.75" x14ac:dyDescent="0.25">
      <c r="A53" s="5"/>
      <c r="B53" s="5"/>
      <c r="C53" s="9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2"/>
      <c r="AL53" s="5"/>
      <c r="AM53" s="5"/>
      <c r="AN53" s="5"/>
      <c r="AO53" s="5"/>
    </row>
    <row r="54" spans="1:41" ht="15.75" x14ac:dyDescent="0.25">
      <c r="A54" s="5"/>
      <c r="B54" s="5"/>
      <c r="C54" s="9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2"/>
      <c r="AL54" s="5"/>
      <c r="AM54" s="5"/>
      <c r="AN54" s="5"/>
      <c r="AO54" s="5"/>
    </row>
    <row r="55" spans="1:41" x14ac:dyDescent="0.2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2"/>
      <c r="AL55" s="5"/>
      <c r="AM55" s="5"/>
      <c r="AN55" s="5"/>
      <c r="AO55" s="5"/>
    </row>
    <row r="56" spans="1:41" x14ac:dyDescent="0.2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2"/>
      <c r="AL56" s="5"/>
      <c r="AM56" s="5"/>
      <c r="AN56" s="5"/>
      <c r="AO56" s="5"/>
    </row>
    <row r="57" spans="1:41" x14ac:dyDescent="0.2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2"/>
      <c r="AL57" s="5"/>
      <c r="AM57" s="5"/>
      <c r="AN57" s="5"/>
      <c r="AO57" s="5"/>
    </row>
    <row r="58" spans="1:41" x14ac:dyDescent="0.2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2"/>
      <c r="AL58" s="5"/>
      <c r="AM58" s="5"/>
      <c r="AN58" s="5"/>
      <c r="AO58" s="5"/>
    </row>
    <row r="59" spans="1:41" x14ac:dyDescent="0.2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2"/>
      <c r="AL59" s="5"/>
      <c r="AM59" s="5"/>
      <c r="AN59" s="5"/>
      <c r="AO59" s="5"/>
    </row>
    <row r="60" spans="1:41" x14ac:dyDescent="0.2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2"/>
      <c r="AL60" s="5"/>
      <c r="AM60" s="5"/>
      <c r="AN60" s="5"/>
      <c r="AO60" s="5"/>
    </row>
    <row r="61" spans="1:41" x14ac:dyDescent="0.2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2"/>
      <c r="AL61" s="5"/>
      <c r="AM61" s="5"/>
      <c r="AN61" s="5"/>
      <c r="AO61" s="5"/>
    </row>
    <row r="62" spans="1:41" x14ac:dyDescent="0.2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2"/>
      <c r="AL62" s="5"/>
      <c r="AM62" s="5"/>
      <c r="AN62" s="5"/>
      <c r="AO62" s="5"/>
    </row>
    <row r="63" spans="1:41" x14ac:dyDescent="0.2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2"/>
      <c r="AL63" s="5"/>
      <c r="AM63" s="5"/>
      <c r="AN63" s="5"/>
      <c r="AO63" s="5"/>
    </row>
    <row r="64" spans="1:41" x14ac:dyDescent="0.2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2"/>
      <c r="AL64" s="5"/>
      <c r="AM64" s="5"/>
      <c r="AN64" s="5"/>
      <c r="AO64" s="5"/>
    </row>
    <row r="65" spans="1:41" x14ac:dyDescent="0.2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2"/>
      <c r="AL65" s="5"/>
      <c r="AM65" s="5"/>
      <c r="AN65" s="5"/>
      <c r="AO65" s="5"/>
    </row>
    <row r="66" spans="1:41" x14ac:dyDescent="0.2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2"/>
      <c r="AL66" s="5"/>
      <c r="AM66" s="5"/>
      <c r="AN66" s="5"/>
      <c r="AO66" s="5"/>
    </row>
    <row r="67" spans="1:41" x14ac:dyDescent="0.2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2"/>
      <c r="AL67" s="5"/>
      <c r="AM67" s="5"/>
      <c r="AN67" s="5"/>
      <c r="AO67" s="5"/>
    </row>
    <row r="68" spans="1:41" x14ac:dyDescent="0.2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2"/>
      <c r="AL68" s="5"/>
      <c r="AM68" s="5"/>
      <c r="AN68" s="5"/>
      <c r="AO68" s="5"/>
    </row>
    <row r="69" spans="1:41" x14ac:dyDescent="0.25">
      <c r="A69" s="5"/>
      <c r="B69" s="5"/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2"/>
      <c r="AL69" s="5"/>
      <c r="AM69" s="5"/>
      <c r="AN69" s="5"/>
      <c r="AO69" s="5"/>
    </row>
    <row r="70" spans="1:41" ht="15.75" thickBot="1" x14ac:dyDescent="0.3">
      <c r="A70" s="5"/>
      <c r="B70" s="5"/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65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39</v>
      </c>
    </row>
    <row r="137" spans="18:18" x14ac:dyDescent="0.25">
      <c r="R137" s="3" t="s">
        <v>39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 AJ10:AJ27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D15" sqref="D15"/>
    </sheetView>
  </sheetViews>
  <sheetFormatPr baseColWidth="10" defaultRowHeight="15" x14ac:dyDescent="0.25"/>
  <cols>
    <col min="3" max="3" width="16.42578125" bestFit="1" customWidth="1"/>
    <col min="4" max="4" width="13.28515625" bestFit="1" customWidth="1"/>
    <col min="5" max="5" width="12.42578125" bestFit="1" customWidth="1"/>
    <col min="6" max="6" width="13.710937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11"/>
      <c r="C5" s="342" t="s">
        <v>136</v>
      </c>
      <c r="D5" s="343"/>
      <c r="E5" s="343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4"/>
      <c r="R5" t="s">
        <v>39</v>
      </c>
    </row>
    <row r="6" spans="2:18" ht="18.75" x14ac:dyDescent="0.3">
      <c r="B6" s="11"/>
      <c r="C6" s="262" t="s">
        <v>1</v>
      </c>
      <c r="D6" s="258" t="s">
        <v>147</v>
      </c>
      <c r="E6" s="258" t="s">
        <v>6</v>
      </c>
      <c r="F6" s="258" t="s">
        <v>155</v>
      </c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252"/>
    </row>
    <row r="7" spans="2:18" ht="18.75" x14ac:dyDescent="0.3">
      <c r="B7" s="11"/>
      <c r="C7" s="259" t="s">
        <v>137</v>
      </c>
      <c r="D7" s="145">
        <v>6000</v>
      </c>
      <c r="E7" s="145">
        <v>5000</v>
      </c>
      <c r="F7" s="145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9"/>
    </row>
    <row r="8" spans="2:18" ht="18.75" x14ac:dyDescent="0.3">
      <c r="B8" s="11"/>
      <c r="C8" s="260" t="s">
        <v>71</v>
      </c>
      <c r="D8" s="145" t="s">
        <v>20</v>
      </c>
      <c r="E8" s="145" t="s">
        <v>20</v>
      </c>
      <c r="F8" s="145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9"/>
    </row>
    <row r="9" spans="2:18" ht="18.75" x14ac:dyDescent="0.3">
      <c r="B9" s="11"/>
      <c r="C9" s="261" t="s">
        <v>138</v>
      </c>
      <c r="D9" s="145"/>
      <c r="E9" s="145"/>
      <c r="F9" s="145"/>
      <c r="G9" s="11"/>
      <c r="H9" s="11"/>
      <c r="I9" s="11"/>
      <c r="J9" s="11"/>
      <c r="K9" s="11"/>
      <c r="L9" s="11"/>
      <c r="M9" s="11"/>
      <c r="N9" s="11"/>
      <c r="O9" s="11"/>
      <c r="P9" s="11"/>
      <c r="Q9" s="99"/>
    </row>
    <row r="10" spans="2:18" ht="18.75" x14ac:dyDescent="0.3">
      <c r="B10" s="11"/>
      <c r="C10" s="259" t="s">
        <v>139</v>
      </c>
      <c r="D10" s="145">
        <v>0</v>
      </c>
      <c r="E10" s="145">
        <v>26.3</v>
      </c>
      <c r="F10" s="145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9"/>
    </row>
    <row r="11" spans="2:18" ht="18.75" x14ac:dyDescent="0.3">
      <c r="B11" s="11"/>
      <c r="C11" s="259" t="s">
        <v>19</v>
      </c>
      <c r="D11" s="145" t="s">
        <v>18</v>
      </c>
      <c r="E11" s="145" t="s">
        <v>18</v>
      </c>
      <c r="F11" s="145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9"/>
    </row>
    <row r="12" spans="2:18" ht="18.75" x14ac:dyDescent="0.3">
      <c r="B12" s="11"/>
      <c r="C12" s="263" t="s">
        <v>172</v>
      </c>
      <c r="D12" s="145">
        <v>0</v>
      </c>
      <c r="E12" s="145">
        <v>0.58499999999999996</v>
      </c>
      <c r="F12" s="145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9"/>
    </row>
    <row r="13" spans="2:18" ht="18.75" x14ac:dyDescent="0.3">
      <c r="B13" s="11"/>
      <c r="C13" s="157" t="s">
        <v>173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9"/>
    </row>
    <row r="14" spans="2:18" ht="18.75" x14ac:dyDescent="0.3">
      <c r="B14" s="11"/>
      <c r="C14" s="157" t="s">
        <v>166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9"/>
    </row>
    <row r="15" spans="2:18" ht="19.5" thickBot="1" x14ac:dyDescent="0.35">
      <c r="B15" s="11"/>
      <c r="C15" s="264" t="s">
        <v>167</v>
      </c>
      <c r="D15" s="101">
        <v>3</v>
      </c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84"/>
    </row>
    <row r="16" spans="2:18" x14ac:dyDescent="0.25">
      <c r="I16" s="11"/>
      <c r="J16" s="11"/>
      <c r="K16" s="11"/>
      <c r="L16" s="11"/>
    </row>
    <row r="26" spans="11:11" x14ac:dyDescent="0.25">
      <c r="K26" t="s">
        <v>39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workbookViewId="0">
      <selection activeCell="G6" sqref="G6"/>
    </sheetView>
  </sheetViews>
  <sheetFormatPr baseColWidth="10" defaultRowHeight="15" x14ac:dyDescent="0.25"/>
  <cols>
    <col min="4" max="4" width="18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45" t="s">
        <v>140</v>
      </c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7"/>
      <c r="P5" s="11"/>
      <c r="Q5" s="11"/>
    </row>
    <row r="6" spans="3:17" ht="18.75" x14ac:dyDescent="0.3">
      <c r="C6" s="11"/>
      <c r="D6" s="185" t="s">
        <v>1</v>
      </c>
      <c r="E6" s="267" t="s">
        <v>141</v>
      </c>
      <c r="F6" s="231" t="s">
        <v>150</v>
      </c>
      <c r="G6" s="231" t="s">
        <v>151</v>
      </c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75" x14ac:dyDescent="0.3">
      <c r="C7" s="11"/>
      <c r="D7" s="185" t="s">
        <v>137</v>
      </c>
      <c r="E7" s="246">
        <v>111</v>
      </c>
      <c r="F7" s="188">
        <v>112</v>
      </c>
      <c r="G7" s="188">
        <v>113</v>
      </c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8.75" x14ac:dyDescent="0.3">
      <c r="C8" s="11"/>
      <c r="D8" s="185" t="s">
        <v>142</v>
      </c>
      <c r="E8" s="246">
        <v>2</v>
      </c>
      <c r="F8" s="188">
        <v>0</v>
      </c>
      <c r="G8" s="188">
        <v>0</v>
      </c>
      <c r="H8" s="188"/>
      <c r="I8" s="188"/>
      <c r="J8" s="188"/>
      <c r="K8" s="188"/>
      <c r="L8" s="188"/>
      <c r="M8" s="188"/>
      <c r="N8" s="188"/>
      <c r="O8" s="189"/>
      <c r="P8" s="11"/>
      <c r="Q8" s="11"/>
    </row>
    <row r="9" spans="3:17" ht="18.75" x14ac:dyDescent="0.3">
      <c r="C9" s="11"/>
      <c r="D9" s="185" t="s">
        <v>46</v>
      </c>
      <c r="E9" s="246"/>
      <c r="F9" s="188"/>
      <c r="G9" s="188"/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75" x14ac:dyDescent="0.3">
      <c r="C10" s="11"/>
      <c r="D10" s="185" t="s">
        <v>143</v>
      </c>
      <c r="E10" s="246"/>
      <c r="F10" s="188">
        <v>-0.13</v>
      </c>
      <c r="G10" s="188">
        <v>0</v>
      </c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75" x14ac:dyDescent="0.3">
      <c r="C11" s="11"/>
      <c r="D11" s="185" t="s">
        <v>174</v>
      </c>
      <c r="E11" s="272">
        <v>-1</v>
      </c>
      <c r="F11" s="11"/>
      <c r="G11" s="11"/>
      <c r="H11" s="11"/>
      <c r="I11" s="11"/>
      <c r="J11" s="11"/>
      <c r="K11" s="11"/>
      <c r="L11" s="11"/>
      <c r="M11" s="11"/>
      <c r="N11" s="11"/>
      <c r="O11" s="99"/>
      <c r="P11" s="11"/>
      <c r="Q11" s="11"/>
    </row>
    <row r="12" spans="3:17" ht="19.5" thickBot="1" x14ac:dyDescent="0.35">
      <c r="C12" s="11"/>
      <c r="D12" s="185" t="s">
        <v>144</v>
      </c>
      <c r="E12" s="247">
        <f>SUM(E13:E36)</f>
        <v>1</v>
      </c>
      <c r="F12" s="196">
        <f t="shared" ref="F12:O12" si="0">SUM(F13:F36)</f>
        <v>1</v>
      </c>
      <c r="G12" s="196">
        <f t="shared" si="0"/>
        <v>1</v>
      </c>
      <c r="H12" s="196">
        <f t="shared" si="0"/>
        <v>0</v>
      </c>
      <c r="I12" s="196">
        <f t="shared" si="0"/>
        <v>0</v>
      </c>
      <c r="J12" s="196">
        <f t="shared" si="0"/>
        <v>0</v>
      </c>
      <c r="K12" s="196">
        <f t="shared" si="0"/>
        <v>0</v>
      </c>
      <c r="L12" s="196">
        <f t="shared" si="0"/>
        <v>0</v>
      </c>
      <c r="M12" s="196">
        <f t="shared" si="0"/>
        <v>0</v>
      </c>
      <c r="N12" s="196">
        <f t="shared" si="0"/>
        <v>0</v>
      </c>
      <c r="O12" s="197">
        <f t="shared" si="0"/>
        <v>0</v>
      </c>
      <c r="P12" s="11"/>
      <c r="Q12" s="11"/>
    </row>
    <row r="13" spans="3:17" ht="18.75" x14ac:dyDescent="0.3">
      <c r="C13" s="11"/>
      <c r="D13" s="190" t="s">
        <v>25</v>
      </c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P13" s="11"/>
      <c r="Q13" s="11"/>
    </row>
    <row r="14" spans="3:17" ht="18.75" x14ac:dyDescent="0.3">
      <c r="C14" s="11"/>
      <c r="D14" s="191" t="s">
        <v>27</v>
      </c>
      <c r="E14" s="188"/>
      <c r="F14" s="188">
        <v>0.13</v>
      </c>
      <c r="G14" s="188"/>
      <c r="H14" s="192"/>
      <c r="I14" s="188"/>
      <c r="J14" s="188"/>
      <c r="K14" s="188"/>
      <c r="L14" s="188"/>
      <c r="M14" s="188"/>
      <c r="N14" s="188"/>
      <c r="O14" s="189"/>
      <c r="P14" s="11"/>
      <c r="Q14" s="11"/>
    </row>
    <row r="15" spans="3:17" ht="18.75" x14ac:dyDescent="0.3">
      <c r="C15" s="11"/>
      <c r="D15" s="191" t="s">
        <v>28</v>
      </c>
      <c r="E15" s="188"/>
      <c r="F15" s="188"/>
      <c r="G15" s="188"/>
      <c r="H15" s="188"/>
      <c r="I15" s="188"/>
      <c r="J15" s="188"/>
      <c r="K15" s="193"/>
      <c r="L15" s="188"/>
      <c r="M15" s="188"/>
      <c r="N15" s="188"/>
      <c r="O15" s="189"/>
      <c r="P15" s="11"/>
      <c r="Q15" s="11"/>
    </row>
    <row r="16" spans="3:17" ht="18.75" x14ac:dyDescent="0.3">
      <c r="C16" s="11"/>
      <c r="D16" s="191" t="s">
        <v>26</v>
      </c>
      <c r="E16" s="188">
        <v>1</v>
      </c>
      <c r="F16" s="188"/>
      <c r="G16" s="188"/>
      <c r="H16" s="192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22" ht="18.75" x14ac:dyDescent="0.3">
      <c r="C17" s="11"/>
      <c r="D17" s="191" t="s">
        <v>29</v>
      </c>
      <c r="E17" s="188"/>
      <c r="F17" s="188"/>
      <c r="G17" s="188"/>
      <c r="H17" s="188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22" ht="18.75" x14ac:dyDescent="0.3">
      <c r="C18" s="11"/>
      <c r="D18" s="191" t="s">
        <v>40</v>
      </c>
      <c r="E18" s="188"/>
      <c r="F18" s="188"/>
      <c r="G18" s="188"/>
      <c r="H18" s="188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22" ht="18.75" x14ac:dyDescent="0.3">
      <c r="C19" s="11"/>
      <c r="D19" s="191" t="s">
        <v>31</v>
      </c>
      <c r="E19" s="188"/>
      <c r="F19" s="188">
        <v>0.87</v>
      </c>
      <c r="G19" s="188">
        <v>0.77</v>
      </c>
      <c r="H19" s="194"/>
      <c r="I19" s="188"/>
      <c r="J19" s="188"/>
      <c r="K19" s="193"/>
      <c r="L19" s="188"/>
      <c r="M19" s="188"/>
      <c r="N19" s="188"/>
      <c r="O19" s="189"/>
      <c r="P19" s="11"/>
      <c r="Q19" s="11"/>
    </row>
    <row r="20" spans="3:22" ht="18.75" x14ac:dyDescent="0.3">
      <c r="C20" s="11"/>
      <c r="D20" s="191" t="s">
        <v>6</v>
      </c>
      <c r="E20" s="188"/>
      <c r="F20" s="188"/>
      <c r="G20" s="188">
        <v>0.23</v>
      </c>
      <c r="H20" s="194"/>
      <c r="I20" s="188"/>
      <c r="J20" s="188"/>
      <c r="K20" s="188"/>
      <c r="L20" s="188"/>
      <c r="M20" s="188"/>
      <c r="N20" s="188"/>
      <c r="O20" s="189"/>
      <c r="P20" s="11"/>
      <c r="Q20" s="11"/>
    </row>
    <row r="21" spans="3:22" ht="18.75" x14ac:dyDescent="0.3">
      <c r="C21" s="11"/>
      <c r="D21" s="191" t="s">
        <v>50</v>
      </c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22" ht="18.75" x14ac:dyDescent="0.3">
      <c r="C22" s="11"/>
      <c r="D22" s="191" t="s">
        <v>48</v>
      </c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22" ht="18.75" x14ac:dyDescent="0.3">
      <c r="C23" s="11"/>
      <c r="D23" s="191" t="s">
        <v>49</v>
      </c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9"/>
      <c r="P23" s="11"/>
      <c r="V23" s="11" t="s">
        <v>39</v>
      </c>
    </row>
    <row r="24" spans="3:22" ht="18.75" x14ac:dyDescent="0.3">
      <c r="C24" s="11"/>
      <c r="D24" s="191" t="s">
        <v>51</v>
      </c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9"/>
      <c r="P24" s="11"/>
      <c r="Q24" s="11"/>
    </row>
    <row r="25" spans="3:22" x14ac:dyDescent="0.25">
      <c r="C25" s="11"/>
      <c r="D25" s="265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99"/>
      <c r="P25" s="11"/>
      <c r="Q25" s="11"/>
    </row>
    <row r="26" spans="3:22" x14ac:dyDescent="0.25">
      <c r="C26" s="11"/>
      <c r="D26" s="26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9"/>
      <c r="P26" s="11"/>
      <c r="Q26" s="11"/>
    </row>
    <row r="27" spans="3:22" x14ac:dyDescent="0.25">
      <c r="D27" s="26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9"/>
    </row>
    <row r="28" spans="3:22" x14ac:dyDescent="0.25">
      <c r="D28" s="26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9"/>
    </row>
    <row r="29" spans="3:22" x14ac:dyDescent="0.25">
      <c r="D29" s="26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9"/>
    </row>
    <row r="30" spans="3:22" x14ac:dyDescent="0.25">
      <c r="D30" s="26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9"/>
    </row>
    <row r="31" spans="3:22" x14ac:dyDescent="0.25">
      <c r="D31" s="26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9"/>
    </row>
    <row r="32" spans="3:22" x14ac:dyDescent="0.25">
      <c r="D32" s="26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9"/>
    </row>
    <row r="33" spans="4:15" x14ac:dyDescent="0.25">
      <c r="D33" s="26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9"/>
    </row>
    <row r="34" spans="4:15" x14ac:dyDescent="0.25">
      <c r="D34" s="26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9"/>
    </row>
    <row r="35" spans="4:15" x14ac:dyDescent="0.25">
      <c r="D35" s="26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9"/>
    </row>
    <row r="36" spans="4:15" ht="15.75" thickBot="1" x14ac:dyDescent="0.3">
      <c r="D36" s="266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84"/>
    </row>
    <row r="44" spans="4:15" x14ac:dyDescent="0.25">
      <c r="N44" s="11" t="s">
        <v>39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1" sqref="F11"/>
    </sheetView>
  </sheetViews>
  <sheetFormatPr baseColWidth="10" defaultRowHeight="15" x14ac:dyDescent="0.25"/>
  <cols>
    <col min="4" max="4" width="17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48" t="s">
        <v>162</v>
      </c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1"/>
      <c r="Q5" s="11"/>
    </row>
    <row r="6" spans="3:17" ht="18.75" x14ac:dyDescent="0.3">
      <c r="C6" s="11"/>
      <c r="D6" s="248" t="s">
        <v>1</v>
      </c>
      <c r="E6" s="245" t="s">
        <v>163</v>
      </c>
      <c r="F6" s="245"/>
      <c r="G6" s="231"/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75" x14ac:dyDescent="0.3">
      <c r="C7" s="11"/>
      <c r="D7" s="241" t="s">
        <v>137</v>
      </c>
      <c r="E7" s="188">
        <v>301</v>
      </c>
      <c r="F7" s="188"/>
      <c r="G7" s="188"/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5.75" thickBot="1" x14ac:dyDescent="0.3">
      <c r="C8" s="11"/>
      <c r="D8" s="249" t="s">
        <v>165</v>
      </c>
      <c r="E8" s="250">
        <v>3</v>
      </c>
      <c r="F8" s="101"/>
      <c r="G8" s="101"/>
      <c r="H8" s="101"/>
      <c r="I8" s="101"/>
      <c r="J8" s="101"/>
      <c r="K8" s="101"/>
      <c r="L8" s="101"/>
      <c r="M8" s="101"/>
      <c r="N8" s="101"/>
      <c r="O8" s="184"/>
      <c r="P8" s="11"/>
      <c r="Q8" s="11"/>
    </row>
    <row r="9" spans="3:17" ht="18.75" x14ac:dyDescent="0.3">
      <c r="C9" s="11"/>
      <c r="D9" s="185" t="s">
        <v>164</v>
      </c>
      <c r="E9" s="246">
        <v>6000</v>
      </c>
      <c r="F9" s="188"/>
      <c r="G9" s="188"/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75" x14ac:dyDescent="0.3">
      <c r="C10" s="11"/>
      <c r="D10" s="185"/>
      <c r="E10" s="246">
        <v>3000</v>
      </c>
      <c r="F10" s="188"/>
      <c r="G10" s="188"/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75" x14ac:dyDescent="0.3">
      <c r="C11" s="11"/>
      <c r="D11" s="185"/>
      <c r="E11" s="246"/>
      <c r="F11" s="188"/>
      <c r="G11" s="188"/>
      <c r="H11" s="188"/>
      <c r="I11" s="188"/>
      <c r="J11" s="188"/>
      <c r="K11" s="188"/>
      <c r="L11" s="188"/>
      <c r="M11" s="188"/>
      <c r="N11" s="188"/>
      <c r="O11" s="189"/>
      <c r="P11" s="11"/>
      <c r="Q11" s="11"/>
    </row>
    <row r="12" spans="3:17" ht="18.75" x14ac:dyDescent="0.3">
      <c r="C12" s="11"/>
      <c r="D12" s="185"/>
      <c r="E12" s="246"/>
      <c r="F12" s="188"/>
      <c r="G12" s="188"/>
      <c r="H12" s="188"/>
      <c r="I12" s="188"/>
      <c r="J12" s="188"/>
      <c r="K12" s="188"/>
      <c r="L12" s="188"/>
      <c r="M12" s="188"/>
      <c r="N12" s="188"/>
      <c r="O12" s="189"/>
      <c r="P12" s="11"/>
      <c r="Q12" s="11"/>
    </row>
    <row r="13" spans="3:17" ht="18.75" x14ac:dyDescent="0.3">
      <c r="C13" s="11"/>
      <c r="D13" s="191"/>
      <c r="E13" s="100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P13" s="11"/>
      <c r="Q13" s="11"/>
    </row>
    <row r="14" spans="3:17" ht="18.75" x14ac:dyDescent="0.3">
      <c r="C14" s="11"/>
      <c r="D14" s="191"/>
      <c r="E14" s="246"/>
      <c r="F14" s="188"/>
      <c r="G14" s="188"/>
      <c r="H14" s="188"/>
      <c r="I14" s="188"/>
      <c r="J14" s="188"/>
      <c r="K14" s="193"/>
      <c r="L14" s="188"/>
      <c r="M14" s="188"/>
      <c r="N14" s="188"/>
      <c r="O14" s="189"/>
      <c r="P14" s="11"/>
      <c r="Q14" s="11"/>
    </row>
    <row r="15" spans="3:17" ht="18.75" x14ac:dyDescent="0.3">
      <c r="C15" s="11"/>
      <c r="D15" s="191"/>
      <c r="E15" s="246"/>
      <c r="F15" s="188"/>
      <c r="G15" s="188"/>
      <c r="H15" s="192"/>
      <c r="I15" s="188"/>
      <c r="J15" s="188"/>
      <c r="K15" s="193"/>
      <c r="L15" s="188"/>
      <c r="M15" s="188"/>
      <c r="N15" s="188"/>
      <c r="O15" s="189"/>
      <c r="P15" s="11"/>
      <c r="Q15" s="11"/>
    </row>
    <row r="16" spans="3:17" ht="18.75" x14ac:dyDescent="0.3">
      <c r="C16" s="11"/>
      <c r="D16" s="191"/>
      <c r="E16" s="246"/>
      <c r="F16" s="188"/>
      <c r="G16" s="188"/>
      <c r="H16" s="188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17" ht="18.75" x14ac:dyDescent="0.3">
      <c r="C17" s="11"/>
      <c r="D17" s="191"/>
      <c r="E17" s="246"/>
      <c r="F17" s="188"/>
      <c r="G17" s="188"/>
      <c r="H17" s="188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17" ht="18.75" x14ac:dyDescent="0.3">
      <c r="C18" s="11"/>
      <c r="D18" s="191"/>
      <c r="E18" s="246"/>
      <c r="F18" s="188"/>
      <c r="G18" s="188"/>
      <c r="H18" s="194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17" ht="18.75" x14ac:dyDescent="0.3">
      <c r="C19" s="11"/>
      <c r="D19" s="191"/>
      <c r="E19" s="246"/>
      <c r="F19" s="188"/>
      <c r="G19" s="188"/>
      <c r="H19" s="194"/>
      <c r="I19" s="188"/>
      <c r="J19" s="188"/>
      <c r="K19" s="188"/>
      <c r="L19" s="188"/>
      <c r="M19" s="188"/>
      <c r="N19" s="188"/>
      <c r="O19" s="189"/>
      <c r="P19" s="11"/>
      <c r="Q19" s="11"/>
    </row>
    <row r="20" spans="3:17" ht="18.75" x14ac:dyDescent="0.3">
      <c r="C20" s="11"/>
      <c r="D20" s="191"/>
      <c r="E20" s="246"/>
      <c r="F20" s="188"/>
      <c r="G20" s="188"/>
      <c r="H20" s="188"/>
      <c r="I20" s="188"/>
      <c r="J20" s="188"/>
      <c r="K20" s="188"/>
      <c r="L20" s="188"/>
      <c r="M20" s="188"/>
      <c r="N20" s="188"/>
      <c r="O20" s="189"/>
      <c r="P20" s="11"/>
      <c r="Q20" s="11"/>
    </row>
    <row r="21" spans="3:17" ht="18.75" x14ac:dyDescent="0.3">
      <c r="C21" s="11"/>
      <c r="D21" s="191"/>
      <c r="E21" s="246"/>
      <c r="F21" s="188"/>
      <c r="G21" s="188"/>
      <c r="H21" s="188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17" ht="18.75" x14ac:dyDescent="0.3">
      <c r="C22" s="11"/>
      <c r="D22" s="191"/>
      <c r="E22" s="246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17" ht="19.5" thickBot="1" x14ac:dyDescent="0.35">
      <c r="C23" s="11"/>
      <c r="D23" s="195"/>
      <c r="E23" s="247"/>
      <c r="F23" s="196"/>
      <c r="G23" s="196"/>
      <c r="H23" s="196"/>
      <c r="I23" s="196"/>
      <c r="J23" s="196"/>
      <c r="K23" s="196"/>
      <c r="L23" s="196"/>
      <c r="M23" s="196"/>
      <c r="N23" s="196"/>
      <c r="O23" s="197"/>
      <c r="P23" s="11"/>
      <c r="Q23" s="11" t="s">
        <v>39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39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P4" zoomScale="85" zoomScaleNormal="42" workbookViewId="0">
      <selection activeCell="F8" sqref="F8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0.42578125" style="3" bestFit="1" customWidth="1"/>
    <col min="5" max="7" width="15.42578125" style="3" customWidth="1"/>
    <col min="8" max="8" width="21" style="3" bestFit="1" customWidth="1"/>
    <col min="9" max="12" width="15.42578125" style="3" customWidth="1"/>
    <col min="13" max="13" width="32.85546875" style="3" customWidth="1"/>
    <col min="14" max="14" width="20.42578125" style="3" customWidth="1"/>
    <col min="15" max="16" width="25.85546875" style="3" bestFit="1" customWidth="1"/>
    <col min="17" max="18" width="15.42578125" style="3" customWidth="1"/>
    <col min="19" max="19" width="21.42578125" style="3" customWidth="1"/>
    <col min="20" max="20" width="17.42578125" style="3" customWidth="1"/>
    <col min="21" max="21" width="8.42578125" style="3" bestFit="1" customWidth="1"/>
    <col min="22" max="22" width="10.85546875" style="3"/>
    <col min="23" max="23" width="47.42578125" style="3" customWidth="1"/>
    <col min="24" max="24" width="19.85546875" style="3" customWidth="1"/>
    <col min="25" max="25" width="17.42578125" style="3" customWidth="1"/>
    <col min="26" max="26" width="22.425781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84.85546875" style="3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2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2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2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25">
      <c r="A6" s="5"/>
      <c r="B6" s="5"/>
      <c r="C6" s="91"/>
      <c r="D6" s="340"/>
      <c r="E6" s="340"/>
      <c r="F6" s="5"/>
      <c r="G6" s="5"/>
      <c r="H6" s="340"/>
      <c r="I6" s="340"/>
      <c r="J6" s="15"/>
      <c r="K6" s="15"/>
      <c r="L6" s="5"/>
      <c r="M6" s="340"/>
      <c r="N6" s="340"/>
      <c r="O6" s="340"/>
      <c r="P6" s="340"/>
      <c r="Q6" s="5"/>
      <c r="R6" s="5"/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5"/>
      <c r="AH6" s="5"/>
      <c r="AI6" s="92"/>
      <c r="AJ6" s="5"/>
    </row>
    <row r="7" spans="1:36" ht="15.75" thickBot="1" x14ac:dyDescent="0.3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4">
      <c r="A8" s="5"/>
      <c r="B8" s="5"/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1" t="s">
        <v>101</v>
      </c>
      <c r="N8" s="352"/>
      <c r="O8" s="352"/>
      <c r="P8" s="353"/>
      <c r="Q8" s="5"/>
      <c r="R8" s="5"/>
      <c r="S8" s="354" t="s">
        <v>107</v>
      </c>
      <c r="T8" s="355"/>
      <c r="U8" s="356"/>
      <c r="V8" s="198"/>
      <c r="W8" s="357" t="s">
        <v>148</v>
      </c>
      <c r="X8" s="358"/>
      <c r="Y8" s="358"/>
      <c r="Z8" s="359"/>
      <c r="AA8" s="11"/>
      <c r="AB8" s="357" t="s">
        <v>117</v>
      </c>
      <c r="AC8" s="358"/>
      <c r="AD8" s="358"/>
      <c r="AE8" s="358"/>
      <c r="AF8" s="359"/>
      <c r="AG8" s="5"/>
      <c r="AH8" s="5"/>
      <c r="AI8" s="92"/>
      <c r="AJ8" s="5"/>
    </row>
    <row r="9" spans="1:36" ht="21.75" thickBot="1" x14ac:dyDescent="0.4">
      <c r="A9" s="5"/>
      <c r="B9" s="5"/>
      <c r="C9" s="91"/>
      <c r="D9" s="199" t="s">
        <v>56</v>
      </c>
      <c r="E9" s="74" t="s">
        <v>0</v>
      </c>
      <c r="F9" s="5"/>
      <c r="G9" s="5"/>
      <c r="H9" s="200" t="s">
        <v>56</v>
      </c>
      <c r="I9" s="201" t="s">
        <v>83</v>
      </c>
      <c r="J9" s="17"/>
      <c r="K9" s="17"/>
      <c r="L9" s="5"/>
      <c r="M9" s="202" t="s">
        <v>56</v>
      </c>
      <c r="N9" s="202" t="s">
        <v>33</v>
      </c>
      <c r="O9" s="85" t="s">
        <v>102</v>
      </c>
      <c r="P9" s="85" t="s">
        <v>103</v>
      </c>
      <c r="Q9" s="251" t="s">
        <v>169</v>
      </c>
      <c r="R9" s="5"/>
      <c r="S9" s="203" t="s">
        <v>109</v>
      </c>
      <c r="T9" s="203" t="s">
        <v>59</v>
      </c>
      <c r="U9" s="203" t="s">
        <v>110</v>
      </c>
      <c r="V9" s="204"/>
      <c r="W9" s="203" t="s">
        <v>140</v>
      </c>
      <c r="X9" s="205"/>
      <c r="Y9" s="206"/>
      <c r="Z9" s="207"/>
      <c r="AA9" s="11"/>
      <c r="AB9" s="203" t="s">
        <v>114</v>
      </c>
      <c r="AC9" s="203" t="s">
        <v>113</v>
      </c>
      <c r="AD9" s="203" t="s">
        <v>5</v>
      </c>
      <c r="AE9" s="203" t="s">
        <v>115</v>
      </c>
      <c r="AF9" s="203" t="s">
        <v>116</v>
      </c>
      <c r="AG9" s="5"/>
      <c r="AH9" s="5"/>
      <c r="AI9" s="92"/>
      <c r="AJ9" s="5"/>
    </row>
    <row r="10" spans="1:36" ht="18.75" x14ac:dyDescent="0.3">
      <c r="A10" s="5"/>
      <c r="B10" s="5"/>
      <c r="C10" s="91"/>
      <c r="D10" s="208" t="s">
        <v>1</v>
      </c>
      <c r="E10" s="69" t="s">
        <v>158</v>
      </c>
      <c r="F10" s="5"/>
      <c r="G10" s="5"/>
      <c r="H10" s="208" t="s">
        <v>2</v>
      </c>
      <c r="I10" s="69"/>
      <c r="J10" s="5"/>
      <c r="K10" s="5"/>
      <c r="L10" s="5"/>
      <c r="M10" s="208" t="s">
        <v>104</v>
      </c>
      <c r="N10" s="87">
        <v>1.073E-2</v>
      </c>
      <c r="O10" s="87">
        <v>0.90959999999999996</v>
      </c>
      <c r="P10" s="69">
        <v>-0.35</v>
      </c>
      <c r="Q10" s="5"/>
      <c r="R10" s="5"/>
      <c r="S10" s="209">
        <v>3000</v>
      </c>
      <c r="T10" s="210" t="s">
        <v>27</v>
      </c>
      <c r="U10" s="211">
        <v>0.9</v>
      </c>
      <c r="V10" s="212"/>
      <c r="W10" s="127">
        <v>112</v>
      </c>
      <c r="X10" s="77"/>
      <c r="Y10" s="128"/>
      <c r="Z10" s="129"/>
      <c r="AA10" s="15"/>
      <c r="AB10" s="178"/>
      <c r="AC10" s="179"/>
      <c r="AD10" s="179"/>
      <c r="AE10" s="179"/>
      <c r="AF10" s="126"/>
      <c r="AG10" s="5"/>
      <c r="AH10" s="5"/>
      <c r="AI10" s="92"/>
      <c r="AJ10" s="5"/>
    </row>
    <row r="11" spans="1:36" ht="18.75" x14ac:dyDescent="0.3">
      <c r="A11" s="5"/>
      <c r="B11" s="5"/>
      <c r="C11" s="91"/>
      <c r="D11" s="213" t="s">
        <v>3</v>
      </c>
      <c r="E11" s="71">
        <v>1000</v>
      </c>
      <c r="F11" s="5"/>
      <c r="G11" s="5"/>
      <c r="H11" s="213" t="s">
        <v>96</v>
      </c>
      <c r="I11" s="71">
        <v>48.11</v>
      </c>
      <c r="J11" s="5"/>
      <c r="K11" s="5"/>
      <c r="L11" s="5"/>
      <c r="M11" s="214" t="s">
        <v>105</v>
      </c>
      <c r="N11" s="77" t="s">
        <v>22</v>
      </c>
      <c r="O11" s="77" t="s">
        <v>22</v>
      </c>
      <c r="P11" s="71" t="s">
        <v>22</v>
      </c>
      <c r="Q11" s="5"/>
      <c r="R11" s="5"/>
      <c r="S11" s="215">
        <v>3000</v>
      </c>
      <c r="T11" s="15" t="s">
        <v>31</v>
      </c>
      <c r="U11" s="216">
        <v>0.02</v>
      </c>
      <c r="V11" s="212"/>
      <c r="W11" s="133"/>
      <c r="X11" s="77"/>
      <c r="Y11" s="217"/>
      <c r="Z11" s="218"/>
      <c r="AA11" s="15"/>
      <c r="AB11" s="219"/>
      <c r="AC11" s="77"/>
      <c r="AD11" s="217"/>
      <c r="AE11" s="77"/>
      <c r="AF11" s="218"/>
      <c r="AG11" s="5"/>
      <c r="AH11" s="5"/>
      <c r="AI11" s="92"/>
      <c r="AJ11" s="5"/>
    </row>
    <row r="12" spans="1:36" ht="18.75" x14ac:dyDescent="0.3">
      <c r="A12" s="5"/>
      <c r="B12" s="5"/>
      <c r="C12" s="91"/>
      <c r="D12" s="213" t="s">
        <v>71</v>
      </c>
      <c r="E12" s="71"/>
      <c r="F12" s="5"/>
      <c r="G12" s="5"/>
      <c r="H12" s="213" t="s">
        <v>97</v>
      </c>
      <c r="I12" s="71">
        <v>1610</v>
      </c>
      <c r="J12" s="5"/>
      <c r="K12" s="5"/>
      <c r="L12" s="5"/>
      <c r="M12" s="214" t="s">
        <v>106</v>
      </c>
      <c r="N12" s="77" t="s">
        <v>27</v>
      </c>
      <c r="O12" s="77" t="s">
        <v>27</v>
      </c>
      <c r="P12" s="71" t="s">
        <v>27</v>
      </c>
      <c r="Q12" s="5"/>
      <c r="R12" s="5"/>
      <c r="V12" s="212"/>
      <c r="W12" s="133"/>
      <c r="X12" s="77"/>
      <c r="Y12" s="220"/>
      <c r="Z12" s="221"/>
      <c r="AA12" s="222"/>
      <c r="AB12" s="223"/>
      <c r="AC12" s="77"/>
      <c r="AD12" s="220"/>
      <c r="AE12" s="77"/>
      <c r="AF12" s="218"/>
      <c r="AG12" s="5"/>
      <c r="AH12" s="5"/>
      <c r="AI12" s="92"/>
      <c r="AJ12" s="5"/>
    </row>
    <row r="13" spans="1:36" ht="18.75" x14ac:dyDescent="0.3">
      <c r="A13" s="5"/>
      <c r="B13" s="5"/>
      <c r="C13" s="91"/>
      <c r="D13" s="213" t="s">
        <v>85</v>
      </c>
      <c r="E13" s="71"/>
      <c r="F13" s="5"/>
      <c r="G13" s="5"/>
      <c r="H13" s="213" t="s">
        <v>98</v>
      </c>
      <c r="I13" s="71">
        <v>0.7</v>
      </c>
      <c r="J13" s="5"/>
      <c r="K13" s="5"/>
      <c r="L13" s="5"/>
      <c r="M13" s="214"/>
      <c r="N13" s="81"/>
      <c r="O13" s="81"/>
      <c r="P13" s="84"/>
      <c r="Q13" s="5"/>
      <c r="R13" s="5"/>
      <c r="V13" s="222"/>
      <c r="W13" s="133"/>
      <c r="X13" s="77"/>
      <c r="Y13" s="220"/>
      <c r="Z13" s="221"/>
      <c r="AA13" s="222"/>
      <c r="AB13" s="223"/>
      <c r="AC13" s="77"/>
      <c r="AD13" s="220"/>
      <c r="AE13" s="77"/>
      <c r="AF13" s="218"/>
      <c r="AG13" s="5"/>
      <c r="AH13" s="5"/>
      <c r="AI13" s="92"/>
      <c r="AJ13" s="5"/>
    </row>
    <row r="14" spans="1:36" ht="18.75" x14ac:dyDescent="0.3">
      <c r="A14" s="5"/>
      <c r="B14" s="5"/>
      <c r="C14" s="91"/>
      <c r="D14" s="213" t="s">
        <v>86</v>
      </c>
      <c r="E14" s="71">
        <v>25</v>
      </c>
      <c r="F14" s="5"/>
      <c r="G14" s="5"/>
      <c r="H14" s="213" t="s">
        <v>99</v>
      </c>
      <c r="I14" s="71">
        <v>2000</v>
      </c>
      <c r="J14" s="5"/>
      <c r="K14" s="5"/>
      <c r="L14" s="5"/>
      <c r="M14" s="79"/>
      <c r="N14" s="81"/>
      <c r="O14" s="81"/>
      <c r="P14" s="84"/>
      <c r="Q14" s="5"/>
      <c r="R14" s="5"/>
      <c r="S14" s="224"/>
      <c r="T14" s="15"/>
      <c r="U14" s="225"/>
      <c r="V14" s="222"/>
      <c r="W14" s="133"/>
      <c r="X14" s="77"/>
      <c r="Y14" s="220"/>
      <c r="Z14" s="221"/>
      <c r="AA14" s="222"/>
      <c r="AB14" s="223"/>
      <c r="AC14" s="77"/>
      <c r="AD14" s="220"/>
      <c r="AE14" s="77"/>
      <c r="AF14" s="218"/>
      <c r="AG14" s="5"/>
      <c r="AH14" s="5"/>
      <c r="AI14" s="92"/>
      <c r="AJ14" s="5"/>
    </row>
    <row r="15" spans="1:36" ht="18.75" x14ac:dyDescent="0.3">
      <c r="A15" s="5"/>
      <c r="B15" s="5"/>
      <c r="C15" s="91"/>
      <c r="D15" s="213" t="s">
        <v>87</v>
      </c>
      <c r="E15" s="71">
        <v>2.6</v>
      </c>
      <c r="F15" s="5"/>
      <c r="G15" s="5"/>
      <c r="H15" s="214" t="s">
        <v>100</v>
      </c>
      <c r="I15" s="71" t="s">
        <v>23</v>
      </c>
      <c r="J15" s="5"/>
      <c r="K15" s="5"/>
      <c r="L15" s="5"/>
      <c r="M15" s="79"/>
      <c r="N15" s="81"/>
      <c r="O15" s="81"/>
      <c r="P15" s="84"/>
      <c r="Q15" s="5"/>
      <c r="R15" s="5"/>
      <c r="S15" s="223"/>
      <c r="T15" s="77"/>
      <c r="U15" s="221"/>
      <c r="V15" s="222"/>
      <c r="W15" s="133"/>
      <c r="X15" s="77"/>
      <c r="Y15" s="77"/>
      <c r="Z15" s="71"/>
      <c r="AA15" s="15"/>
      <c r="AB15" s="133"/>
      <c r="AC15" s="77"/>
      <c r="AD15" s="77"/>
      <c r="AE15" s="77"/>
      <c r="AF15" s="218"/>
      <c r="AG15" s="5"/>
      <c r="AH15" s="5"/>
      <c r="AI15" s="92"/>
      <c r="AJ15" s="5"/>
    </row>
    <row r="16" spans="1:36" ht="18.75" x14ac:dyDescent="0.3">
      <c r="A16" s="5"/>
      <c r="B16" s="5"/>
      <c r="C16" s="91"/>
      <c r="D16" s="213" t="s">
        <v>88</v>
      </c>
      <c r="E16" s="71">
        <v>1.44</v>
      </c>
      <c r="F16" s="5"/>
      <c r="G16" s="5"/>
      <c r="H16" s="214" t="s">
        <v>84</v>
      </c>
      <c r="I16" s="71" t="s">
        <v>27</v>
      </c>
      <c r="J16" s="5"/>
      <c r="K16" s="5"/>
      <c r="L16" s="5"/>
      <c r="M16" s="79"/>
      <c r="N16" s="81"/>
      <c r="O16" s="81"/>
      <c r="P16" s="84"/>
      <c r="Q16" s="5"/>
      <c r="R16" s="5"/>
      <c r="S16" s="133"/>
      <c r="T16" s="77"/>
      <c r="U16" s="71"/>
      <c r="V16" s="15"/>
      <c r="W16" s="133"/>
      <c r="X16" s="77"/>
      <c r="Y16" s="77"/>
      <c r="Z16" s="71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75" x14ac:dyDescent="0.3">
      <c r="A17" s="5"/>
      <c r="B17" s="5"/>
      <c r="C17" s="91"/>
      <c r="D17" s="213" t="s">
        <v>89</v>
      </c>
      <c r="E17" s="71">
        <v>120</v>
      </c>
      <c r="F17" s="5"/>
      <c r="G17" s="5"/>
      <c r="H17" s="214"/>
      <c r="I17" s="71"/>
      <c r="J17" s="5"/>
      <c r="K17" s="5"/>
      <c r="L17" s="5"/>
      <c r="M17" s="79"/>
      <c r="N17" s="81"/>
      <c r="O17" s="81"/>
      <c r="P17" s="84"/>
      <c r="Q17" s="5"/>
      <c r="R17" s="5"/>
      <c r="S17" s="133"/>
      <c r="T17" s="77"/>
      <c r="U17" s="71"/>
      <c r="V17" s="15"/>
      <c r="W17" s="133"/>
      <c r="X17" s="77"/>
      <c r="Y17" s="77"/>
      <c r="Z17" s="71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75" x14ac:dyDescent="0.3">
      <c r="A18" s="5"/>
      <c r="B18" s="5"/>
      <c r="C18" s="91"/>
      <c r="D18" s="72" t="s">
        <v>90</v>
      </c>
      <c r="E18" s="71">
        <v>120</v>
      </c>
      <c r="F18" s="5"/>
      <c r="G18" s="5"/>
      <c r="H18" s="79"/>
      <c r="I18" s="84"/>
      <c r="J18" s="5"/>
      <c r="K18" s="5"/>
      <c r="L18" s="5"/>
      <c r="M18" s="79"/>
      <c r="N18" s="81"/>
      <c r="O18" s="81"/>
      <c r="P18" s="84"/>
      <c r="Q18" s="5"/>
      <c r="R18" s="5"/>
      <c r="S18" s="133"/>
      <c r="T18" s="77"/>
      <c r="U18" s="71"/>
      <c r="V18" s="15"/>
      <c r="W18" s="133"/>
      <c r="X18" s="77"/>
      <c r="Y18" s="77"/>
      <c r="Z18" s="71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75" x14ac:dyDescent="0.3">
      <c r="A19" s="5"/>
      <c r="B19" s="5"/>
      <c r="C19" s="91"/>
      <c r="D19" s="213" t="s">
        <v>91</v>
      </c>
      <c r="E19" s="71">
        <v>100</v>
      </c>
      <c r="F19" s="5"/>
      <c r="G19" s="5"/>
      <c r="H19" s="79"/>
      <c r="I19" s="84"/>
      <c r="J19" s="5"/>
      <c r="K19" s="5"/>
      <c r="L19" s="5"/>
      <c r="M19" s="79"/>
      <c r="N19" s="81"/>
      <c r="O19" s="81"/>
      <c r="P19" s="84"/>
      <c r="Q19" s="5"/>
      <c r="R19" s="5"/>
      <c r="S19" s="133"/>
      <c r="T19" s="77"/>
      <c r="U19" s="71"/>
      <c r="V19" s="15"/>
      <c r="W19" s="133"/>
      <c r="X19" s="77"/>
      <c r="Y19" s="77"/>
      <c r="Z19" s="71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75" x14ac:dyDescent="0.3">
      <c r="A20" s="5"/>
      <c r="B20" s="5"/>
      <c r="C20" s="91"/>
      <c r="D20" s="72" t="s">
        <v>92</v>
      </c>
      <c r="E20" s="71">
        <v>100</v>
      </c>
      <c r="F20" s="5"/>
      <c r="G20" s="5"/>
      <c r="H20" s="79"/>
      <c r="I20" s="84"/>
      <c r="J20" s="5"/>
      <c r="K20" s="5"/>
      <c r="L20" s="5"/>
      <c r="M20" s="79"/>
      <c r="N20" s="81"/>
      <c r="O20" s="81"/>
      <c r="P20" s="84"/>
      <c r="Q20" s="5"/>
      <c r="R20" s="5"/>
      <c r="S20" s="133"/>
      <c r="T20" s="77"/>
      <c r="U20" s="71"/>
      <c r="V20" s="15"/>
      <c r="W20" s="133"/>
      <c r="X20" s="77"/>
      <c r="Y20" s="77"/>
      <c r="Z20" s="71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75" x14ac:dyDescent="0.3">
      <c r="A21" s="5"/>
      <c r="B21" s="5"/>
      <c r="C21" s="91"/>
      <c r="D21" s="72" t="s">
        <v>93</v>
      </c>
      <c r="E21" s="71"/>
      <c r="F21" s="5"/>
      <c r="G21" s="5"/>
      <c r="H21" s="79"/>
      <c r="I21" s="84"/>
      <c r="J21" s="5"/>
      <c r="K21" s="5"/>
      <c r="L21" s="5"/>
      <c r="M21" s="79"/>
      <c r="N21" s="81"/>
      <c r="O21" s="81"/>
      <c r="P21" s="84"/>
      <c r="Q21" s="5"/>
      <c r="R21" s="5"/>
      <c r="S21" s="133"/>
      <c r="T21" s="77"/>
      <c r="U21" s="71"/>
      <c r="V21" s="15"/>
      <c r="W21" s="133"/>
      <c r="X21" s="77"/>
      <c r="Y21" s="77"/>
      <c r="Z21" s="71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9.5" thickBot="1" x14ac:dyDescent="0.35">
      <c r="A22" s="5"/>
      <c r="B22" s="5"/>
      <c r="C22" s="91"/>
      <c r="D22" s="72" t="s">
        <v>94</v>
      </c>
      <c r="E22" s="71"/>
      <c r="F22" s="5"/>
      <c r="G22" s="5"/>
      <c r="H22" s="79"/>
      <c r="I22" s="84"/>
      <c r="J22" s="5"/>
      <c r="K22" s="5"/>
      <c r="L22" s="5"/>
      <c r="M22" s="86"/>
      <c r="N22" s="82"/>
      <c r="O22" s="82"/>
      <c r="P22" s="83"/>
      <c r="Q22" s="5"/>
      <c r="R22" s="5"/>
      <c r="S22" s="133"/>
      <c r="T22" s="77"/>
      <c r="U22" s="71"/>
      <c r="V22" s="15"/>
      <c r="W22" s="133"/>
      <c r="X22" s="77"/>
      <c r="Y22" s="77"/>
      <c r="Z22" s="71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9.5" thickBot="1" x14ac:dyDescent="0.35">
      <c r="A23" s="5"/>
      <c r="B23" s="5"/>
      <c r="C23" s="91"/>
      <c r="D23" s="72" t="s">
        <v>95</v>
      </c>
      <c r="E23" s="71"/>
      <c r="F23" s="5"/>
      <c r="G23" s="5"/>
      <c r="H23" s="80"/>
      <c r="I23" s="65"/>
      <c r="J23" s="5"/>
      <c r="K23" s="5"/>
      <c r="L23" s="5"/>
      <c r="M23" s="5"/>
      <c r="N23" s="5"/>
      <c r="O23" s="5"/>
      <c r="P23" s="5"/>
      <c r="Q23" s="5"/>
      <c r="R23" s="5"/>
      <c r="S23" s="133"/>
      <c r="T23" s="77"/>
      <c r="U23" s="71"/>
      <c r="V23" s="15"/>
      <c r="W23" s="133"/>
      <c r="X23" s="77"/>
      <c r="Y23" s="77"/>
      <c r="Z23" s="71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9.5" thickBot="1" x14ac:dyDescent="0.35">
      <c r="A24" s="5"/>
      <c r="B24" s="5"/>
      <c r="C24" s="100"/>
      <c r="D24" s="157" t="s">
        <v>118</v>
      </c>
      <c r="E24" s="99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6"/>
      <c r="T24" s="137"/>
      <c r="U24" s="73"/>
      <c r="V24" s="15"/>
      <c r="W24" s="133"/>
      <c r="X24" s="77"/>
      <c r="Y24" s="77"/>
      <c r="Z24" s="71"/>
      <c r="AA24" s="15"/>
      <c r="AB24" s="136"/>
      <c r="AC24" s="137"/>
      <c r="AD24" s="137"/>
      <c r="AE24" s="137"/>
      <c r="AF24" s="73"/>
      <c r="AG24" s="5"/>
      <c r="AH24" s="5"/>
      <c r="AI24" s="92"/>
      <c r="AJ24" s="5"/>
    </row>
    <row r="25" spans="1:36" ht="18.75" x14ac:dyDescent="0.3">
      <c r="A25" s="5"/>
      <c r="B25" s="5"/>
      <c r="C25" s="100"/>
      <c r="D25" s="157" t="s">
        <v>119</v>
      </c>
      <c r="E25" s="99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4"/>
      <c r="X25" s="145"/>
      <c r="Y25" s="145"/>
      <c r="Z25" s="146"/>
      <c r="AA25" s="5"/>
      <c r="AB25" s="5"/>
      <c r="AC25" s="5"/>
      <c r="AD25" s="5"/>
      <c r="AE25" s="5"/>
      <c r="AF25" s="5"/>
      <c r="AG25" s="5"/>
      <c r="AH25" s="5"/>
      <c r="AI25" s="92"/>
      <c r="AJ25" s="5"/>
    </row>
    <row r="26" spans="1:36" ht="18.75" x14ac:dyDescent="0.3">
      <c r="A26" s="5"/>
      <c r="B26" s="5"/>
      <c r="C26" s="100"/>
      <c r="D26" s="158" t="s">
        <v>120</v>
      </c>
      <c r="E26" s="92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4"/>
      <c r="X26" s="145"/>
      <c r="Y26" s="145"/>
      <c r="Z26" s="146"/>
      <c r="AA26" s="5"/>
      <c r="AB26" s="5"/>
      <c r="AC26" s="5"/>
      <c r="AD26" s="5"/>
      <c r="AE26" s="5"/>
      <c r="AF26" s="5"/>
      <c r="AG26" s="5"/>
      <c r="AH26" s="5"/>
      <c r="AI26" s="92"/>
      <c r="AJ26" s="5"/>
    </row>
    <row r="27" spans="1:36" ht="19.5" thickBot="1" x14ac:dyDescent="0.35">
      <c r="A27" s="5"/>
      <c r="B27" s="5"/>
      <c r="C27" s="100"/>
      <c r="D27" s="159" t="s">
        <v>149</v>
      </c>
      <c r="E27" s="73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7"/>
      <c r="X27" s="148"/>
      <c r="Y27" s="148"/>
      <c r="Z27" s="149"/>
      <c r="AA27" s="5"/>
      <c r="AB27" s="5"/>
      <c r="AC27" s="5"/>
      <c r="AD27" s="5"/>
      <c r="AE27" s="5"/>
      <c r="AF27" s="5"/>
      <c r="AG27" s="5"/>
      <c r="AH27" s="5"/>
      <c r="AI27" s="92"/>
      <c r="AJ27" s="5"/>
    </row>
    <row r="28" spans="1:36" x14ac:dyDescent="0.2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2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2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2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2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2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2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2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2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2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2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2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2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2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2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2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2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2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2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75" x14ac:dyDescent="0.25">
      <c r="A47" s="5"/>
      <c r="B47" s="5"/>
      <c r="C47" s="91"/>
      <c r="D47" s="360"/>
      <c r="E47" s="360"/>
      <c r="F47" s="360"/>
      <c r="G47" s="360"/>
      <c r="H47" s="360"/>
      <c r="I47" s="360"/>
      <c r="J47" s="360"/>
      <c r="K47" s="360"/>
      <c r="L47" s="360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75" x14ac:dyDescent="0.25">
      <c r="A48" s="5"/>
      <c r="B48" s="5"/>
      <c r="C48" s="91"/>
      <c r="D48" s="227"/>
      <c r="E48" s="227"/>
      <c r="F48" s="227"/>
      <c r="G48" s="227"/>
      <c r="H48" s="227"/>
      <c r="I48" s="227"/>
      <c r="J48" s="227"/>
      <c r="K48" s="227"/>
      <c r="L48" s="22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75" x14ac:dyDescent="0.25">
      <c r="A49" s="5"/>
      <c r="B49" s="5"/>
      <c r="C49" s="91"/>
      <c r="D49" s="226"/>
      <c r="E49" s="226"/>
      <c r="F49" s="226"/>
      <c r="G49" s="228"/>
      <c r="H49" s="226"/>
      <c r="I49" s="229"/>
      <c r="J49" s="229"/>
      <c r="K49" s="229"/>
      <c r="L49" s="229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75" x14ac:dyDescent="0.25">
      <c r="A50" s="5"/>
      <c r="B50" s="5"/>
      <c r="C50" s="91"/>
      <c r="D50" s="226"/>
      <c r="E50" s="226"/>
      <c r="F50" s="226"/>
      <c r="G50" s="228"/>
      <c r="H50" s="226"/>
      <c r="I50" s="229"/>
      <c r="J50" s="229"/>
      <c r="K50" s="229"/>
      <c r="L50" s="229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75" x14ac:dyDescent="0.25">
      <c r="A51" s="5"/>
      <c r="B51" s="5"/>
      <c r="C51" s="91"/>
      <c r="D51" s="226"/>
      <c r="E51" s="226"/>
      <c r="F51" s="226"/>
      <c r="G51" s="228"/>
      <c r="H51" s="226"/>
      <c r="I51" s="229"/>
      <c r="J51" s="229"/>
      <c r="K51" s="229"/>
      <c r="L51" s="229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75" x14ac:dyDescent="0.25">
      <c r="A52" s="5"/>
      <c r="B52" s="5"/>
      <c r="C52" s="91"/>
      <c r="D52" s="226"/>
      <c r="E52" s="226"/>
      <c r="F52" s="226"/>
      <c r="G52" s="228"/>
      <c r="H52" s="230"/>
      <c r="I52" s="230"/>
      <c r="J52" s="230"/>
      <c r="K52" s="230"/>
      <c r="L52" s="230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75" x14ac:dyDescent="0.25">
      <c r="A53" s="5"/>
      <c r="B53" s="5"/>
      <c r="C53" s="91"/>
      <c r="D53" s="226"/>
      <c r="E53" s="226"/>
      <c r="F53" s="226"/>
      <c r="G53" s="228"/>
      <c r="H53" s="230"/>
      <c r="I53" s="230"/>
      <c r="J53" s="230"/>
      <c r="K53" s="230"/>
      <c r="L53" s="230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75" x14ac:dyDescent="0.25">
      <c r="A54" s="5"/>
      <c r="B54" s="5"/>
      <c r="C54" s="91"/>
      <c r="D54" s="226"/>
      <c r="E54" s="226"/>
      <c r="F54" s="226"/>
      <c r="G54" s="228"/>
      <c r="H54" s="230"/>
      <c r="I54" s="230"/>
      <c r="J54" s="230"/>
      <c r="K54" s="230"/>
      <c r="L54" s="230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2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2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2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2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2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2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2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2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2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2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2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2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2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2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.75" thickBot="1" x14ac:dyDescent="0.3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2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39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O5" zoomScale="78" zoomScaleNormal="78" workbookViewId="0">
      <selection activeCell="K9" sqref="K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5.42578125" style="3" customWidth="1"/>
    <col min="5" max="5" width="18.7109375" style="3" customWidth="1"/>
    <col min="6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3" width="27.28515625" style="3" customWidth="1"/>
    <col min="14" max="14" width="15.28515625" style="3" customWidth="1"/>
    <col min="15" max="15" width="27.42578125" style="3" customWidth="1"/>
    <col min="16" max="16" width="33.85546875" style="3" customWidth="1"/>
    <col min="17" max="18" width="15.28515625" style="3" customWidth="1"/>
    <col min="19" max="19" width="19" style="3" customWidth="1"/>
    <col min="20" max="20" width="26.140625" style="3" customWidth="1"/>
    <col min="21" max="22" width="10.85546875" style="3"/>
    <col min="23" max="23" width="21.42578125" style="3" customWidth="1"/>
    <col min="24" max="24" width="35.140625" style="3" customWidth="1"/>
    <col min="25" max="25" width="21.42578125" style="3" customWidth="1"/>
    <col min="26" max="26" width="19.28515625" style="3" customWidth="1"/>
    <col min="27" max="28" width="10.85546875" style="3"/>
    <col min="29" max="29" width="27" style="3" customWidth="1"/>
    <col min="30" max="31" width="10.85546875" style="3"/>
    <col min="32" max="32" width="61.42578125" style="3" customWidth="1"/>
    <col min="33" max="33" width="10.85546875" style="3"/>
    <col min="34" max="34" width="12.42578125" style="3" bestFit="1" customWidth="1"/>
    <col min="35" max="38" width="10.85546875" style="3"/>
    <col min="39" max="39" width="18.28515625" style="3" customWidth="1"/>
    <col min="40" max="40" width="21.85546875" style="3" customWidth="1"/>
    <col min="41" max="16384" width="10.85546875" style="3"/>
  </cols>
  <sheetData>
    <row r="1" spans="3:43" ht="10.5" customHeight="1" thickBot="1" x14ac:dyDescent="0.3"/>
    <row r="2" spans="3:43" ht="17.100000000000001" customHeight="1" x14ac:dyDescent="0.2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97"/>
      <c r="AI2" s="97"/>
      <c r="AJ2" s="97"/>
      <c r="AK2" s="97"/>
      <c r="AL2" s="97"/>
      <c r="AM2" s="97"/>
      <c r="AN2" s="97"/>
      <c r="AO2" s="97"/>
      <c r="AP2" s="97"/>
      <c r="AQ2" s="98"/>
    </row>
    <row r="3" spans="3:43" x14ac:dyDescent="0.2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5"/>
    </row>
    <row r="4" spans="3:43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5"/>
    </row>
    <row r="5" spans="3:43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5"/>
    </row>
    <row r="6" spans="3:43" x14ac:dyDescent="0.2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Q6" s="175"/>
    </row>
    <row r="7" spans="3:43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5"/>
    </row>
    <row r="8" spans="3:43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1" t="s">
        <v>101</v>
      </c>
      <c r="N8" s="352"/>
      <c r="O8" s="352"/>
      <c r="P8" s="353"/>
      <c r="Q8" s="5"/>
      <c r="R8" s="5"/>
      <c r="S8" s="330" t="s">
        <v>107</v>
      </c>
      <c r="T8" s="331"/>
      <c r="U8" s="332"/>
      <c r="V8" s="12"/>
      <c r="W8" s="333" t="s">
        <v>146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64" t="s">
        <v>8</v>
      </c>
      <c r="AI8" s="365"/>
      <c r="AJ8" s="366"/>
      <c r="AK8" s="106"/>
      <c r="AL8" s="364" t="s">
        <v>9</v>
      </c>
      <c r="AM8" s="365"/>
      <c r="AN8" s="366"/>
      <c r="AQ8" s="175"/>
    </row>
    <row r="9" spans="3:43" ht="21.75" thickBot="1" x14ac:dyDescent="0.4">
      <c r="C9" s="91"/>
      <c r="D9" s="124" t="s">
        <v>56</v>
      </c>
      <c r="E9" s="125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251" t="s">
        <v>169</v>
      </c>
      <c r="R9" s="5"/>
      <c r="S9" s="110" t="s">
        <v>109</v>
      </c>
      <c r="T9" s="110" t="s">
        <v>59</v>
      </c>
      <c r="U9" s="110" t="s">
        <v>110</v>
      </c>
      <c r="V9" s="13"/>
      <c r="W9" s="90" t="s">
        <v>140</v>
      </c>
      <c r="X9" s="361"/>
      <c r="Y9" s="362"/>
      <c r="Z9" s="363"/>
      <c r="AA9" s="11"/>
      <c r="AB9" s="110" t="s">
        <v>114</v>
      </c>
      <c r="AC9" s="110" t="s">
        <v>113</v>
      </c>
      <c r="AD9" s="110" t="s">
        <v>5</v>
      </c>
      <c r="AE9" s="110" t="s">
        <v>115</v>
      </c>
      <c r="AF9" s="110" t="s">
        <v>116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Q9" s="175"/>
    </row>
    <row r="10" spans="3:43" ht="18.75" x14ac:dyDescent="0.3">
      <c r="C10" s="91"/>
      <c r="D10" s="68" t="s">
        <v>1</v>
      </c>
      <c r="E10" s="69" t="s">
        <v>38</v>
      </c>
      <c r="F10" s="81"/>
      <c r="G10" s="81"/>
      <c r="H10" s="70" t="s">
        <v>2</v>
      </c>
      <c r="I10" s="71"/>
      <c r="J10" s="81"/>
      <c r="K10" s="81"/>
      <c r="L10" s="81"/>
      <c r="M10" s="68" t="s">
        <v>104</v>
      </c>
      <c r="N10" s="128">
        <v>48.95</v>
      </c>
      <c r="O10" s="128">
        <v>-15.62</v>
      </c>
      <c r="P10" s="71"/>
      <c r="Q10" s="81"/>
      <c r="R10" s="138"/>
      <c r="S10" s="127">
        <v>2110</v>
      </c>
      <c r="T10" s="128" t="s">
        <v>28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27"/>
      <c r="AC10" s="128"/>
      <c r="AD10" s="128"/>
      <c r="AE10" s="128"/>
      <c r="AF10" s="129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28" t="s">
        <v>26</v>
      </c>
      <c r="AN10" s="129">
        <v>1</v>
      </c>
      <c r="AQ10" s="175"/>
    </row>
    <row r="11" spans="3:43" ht="18.75" x14ac:dyDescent="0.3">
      <c r="C11" s="91"/>
      <c r="D11" s="70" t="s">
        <v>3</v>
      </c>
      <c r="E11" s="129">
        <v>2100</v>
      </c>
      <c r="F11" s="81"/>
      <c r="G11" s="81"/>
      <c r="H11" s="70" t="s">
        <v>96</v>
      </c>
      <c r="I11" s="129">
        <v>0.70699999999999996</v>
      </c>
      <c r="J11" s="81"/>
      <c r="K11" s="81"/>
      <c r="L11" s="81"/>
      <c r="M11" s="78" t="s">
        <v>105</v>
      </c>
      <c r="N11" s="128" t="s">
        <v>23</v>
      </c>
      <c r="O11" s="128" t="s">
        <v>23</v>
      </c>
      <c r="P11" s="71"/>
      <c r="Q11" s="81"/>
      <c r="R11" s="138"/>
      <c r="S11" s="151">
        <v>2110</v>
      </c>
      <c r="T11" s="150" t="s">
        <v>6</v>
      </c>
      <c r="U11" s="152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26</v>
      </c>
      <c r="AI11" s="128">
        <v>1</v>
      </c>
      <c r="AJ11" s="129">
        <v>-1</v>
      </c>
      <c r="AK11" s="130"/>
      <c r="AL11" s="131"/>
      <c r="AM11" s="106"/>
      <c r="AN11" s="119"/>
      <c r="AQ11" s="175"/>
    </row>
    <row r="12" spans="3:43" ht="18.75" x14ac:dyDescent="0.3">
      <c r="C12" s="91"/>
      <c r="D12" s="70" t="s">
        <v>71</v>
      </c>
      <c r="E12" s="129" t="s">
        <v>37</v>
      </c>
      <c r="F12" s="81"/>
      <c r="G12" s="81"/>
      <c r="H12" s="70" t="s">
        <v>97</v>
      </c>
      <c r="I12" s="129">
        <v>1</v>
      </c>
      <c r="J12" s="81"/>
      <c r="K12" s="81"/>
      <c r="L12" s="81"/>
      <c r="M12" s="78" t="s">
        <v>106</v>
      </c>
      <c r="N12" s="128" t="s">
        <v>28</v>
      </c>
      <c r="O12" s="128" t="s">
        <v>28</v>
      </c>
      <c r="P12" s="71"/>
      <c r="Q12" s="81"/>
      <c r="R12" s="138"/>
      <c r="S12" s="151">
        <v>5000</v>
      </c>
      <c r="T12" s="128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28</v>
      </c>
      <c r="AI12" s="128">
        <v>1</v>
      </c>
      <c r="AJ12" s="129">
        <v>0.11</v>
      </c>
      <c r="AK12" s="130"/>
      <c r="AL12" s="131"/>
      <c r="AM12" s="106"/>
      <c r="AN12" s="119"/>
      <c r="AQ12" s="175"/>
    </row>
    <row r="13" spans="3:43" ht="18.75" x14ac:dyDescent="0.3">
      <c r="C13" s="91"/>
      <c r="D13" s="70" t="s">
        <v>85</v>
      </c>
      <c r="E13" s="129"/>
      <c r="F13" s="81"/>
      <c r="G13" s="81"/>
      <c r="H13" s="70" t="s">
        <v>98</v>
      </c>
      <c r="I13" s="129">
        <v>0.92249999999999999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28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Q13" s="175"/>
    </row>
    <row r="14" spans="3:43" ht="18.75" x14ac:dyDescent="0.3">
      <c r="C14" s="91"/>
      <c r="D14" s="70" t="s">
        <v>86</v>
      </c>
      <c r="E14" s="129">
        <v>20</v>
      </c>
      <c r="F14" s="81"/>
      <c r="G14" s="81"/>
      <c r="H14" s="70" t="s">
        <v>99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Q14" s="175"/>
    </row>
    <row r="15" spans="3:43" ht="18.75" x14ac:dyDescent="0.3">
      <c r="C15" s="91"/>
      <c r="D15" s="70" t="s">
        <v>87</v>
      </c>
      <c r="E15" s="129">
        <v>0.56999999999999995</v>
      </c>
      <c r="F15" s="81"/>
      <c r="G15" s="81"/>
      <c r="H15" s="78" t="s">
        <v>100</v>
      </c>
      <c r="I15" s="71" t="s">
        <v>44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Q15" s="175"/>
    </row>
    <row r="16" spans="3:43" ht="18.75" x14ac:dyDescent="0.3">
      <c r="C16" s="91"/>
      <c r="D16" s="70" t="s">
        <v>88</v>
      </c>
      <c r="E16" s="129">
        <v>0.7</v>
      </c>
      <c r="F16" s="81"/>
      <c r="G16" s="81"/>
      <c r="H16" s="78" t="s">
        <v>84</v>
      </c>
      <c r="I16" s="71" t="s">
        <v>28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Q16" s="175"/>
    </row>
    <row r="17" spans="3:43" ht="18.75" x14ac:dyDescent="0.3">
      <c r="C17" s="91"/>
      <c r="D17" s="70" t="s">
        <v>89</v>
      </c>
      <c r="E17" s="71">
        <v>75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Q17" s="175"/>
    </row>
    <row r="18" spans="3:43" ht="18.75" x14ac:dyDescent="0.3">
      <c r="C18" s="91"/>
      <c r="D18" s="72" t="s">
        <v>90</v>
      </c>
      <c r="E18" s="71">
        <v>75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Q18" s="175"/>
    </row>
    <row r="19" spans="3:43" ht="18.75" x14ac:dyDescent="0.3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Q19" s="175"/>
    </row>
    <row r="20" spans="3:43" ht="18.75" x14ac:dyDescent="0.3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Q20" s="175"/>
    </row>
    <row r="21" spans="3:43" ht="18.75" x14ac:dyDescent="0.3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Q21" s="175"/>
    </row>
    <row r="22" spans="3:43" ht="18.75" x14ac:dyDescent="0.3">
      <c r="C22" s="91"/>
      <c r="D22" s="72" t="s">
        <v>94</v>
      </c>
      <c r="E22" s="71">
        <v>1000</v>
      </c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Q22" s="175"/>
    </row>
    <row r="23" spans="3:43" ht="18.75" x14ac:dyDescent="0.3">
      <c r="C23" s="91"/>
      <c r="D23" s="72" t="s">
        <v>95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Q23" s="175"/>
    </row>
    <row r="24" spans="3:43" ht="18.75" x14ac:dyDescent="0.3">
      <c r="C24" s="91"/>
      <c r="D24" s="157" t="s">
        <v>118</v>
      </c>
      <c r="E24" s="71">
        <v>0.46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Q24" s="175"/>
    </row>
    <row r="25" spans="3:43" ht="18.75" x14ac:dyDescent="0.3">
      <c r="C25" s="91"/>
      <c r="D25" s="157" t="s">
        <v>119</v>
      </c>
      <c r="E25" s="71">
        <v>60000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Q25" s="175"/>
    </row>
    <row r="26" spans="3:43" ht="19.5" thickBot="1" x14ac:dyDescent="0.35">
      <c r="C26" s="91"/>
      <c r="D26" s="158" t="s">
        <v>122</v>
      </c>
      <c r="E26" s="71" t="s">
        <v>121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7"/>
      <c r="AC26" s="148"/>
      <c r="AD26" s="148"/>
      <c r="AE26" s="148"/>
      <c r="AF26" s="149"/>
      <c r="AG26" s="145"/>
      <c r="AH26" s="131"/>
      <c r="AI26" s="77"/>
      <c r="AJ26" s="71"/>
      <c r="AK26" s="77"/>
      <c r="AL26" s="133"/>
      <c r="AM26" s="106"/>
      <c r="AN26" s="71"/>
      <c r="AQ26" s="175"/>
    </row>
    <row r="27" spans="3:43" ht="19.5" thickBot="1" x14ac:dyDescent="0.35">
      <c r="C27" s="91"/>
      <c r="D27" s="159" t="s">
        <v>129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5"/>
      <c r="AC27" s="145"/>
      <c r="AD27" s="145"/>
      <c r="AE27" s="145"/>
      <c r="AF27" s="145"/>
      <c r="AG27" s="145"/>
      <c r="AH27" s="160"/>
      <c r="AI27" s="137"/>
      <c r="AJ27" s="73"/>
      <c r="AK27" s="77"/>
      <c r="AL27" s="136"/>
      <c r="AM27" s="162"/>
      <c r="AN27" s="73"/>
      <c r="AQ27" s="175"/>
    </row>
    <row r="28" spans="3:43" ht="15.75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5"/>
    </row>
    <row r="29" spans="3:43" ht="15.75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5"/>
    </row>
    <row r="30" spans="3:43" ht="15.75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5"/>
    </row>
    <row r="31" spans="3:43" x14ac:dyDescent="0.2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5"/>
    </row>
    <row r="32" spans="3:43" x14ac:dyDescent="0.25">
      <c r="C32" s="91"/>
      <c r="D32" s="5"/>
      <c r="E32" s="5"/>
      <c r="F32" s="113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5"/>
    </row>
    <row r="33" spans="3:43" x14ac:dyDescent="0.25">
      <c r="C33" s="91"/>
      <c r="D33" s="5"/>
      <c r="E33" s="5"/>
      <c r="F33" s="5"/>
      <c r="G33" s="5"/>
      <c r="H33" s="111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5"/>
    </row>
    <row r="34" spans="3:43" x14ac:dyDescent="0.25">
      <c r="C34" s="91"/>
      <c r="D34" s="5"/>
      <c r="E34" s="5"/>
      <c r="F34" s="11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5"/>
    </row>
    <row r="35" spans="3:43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5"/>
    </row>
    <row r="36" spans="3:43" x14ac:dyDescent="0.2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5"/>
    </row>
    <row r="37" spans="3:43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5"/>
    </row>
    <row r="38" spans="3:43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5"/>
    </row>
    <row r="39" spans="3:43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5"/>
    </row>
    <row r="40" spans="3:43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5"/>
    </row>
    <row r="41" spans="3:43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5"/>
    </row>
    <row r="42" spans="3:43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5"/>
    </row>
    <row r="43" spans="3:43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5"/>
    </row>
    <row r="44" spans="3:43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5"/>
    </row>
    <row r="45" spans="3:43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5"/>
    </row>
    <row r="46" spans="3:43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5"/>
    </row>
    <row r="47" spans="3:43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5"/>
    </row>
    <row r="48" spans="3:43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5"/>
    </row>
    <row r="49" spans="3:43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5"/>
    </row>
    <row r="50" spans="3:43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5"/>
    </row>
    <row r="51" spans="3:43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5"/>
    </row>
    <row r="52" spans="3:43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5"/>
    </row>
    <row r="53" spans="3:43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5"/>
    </row>
    <row r="54" spans="3:43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5"/>
    </row>
    <row r="55" spans="3:43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5"/>
    </row>
    <row r="56" spans="3:43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5"/>
    </row>
    <row r="57" spans="3:43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5"/>
    </row>
    <row r="58" spans="3:43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5"/>
    </row>
    <row r="59" spans="3:43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5"/>
    </row>
    <row r="60" spans="3:43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5"/>
    </row>
    <row r="61" spans="3:43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5"/>
    </row>
    <row r="62" spans="3:43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5"/>
    </row>
    <row r="63" spans="3:43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5"/>
    </row>
    <row r="64" spans="3:43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5"/>
    </row>
    <row r="65" spans="3:43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5"/>
    </row>
    <row r="66" spans="3:43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5"/>
    </row>
    <row r="67" spans="3:43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5"/>
    </row>
    <row r="68" spans="3:43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5"/>
    </row>
    <row r="69" spans="3:43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5"/>
    </row>
    <row r="70" spans="3:43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93"/>
      <c r="AI70" s="93"/>
      <c r="AJ70" s="93"/>
      <c r="AK70" s="93"/>
      <c r="AL70" s="93"/>
      <c r="AM70" s="93"/>
      <c r="AN70" s="93"/>
      <c r="AO70" s="177"/>
      <c r="AP70" s="177"/>
      <c r="AQ70" s="176"/>
    </row>
    <row r="71" spans="3:43" x14ac:dyDescent="0.25">
      <c r="AM71" s="5"/>
      <c r="AN71" s="5"/>
    </row>
    <row r="95" spans="4:4" x14ac:dyDescent="0.25">
      <c r="D95" s="3" t="s">
        <v>39</v>
      </c>
    </row>
    <row r="119" spans="18:18" x14ac:dyDescent="0.25">
      <c r="R119" s="3" t="s">
        <v>39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O3" zoomScale="87" zoomScaleNormal="42" workbookViewId="0">
      <selection activeCell="H37" sqref="H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140625" style="3" customWidth="1"/>
    <col min="5" max="5" width="21" style="3" customWidth="1"/>
    <col min="6" max="6" width="15.28515625" style="3" customWidth="1"/>
    <col min="7" max="7" width="6.28515625" style="3" customWidth="1"/>
    <col min="8" max="8" width="24.7109375" style="3" customWidth="1"/>
    <col min="9" max="11" width="15.28515625" style="3" customWidth="1"/>
    <col min="12" max="12" width="4.28515625" style="3" customWidth="1"/>
    <col min="13" max="13" width="27.85546875" style="3" customWidth="1"/>
    <col min="14" max="14" width="15.28515625" style="3" customWidth="1"/>
    <col min="15" max="15" width="31.28515625" style="3" customWidth="1"/>
    <col min="16" max="16" width="33.85546875" style="3" customWidth="1"/>
    <col min="17" max="18" width="15.28515625" style="3" customWidth="1"/>
    <col min="19" max="19" width="22.42578125" style="3" customWidth="1"/>
    <col min="20" max="20" width="24.28515625" style="3" customWidth="1"/>
    <col min="21" max="22" width="10.85546875" style="3"/>
    <col min="23" max="23" width="17.28515625" style="3" customWidth="1"/>
    <col min="24" max="24" width="29.42578125" style="3" customWidth="1"/>
    <col min="25" max="25" width="25.28515625" style="3" customWidth="1"/>
    <col min="26" max="26" width="29.85546875" style="3" customWidth="1"/>
    <col min="27" max="28" width="10.85546875" style="3"/>
    <col min="29" max="29" width="34.140625" style="3" customWidth="1"/>
    <col min="30" max="30" width="24.7109375" style="3" customWidth="1"/>
    <col min="31" max="31" width="30.85546875" style="3" customWidth="1"/>
    <col min="32" max="32" width="73.28515625" style="3" customWidth="1"/>
    <col min="33" max="33" width="10.85546875" style="3"/>
    <col min="34" max="34" width="22" style="3" customWidth="1"/>
    <col min="35" max="36" width="22.7109375" style="3" customWidth="1"/>
    <col min="37" max="37" width="10.85546875" style="3"/>
    <col min="38" max="38" width="20.140625" style="3" customWidth="1"/>
    <col min="39" max="39" width="21.85546875" style="3" customWidth="1"/>
    <col min="40" max="40" width="26.140625" style="3" customWidth="1"/>
    <col min="41" max="16384" width="10.85546875" style="3"/>
  </cols>
  <sheetData>
    <row r="1" spans="3:45" ht="10.5" customHeight="1" thickBot="1" x14ac:dyDescent="0.3"/>
    <row r="2" spans="3:45" ht="6.95" customHeight="1" x14ac:dyDescent="0.2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97"/>
      <c r="AJ2" s="97"/>
      <c r="AK2" s="97"/>
      <c r="AL2" s="97"/>
      <c r="AM2" s="97"/>
      <c r="AN2" s="97"/>
      <c r="AO2" s="97"/>
      <c r="AP2" s="98"/>
    </row>
    <row r="3" spans="3:45" x14ac:dyDescent="0.25">
      <c r="C3" s="91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5"/>
    </row>
    <row r="4" spans="3:45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5"/>
    </row>
    <row r="5" spans="3:45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5"/>
    </row>
    <row r="6" spans="3:45" x14ac:dyDescent="0.2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P6" s="175"/>
    </row>
    <row r="7" spans="3:45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5"/>
    </row>
    <row r="8" spans="3:45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1" t="s">
        <v>101</v>
      </c>
      <c r="N8" s="352"/>
      <c r="O8" s="352"/>
      <c r="P8" s="353"/>
      <c r="Q8" s="5"/>
      <c r="R8" s="5"/>
      <c r="S8" s="330" t="s">
        <v>107</v>
      </c>
      <c r="T8" s="331"/>
      <c r="U8" s="332"/>
      <c r="V8" s="12"/>
      <c r="W8" s="333" t="s">
        <v>146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64" t="s">
        <v>8</v>
      </c>
      <c r="AI8" s="365"/>
      <c r="AJ8" s="366"/>
      <c r="AK8" s="106"/>
      <c r="AL8" s="118" t="s">
        <v>9</v>
      </c>
      <c r="AM8" s="371"/>
      <c r="AN8" s="366"/>
      <c r="AP8" s="175"/>
    </row>
    <row r="9" spans="3:45" ht="21.75" thickBot="1" x14ac:dyDescent="0.4">
      <c r="C9" s="91"/>
      <c r="D9" s="124" t="s">
        <v>56</v>
      </c>
      <c r="E9" s="125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85" t="s">
        <v>56</v>
      </c>
      <c r="N9" s="85" t="s">
        <v>33</v>
      </c>
      <c r="O9" s="85" t="s">
        <v>102</v>
      </c>
      <c r="P9" s="85" t="s">
        <v>103</v>
      </c>
      <c r="Q9" s="251" t="s">
        <v>169</v>
      </c>
      <c r="R9" s="5"/>
      <c r="S9" s="110" t="s">
        <v>109</v>
      </c>
      <c r="T9" s="110" t="s">
        <v>59</v>
      </c>
      <c r="U9" s="110" t="s">
        <v>110</v>
      </c>
      <c r="V9" s="13"/>
      <c r="W9" s="90" t="s">
        <v>140</v>
      </c>
      <c r="X9" s="361"/>
      <c r="Y9" s="362"/>
      <c r="Z9" s="363"/>
      <c r="AA9" s="11"/>
      <c r="AB9" s="110" t="s">
        <v>114</v>
      </c>
      <c r="AC9" s="110" t="s">
        <v>113</v>
      </c>
      <c r="AD9" s="110" t="s">
        <v>5</v>
      </c>
      <c r="AE9" s="110" t="s">
        <v>115</v>
      </c>
      <c r="AF9" s="110" t="s">
        <v>116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P9" s="175"/>
    </row>
    <row r="10" spans="3:45" ht="18.75" x14ac:dyDescent="0.3">
      <c r="C10" s="91"/>
      <c r="D10" s="68" t="s">
        <v>1</v>
      </c>
      <c r="E10" s="126" t="s">
        <v>45</v>
      </c>
      <c r="F10" s="81"/>
      <c r="G10" s="81"/>
      <c r="H10" s="70" t="s">
        <v>2</v>
      </c>
      <c r="I10" s="71"/>
      <c r="J10" s="81"/>
      <c r="K10" s="81"/>
      <c r="L10" s="81"/>
      <c r="M10" s="70" t="s">
        <v>104</v>
      </c>
      <c r="N10" s="128">
        <v>25.5</v>
      </c>
      <c r="O10" s="128">
        <v>14.7</v>
      </c>
      <c r="P10" s="71"/>
      <c r="Q10" s="81"/>
      <c r="R10" s="138"/>
      <c r="S10" s="127">
        <v>2110</v>
      </c>
      <c r="T10" s="128" t="s">
        <v>28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51"/>
      <c r="AC10" s="150"/>
      <c r="AD10" s="150"/>
      <c r="AE10" s="150"/>
      <c r="AF10" s="152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63" t="s">
        <v>26</v>
      </c>
      <c r="AN10" s="164">
        <v>1</v>
      </c>
      <c r="AO10" s="5"/>
      <c r="AP10" s="92"/>
      <c r="AQ10" s="5"/>
      <c r="AR10" s="5"/>
      <c r="AS10" s="5"/>
    </row>
    <row r="11" spans="3:45" ht="18.75" x14ac:dyDescent="0.3">
      <c r="C11" s="91"/>
      <c r="D11" s="70" t="s">
        <v>3</v>
      </c>
      <c r="E11" s="129">
        <v>2200</v>
      </c>
      <c r="F11" s="81"/>
      <c r="G11" s="81"/>
      <c r="H11" s="70" t="s">
        <v>96</v>
      </c>
      <c r="I11" s="129">
        <v>2.9359000000000002</v>
      </c>
      <c r="J11" s="81"/>
      <c r="K11" s="81"/>
      <c r="L11" s="81"/>
      <c r="M11" s="78" t="s">
        <v>105</v>
      </c>
      <c r="N11" s="128" t="s">
        <v>23</v>
      </c>
      <c r="O11" s="128" t="s">
        <v>23</v>
      </c>
      <c r="P11" s="71"/>
      <c r="Q11" s="81"/>
      <c r="R11" s="138"/>
      <c r="S11" s="127">
        <v>2110</v>
      </c>
      <c r="T11" s="128" t="s">
        <v>6</v>
      </c>
      <c r="U11" s="129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26</v>
      </c>
      <c r="AI11" s="128">
        <v>1</v>
      </c>
      <c r="AJ11" s="129">
        <v>-1</v>
      </c>
      <c r="AK11" s="130"/>
      <c r="AL11" s="131"/>
      <c r="AM11" s="106"/>
      <c r="AN11" s="119"/>
      <c r="AO11" s="5"/>
      <c r="AP11" s="92"/>
      <c r="AQ11" s="5"/>
      <c r="AR11" s="5"/>
      <c r="AS11" s="5"/>
    </row>
    <row r="12" spans="3:45" ht="18.75" x14ac:dyDescent="0.3">
      <c r="C12" s="91"/>
      <c r="D12" s="70" t="s">
        <v>71</v>
      </c>
      <c r="E12" s="129" t="s">
        <v>37</v>
      </c>
      <c r="F12" s="81"/>
      <c r="G12" s="81"/>
      <c r="H12" s="70" t="s">
        <v>97</v>
      </c>
      <c r="I12" s="129">
        <v>1</v>
      </c>
      <c r="J12" s="81"/>
      <c r="K12" s="81"/>
      <c r="L12" s="81"/>
      <c r="M12" s="78" t="s">
        <v>106</v>
      </c>
      <c r="N12" s="128" t="s">
        <v>28</v>
      </c>
      <c r="O12" s="128" t="s">
        <v>28</v>
      </c>
      <c r="P12" s="71"/>
      <c r="Q12" s="81"/>
      <c r="R12" s="138"/>
      <c r="S12" s="151">
        <v>5000</v>
      </c>
      <c r="T12" s="150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28</v>
      </c>
      <c r="AI12" s="128">
        <v>1</v>
      </c>
      <c r="AJ12" s="129">
        <v>0.11</v>
      </c>
      <c r="AK12" s="130"/>
      <c r="AL12" s="131"/>
      <c r="AM12" s="106"/>
      <c r="AN12" s="119"/>
      <c r="AO12" s="5"/>
      <c r="AP12" s="92"/>
      <c r="AQ12" s="5"/>
      <c r="AR12" s="5"/>
      <c r="AS12" s="5"/>
    </row>
    <row r="13" spans="3:45" ht="18.75" x14ac:dyDescent="0.3">
      <c r="C13" s="91"/>
      <c r="D13" s="70" t="s">
        <v>85</v>
      </c>
      <c r="E13" s="129"/>
      <c r="F13" s="81"/>
      <c r="G13" s="81"/>
      <c r="H13" s="70" t="s">
        <v>98</v>
      </c>
      <c r="I13" s="129">
        <v>0.89029999999999998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28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O13" s="5"/>
      <c r="AP13" s="92"/>
      <c r="AQ13" s="5"/>
      <c r="AR13" s="5"/>
      <c r="AS13" s="5"/>
    </row>
    <row r="14" spans="3:45" ht="18.75" x14ac:dyDescent="0.3">
      <c r="C14" s="91"/>
      <c r="D14" s="70" t="s">
        <v>86</v>
      </c>
      <c r="E14" s="129">
        <v>20</v>
      </c>
      <c r="F14" s="81"/>
      <c r="G14" s="81"/>
      <c r="H14" s="70" t="s">
        <v>99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O14" s="5"/>
      <c r="AP14" s="92"/>
      <c r="AQ14" s="5"/>
      <c r="AR14" s="5"/>
      <c r="AS14" s="5"/>
    </row>
    <row r="15" spans="3:45" ht="18.75" x14ac:dyDescent="0.3">
      <c r="C15" s="91"/>
      <c r="D15" s="70" t="s">
        <v>87</v>
      </c>
      <c r="E15" s="129">
        <v>0.56999999999999995</v>
      </c>
      <c r="F15" s="81"/>
      <c r="G15" s="81"/>
      <c r="H15" s="78" t="s">
        <v>100</v>
      </c>
      <c r="I15" s="71" t="s">
        <v>44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O15" s="5"/>
      <c r="AP15" s="92"/>
      <c r="AQ15" s="5"/>
      <c r="AR15" s="5"/>
      <c r="AS15" s="5"/>
    </row>
    <row r="16" spans="3:45" ht="18.75" x14ac:dyDescent="0.3">
      <c r="C16" s="91"/>
      <c r="D16" s="70" t="s">
        <v>88</v>
      </c>
      <c r="E16" s="129">
        <v>0.7</v>
      </c>
      <c r="F16" s="81"/>
      <c r="G16" s="81"/>
      <c r="H16" s="78" t="s">
        <v>84</v>
      </c>
      <c r="I16" s="71" t="s">
        <v>28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O16" s="5"/>
      <c r="AP16" s="92"/>
      <c r="AQ16" s="5"/>
      <c r="AR16" s="5"/>
      <c r="AS16" s="5"/>
    </row>
    <row r="17" spans="3:45" ht="18.75" x14ac:dyDescent="0.3">
      <c r="C17" s="91"/>
      <c r="D17" s="70" t="s">
        <v>89</v>
      </c>
      <c r="E17" s="71">
        <v>550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O17" s="5"/>
      <c r="AP17" s="92"/>
      <c r="AQ17" s="5"/>
      <c r="AR17" s="5"/>
      <c r="AS17" s="5"/>
    </row>
    <row r="18" spans="3:45" ht="18.75" x14ac:dyDescent="0.3">
      <c r="C18" s="91"/>
      <c r="D18" s="72" t="s">
        <v>90</v>
      </c>
      <c r="E18" s="71">
        <v>550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O18" s="5"/>
      <c r="AP18" s="92"/>
      <c r="AQ18" s="5"/>
      <c r="AR18" s="5"/>
      <c r="AS18" s="5"/>
    </row>
    <row r="19" spans="3:45" ht="18.75" x14ac:dyDescent="0.3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O19" s="5"/>
      <c r="AP19" s="92"/>
      <c r="AQ19" s="5"/>
      <c r="AR19" s="5"/>
      <c r="AS19" s="5"/>
    </row>
    <row r="20" spans="3:45" ht="18.75" x14ac:dyDescent="0.3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O20" s="5"/>
      <c r="AP20" s="92"/>
      <c r="AQ20" s="5"/>
      <c r="AR20" s="5"/>
      <c r="AS20" s="5"/>
    </row>
    <row r="21" spans="3:45" ht="18.75" x14ac:dyDescent="0.3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O21" s="5"/>
      <c r="AP21" s="92"/>
      <c r="AQ21" s="5"/>
      <c r="AR21" s="5"/>
      <c r="AS21" s="5"/>
    </row>
    <row r="22" spans="3:45" ht="18.75" x14ac:dyDescent="0.3">
      <c r="C22" s="91"/>
      <c r="D22" s="72" t="s">
        <v>94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O22" s="5"/>
      <c r="AP22" s="92"/>
      <c r="AQ22" s="5"/>
      <c r="AR22" s="5"/>
      <c r="AS22" s="5"/>
    </row>
    <row r="23" spans="3:45" ht="18.75" x14ac:dyDescent="0.3">
      <c r="C23" s="91"/>
      <c r="D23" s="72" t="s">
        <v>95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O23" s="5"/>
      <c r="AP23" s="92"/>
      <c r="AQ23" s="5"/>
      <c r="AR23" s="5"/>
      <c r="AS23" s="5"/>
    </row>
    <row r="24" spans="3:45" ht="18.75" x14ac:dyDescent="0.3">
      <c r="C24" s="91"/>
      <c r="D24" s="157" t="s">
        <v>118</v>
      </c>
      <c r="E24" s="71">
        <v>0.4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O24" s="5"/>
      <c r="AP24" s="92"/>
      <c r="AQ24" s="5"/>
      <c r="AR24" s="5"/>
      <c r="AS24" s="5"/>
    </row>
    <row r="25" spans="3:45" ht="18.75" x14ac:dyDescent="0.3">
      <c r="C25" s="91"/>
      <c r="D25" s="157" t="s">
        <v>119</v>
      </c>
      <c r="E25" s="71">
        <v>40000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O25" s="5"/>
      <c r="AP25" s="92"/>
      <c r="AQ25" s="5"/>
      <c r="AR25" s="5"/>
      <c r="AS25" s="5"/>
    </row>
    <row r="26" spans="3:45" ht="18.75" x14ac:dyDescent="0.3">
      <c r="C26" s="91"/>
      <c r="D26" s="158" t="s">
        <v>122</v>
      </c>
      <c r="E26" s="71" t="s">
        <v>121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71"/>
      <c r="AO26" s="5"/>
      <c r="AP26" s="92"/>
      <c r="AQ26" s="5"/>
      <c r="AR26" s="5"/>
      <c r="AS26" s="5"/>
    </row>
    <row r="27" spans="3:45" ht="19.5" thickBot="1" x14ac:dyDescent="0.35">
      <c r="C27" s="91"/>
      <c r="D27" s="159" t="s">
        <v>129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73"/>
      <c r="AO27" s="5"/>
      <c r="AP27" s="92"/>
      <c r="AQ27" s="5"/>
      <c r="AR27" s="5"/>
      <c r="AS27" s="5"/>
    </row>
    <row r="28" spans="3:45" ht="18.75" x14ac:dyDescent="0.3">
      <c r="C28" s="9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41"/>
      <c r="AI28" s="81"/>
      <c r="AJ28" s="81"/>
      <c r="AK28" s="81"/>
      <c r="AL28" s="81"/>
      <c r="AM28" s="6"/>
      <c r="AN28" s="81"/>
      <c r="AO28" s="5"/>
      <c r="AP28" s="92"/>
      <c r="AQ28" s="5"/>
      <c r="AR28" s="5"/>
      <c r="AS28" s="5"/>
    </row>
    <row r="29" spans="3:45" ht="15.75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2"/>
      <c r="AQ29" s="5"/>
      <c r="AR29" s="5"/>
      <c r="AS29" s="5"/>
    </row>
    <row r="30" spans="3:45" ht="15.75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2"/>
      <c r="AQ30" s="5"/>
      <c r="AR30" s="5"/>
      <c r="AS30" s="5"/>
    </row>
    <row r="31" spans="3:45" x14ac:dyDescent="0.2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</row>
    <row r="32" spans="3:45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</row>
    <row r="33" spans="3:45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</row>
    <row r="34" spans="3:45" x14ac:dyDescent="0.2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</row>
    <row r="35" spans="3:45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</row>
    <row r="36" spans="3:45" x14ac:dyDescent="0.2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</row>
    <row r="37" spans="3:45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</row>
    <row r="38" spans="3:45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</row>
    <row r="39" spans="3:45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</row>
    <row r="40" spans="3:45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</row>
    <row r="41" spans="3:45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</row>
    <row r="42" spans="3:45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</row>
    <row r="43" spans="3:45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</row>
    <row r="44" spans="3:45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</row>
    <row r="45" spans="3:45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</row>
    <row r="46" spans="3:45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</row>
    <row r="47" spans="3:45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</row>
    <row r="48" spans="3:45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</row>
    <row r="49" spans="3:45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</row>
    <row r="50" spans="3:45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</row>
    <row r="51" spans="3:45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</row>
    <row r="52" spans="3:45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</row>
    <row r="53" spans="3:45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</row>
    <row r="54" spans="3:45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</row>
    <row r="55" spans="3:45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</row>
    <row r="56" spans="3:45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</row>
    <row r="57" spans="3:45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</row>
    <row r="58" spans="3:45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</row>
    <row r="59" spans="3:45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</row>
    <row r="60" spans="3:45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</row>
    <row r="61" spans="3:45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</row>
    <row r="62" spans="3:45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</row>
    <row r="63" spans="3:45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</row>
    <row r="64" spans="3:45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</row>
    <row r="65" spans="3:45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</row>
    <row r="66" spans="3:45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</row>
    <row r="67" spans="3:45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</row>
    <row r="68" spans="3:45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</row>
    <row r="69" spans="3:45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</row>
    <row r="70" spans="3:45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</row>
    <row r="108" spans="4:4" x14ac:dyDescent="0.25">
      <c r="D108" s="3" t="s">
        <v>39</v>
      </c>
    </row>
    <row r="133" spans="18:18" x14ac:dyDescent="0.25">
      <c r="R133" s="3" t="s">
        <v>39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P1" zoomScale="64" zoomScaleNormal="64" workbookViewId="0">
      <selection activeCell="E13" sqref="E1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3.28515625" style="3" customWidth="1"/>
    <col min="5" max="5" width="21.85546875" style="3" customWidth="1"/>
    <col min="6" max="6" width="15.28515625" style="3" customWidth="1"/>
    <col min="7" max="7" width="6.28515625" style="3" customWidth="1"/>
    <col min="8" max="8" width="22.28515625" style="3" customWidth="1"/>
    <col min="9" max="11" width="15.28515625" style="3" customWidth="1"/>
    <col min="12" max="12" width="4.28515625" style="3" customWidth="1"/>
    <col min="13" max="13" width="26.140625" style="3" customWidth="1"/>
    <col min="14" max="14" width="15.28515625" style="3" customWidth="1"/>
    <col min="15" max="15" width="27.85546875" style="3" customWidth="1"/>
    <col min="16" max="16" width="34.7109375" style="3" customWidth="1"/>
    <col min="17" max="18" width="15.28515625" style="3" customWidth="1"/>
    <col min="19" max="19" width="24.7109375" style="3" customWidth="1"/>
    <col min="20" max="20" width="28.7109375" style="3" customWidth="1"/>
    <col min="21" max="22" width="10.85546875" style="3"/>
    <col min="23" max="23" width="26.28515625" style="3" customWidth="1"/>
    <col min="24" max="24" width="35.140625" style="3" customWidth="1"/>
    <col min="25" max="25" width="21.85546875" style="3" customWidth="1"/>
    <col min="26" max="26" width="22.85546875" style="3" customWidth="1"/>
    <col min="27" max="28" width="10.85546875" style="3"/>
    <col min="29" max="29" width="20.140625" style="3" customWidth="1"/>
    <col min="30" max="30" width="10.85546875" style="3"/>
    <col min="31" max="31" width="16" style="3" customWidth="1"/>
    <col min="32" max="32" width="59.140625" style="3" customWidth="1"/>
    <col min="33" max="33" width="10.85546875" style="3"/>
    <col min="34" max="34" width="19" style="3" customWidth="1"/>
    <col min="35" max="35" width="15.85546875" style="3" customWidth="1"/>
    <col min="36" max="16384" width="10.85546875" style="3"/>
  </cols>
  <sheetData>
    <row r="1" spans="3:42" ht="10.5" customHeight="1" thickBot="1" x14ac:dyDescent="0.3"/>
    <row r="2" spans="3:42" ht="6.95" customHeight="1" x14ac:dyDescent="0.2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97"/>
      <c r="AK2" s="97"/>
      <c r="AL2" s="97"/>
      <c r="AM2" s="97"/>
      <c r="AN2" s="97"/>
      <c r="AO2" s="98"/>
    </row>
    <row r="3" spans="3:42" x14ac:dyDescent="0.25"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5"/>
    </row>
    <row r="4" spans="3:42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5"/>
    </row>
    <row r="5" spans="3:42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5"/>
    </row>
    <row r="6" spans="3:42" x14ac:dyDescent="0.2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O6" s="175"/>
    </row>
    <row r="7" spans="3:42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5"/>
    </row>
    <row r="8" spans="3:42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1" t="s">
        <v>101</v>
      </c>
      <c r="N8" s="352"/>
      <c r="O8" s="352"/>
      <c r="P8" s="353"/>
      <c r="Q8" s="5"/>
      <c r="R8" s="5"/>
      <c r="S8" s="330" t="s">
        <v>107</v>
      </c>
      <c r="T8" s="331"/>
      <c r="U8" s="332"/>
      <c r="V8" s="12"/>
      <c r="W8" s="333" t="s">
        <v>108</v>
      </c>
      <c r="X8" s="334"/>
      <c r="Y8" s="334"/>
      <c r="Z8" s="335"/>
      <c r="AA8" s="11"/>
      <c r="AB8" s="333" t="s">
        <v>117</v>
      </c>
      <c r="AC8" s="334"/>
      <c r="AD8" s="334"/>
      <c r="AE8" s="334"/>
      <c r="AF8" s="335"/>
      <c r="AG8" s="11"/>
      <c r="AH8" s="364" t="s">
        <v>8</v>
      </c>
      <c r="AI8" s="365"/>
      <c r="AJ8" s="366"/>
      <c r="AK8" s="106"/>
      <c r="AL8" s="372" t="s">
        <v>9</v>
      </c>
      <c r="AM8" s="373"/>
      <c r="AN8" s="374"/>
      <c r="AO8" s="175"/>
    </row>
    <row r="9" spans="3:42" ht="21.75" thickBot="1" x14ac:dyDescent="0.4">
      <c r="C9" s="91"/>
      <c r="D9" s="75" t="s">
        <v>56</v>
      </c>
      <c r="E9" s="74" t="s">
        <v>0</v>
      </c>
      <c r="F9" s="5"/>
      <c r="G9" s="5"/>
      <c r="H9" s="108" t="s">
        <v>56</v>
      </c>
      <c r="I9" s="108" t="s">
        <v>83</v>
      </c>
      <c r="J9" s="17"/>
      <c r="K9" s="17"/>
      <c r="L9" s="5"/>
      <c r="M9" s="109" t="s">
        <v>56</v>
      </c>
      <c r="N9" s="109" t="s">
        <v>33</v>
      </c>
      <c r="O9" s="109" t="s">
        <v>102</v>
      </c>
      <c r="P9" s="109" t="s">
        <v>103</v>
      </c>
      <c r="Q9" s="251" t="s">
        <v>169</v>
      </c>
      <c r="R9" s="5"/>
      <c r="S9" s="110" t="s">
        <v>109</v>
      </c>
      <c r="T9" s="110" t="s">
        <v>59</v>
      </c>
      <c r="U9" s="110" t="s">
        <v>110</v>
      </c>
      <c r="V9" s="13"/>
      <c r="W9" s="110" t="s">
        <v>59</v>
      </c>
      <c r="X9" s="110" t="s">
        <v>46</v>
      </c>
      <c r="Y9" s="110" t="s">
        <v>111</v>
      </c>
      <c r="Z9" s="110" t="s">
        <v>112</v>
      </c>
      <c r="AA9" s="11"/>
      <c r="AB9" s="110" t="s">
        <v>114</v>
      </c>
      <c r="AC9" s="110" t="s">
        <v>113</v>
      </c>
      <c r="AD9" s="110" t="s">
        <v>5</v>
      </c>
      <c r="AE9" s="110" t="s">
        <v>115</v>
      </c>
      <c r="AF9" s="110" t="s">
        <v>116</v>
      </c>
      <c r="AG9" s="11"/>
      <c r="AH9" s="116" t="s">
        <v>10</v>
      </c>
      <c r="AI9" s="112" t="s">
        <v>11</v>
      </c>
      <c r="AJ9" s="117" t="s">
        <v>0</v>
      </c>
      <c r="AK9" s="104"/>
      <c r="AL9" s="120" t="s">
        <v>12</v>
      </c>
      <c r="AM9" s="121" t="s">
        <v>13</v>
      </c>
      <c r="AN9" s="122" t="s">
        <v>14</v>
      </c>
      <c r="AO9" s="175"/>
    </row>
    <row r="10" spans="3:42" ht="18.75" x14ac:dyDescent="0.3">
      <c r="C10" s="91"/>
      <c r="D10" s="68" t="s">
        <v>1</v>
      </c>
      <c r="E10" s="165" t="s">
        <v>157</v>
      </c>
      <c r="F10" s="81"/>
      <c r="G10" s="81"/>
      <c r="H10" s="68" t="s">
        <v>2</v>
      </c>
      <c r="I10" s="69"/>
      <c r="J10" s="81"/>
      <c r="K10" s="81"/>
      <c r="L10" s="81"/>
      <c r="M10" s="68" t="s">
        <v>104</v>
      </c>
      <c r="N10" s="166">
        <v>2.85</v>
      </c>
      <c r="O10" s="166">
        <v>-1.2070000000000001</v>
      </c>
      <c r="P10" s="69"/>
      <c r="Q10" s="81"/>
      <c r="R10" s="138"/>
      <c r="S10" s="167">
        <v>301</v>
      </c>
      <c r="T10" s="166" t="s">
        <v>28</v>
      </c>
      <c r="U10" s="168">
        <v>1</v>
      </c>
      <c r="V10" s="130"/>
      <c r="W10" s="169"/>
      <c r="X10" s="170"/>
      <c r="Y10" s="171"/>
      <c r="Z10" s="168"/>
      <c r="AA10" s="77"/>
      <c r="AB10" s="167"/>
      <c r="AC10" s="87"/>
      <c r="AD10" s="171"/>
      <c r="AE10" s="87"/>
      <c r="AF10" s="168"/>
      <c r="AG10" s="145"/>
      <c r="AH10" s="167"/>
      <c r="AI10" s="171"/>
      <c r="AJ10" s="168"/>
      <c r="AK10" s="130"/>
      <c r="AL10" s="167"/>
      <c r="AM10" s="172"/>
      <c r="AN10" s="123"/>
      <c r="AO10" s="175"/>
    </row>
    <row r="11" spans="3:42" ht="18.75" x14ac:dyDescent="0.3">
      <c r="C11" s="91"/>
      <c r="D11" s="70" t="s">
        <v>3</v>
      </c>
      <c r="E11" s="129">
        <v>2110</v>
      </c>
      <c r="F11" s="81"/>
      <c r="G11" s="81"/>
      <c r="H11" s="70" t="s">
        <v>96</v>
      </c>
      <c r="I11" s="129">
        <v>14.775</v>
      </c>
      <c r="J11" s="81"/>
      <c r="K11" s="81"/>
      <c r="L11" s="81"/>
      <c r="M11" s="78" t="s">
        <v>105</v>
      </c>
      <c r="N11" s="128" t="s">
        <v>22</v>
      </c>
      <c r="O11" s="128" t="s">
        <v>22</v>
      </c>
      <c r="P11" s="71"/>
      <c r="Q11" s="81"/>
      <c r="R11" s="138"/>
      <c r="S11" s="151">
        <v>301</v>
      </c>
      <c r="T11" s="150" t="s">
        <v>6</v>
      </c>
      <c r="U11" s="152">
        <v>1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31"/>
      <c r="AI11" s="130"/>
      <c r="AJ11" s="132"/>
      <c r="AK11" s="130"/>
      <c r="AL11" s="131"/>
      <c r="AM11" s="106"/>
      <c r="AN11" s="105"/>
      <c r="AO11" s="92"/>
      <c r="AP11" s="5"/>
    </row>
    <row r="12" spans="3:42" ht="18.75" x14ac:dyDescent="0.3">
      <c r="C12" s="91"/>
      <c r="D12" s="70" t="s">
        <v>71</v>
      </c>
      <c r="E12" s="129"/>
      <c r="F12" s="81"/>
      <c r="G12" s="81"/>
      <c r="H12" s="70" t="s">
        <v>97</v>
      </c>
      <c r="I12" s="129">
        <v>4.09</v>
      </c>
      <c r="J12" s="81"/>
      <c r="K12" s="81"/>
      <c r="L12" s="81"/>
      <c r="M12" s="78" t="s">
        <v>106</v>
      </c>
      <c r="N12" s="128" t="s">
        <v>28</v>
      </c>
      <c r="O12" s="128" t="s">
        <v>28</v>
      </c>
      <c r="P12" s="71"/>
      <c r="Q12" s="81"/>
      <c r="R12" s="138"/>
      <c r="S12" s="131"/>
      <c r="T12" s="77"/>
      <c r="U12" s="13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31"/>
      <c r="AI12" s="130"/>
      <c r="AJ12" s="132"/>
      <c r="AK12" s="130"/>
      <c r="AL12" s="131"/>
      <c r="AM12" s="106"/>
      <c r="AN12" s="105"/>
      <c r="AO12" s="92"/>
      <c r="AP12" s="5"/>
    </row>
    <row r="13" spans="3:42" ht="18.75" x14ac:dyDescent="0.3">
      <c r="C13" s="91"/>
      <c r="D13" s="70" t="s">
        <v>85</v>
      </c>
      <c r="E13" s="129"/>
      <c r="F13" s="81"/>
      <c r="G13" s="81"/>
      <c r="H13" s="70" t="s">
        <v>98</v>
      </c>
      <c r="I13" s="129">
        <v>0.67</v>
      </c>
      <c r="J13" s="81"/>
      <c r="K13" s="81"/>
      <c r="L13" s="81"/>
      <c r="M13" s="78"/>
      <c r="N13" s="77"/>
      <c r="O13" s="77"/>
      <c r="P13" s="71"/>
      <c r="Q13" s="81"/>
      <c r="R13" s="138"/>
      <c r="S13" s="51"/>
      <c r="T13" s="77"/>
      <c r="U13" s="30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89"/>
      <c r="AO13" s="92"/>
      <c r="AP13" s="5"/>
    </row>
    <row r="14" spans="3:42" ht="18.75" x14ac:dyDescent="0.3">
      <c r="C14" s="91"/>
      <c r="D14" s="70" t="s">
        <v>86</v>
      </c>
      <c r="E14" s="129">
        <v>25</v>
      </c>
      <c r="F14" s="81"/>
      <c r="G14" s="81"/>
      <c r="H14" s="70" t="s">
        <v>99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89"/>
      <c r="AO14" s="92"/>
      <c r="AP14" s="5"/>
    </row>
    <row r="15" spans="3:42" ht="18.75" x14ac:dyDescent="0.3">
      <c r="C15" s="91"/>
      <c r="D15" s="70" t="s">
        <v>87</v>
      </c>
      <c r="E15" s="129">
        <v>0.56999999999999995</v>
      </c>
      <c r="F15" s="81"/>
      <c r="G15" s="81"/>
      <c r="H15" s="78" t="s">
        <v>100</v>
      </c>
      <c r="I15" s="71" t="s">
        <v>22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89"/>
      <c r="AO15" s="92"/>
      <c r="AP15" s="5"/>
    </row>
    <row r="16" spans="3:42" ht="18.75" x14ac:dyDescent="0.3">
      <c r="C16" s="91"/>
      <c r="D16" s="70" t="s">
        <v>88</v>
      </c>
      <c r="E16" s="129">
        <v>0.7</v>
      </c>
      <c r="F16" s="81"/>
      <c r="G16" s="81"/>
      <c r="H16" s="78" t="s">
        <v>84</v>
      </c>
      <c r="I16" s="71" t="s">
        <v>28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67"/>
      <c r="AO16" s="92"/>
      <c r="AP16" s="5"/>
    </row>
    <row r="17" spans="3:42" ht="18.75" x14ac:dyDescent="0.3">
      <c r="C17" s="91"/>
      <c r="D17" s="70" t="s">
        <v>89</v>
      </c>
      <c r="E17" s="71">
        <v>180</v>
      </c>
      <c r="F17" s="81"/>
      <c r="G17" s="81"/>
      <c r="H17" s="78"/>
      <c r="I17" s="71" t="s">
        <v>6</v>
      </c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67"/>
      <c r="AO17" s="92"/>
      <c r="AP17" s="5"/>
    </row>
    <row r="18" spans="3:42" ht="18.75" x14ac:dyDescent="0.3">
      <c r="C18" s="91"/>
      <c r="D18" s="72" t="s">
        <v>90</v>
      </c>
      <c r="E18" s="71">
        <v>40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67"/>
      <c r="AO18" s="92"/>
      <c r="AP18" s="5"/>
    </row>
    <row r="19" spans="3:42" ht="18.75" x14ac:dyDescent="0.3">
      <c r="C19" s="91"/>
      <c r="D19" s="70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67"/>
      <c r="AO19" s="92"/>
      <c r="AP19" s="5"/>
    </row>
    <row r="20" spans="3:42" ht="18.75" x14ac:dyDescent="0.3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67"/>
      <c r="AO20" s="92"/>
      <c r="AP20" s="5"/>
    </row>
    <row r="21" spans="3:42" ht="18.75" x14ac:dyDescent="0.3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67"/>
      <c r="AO21" s="92"/>
      <c r="AP21" s="5"/>
    </row>
    <row r="22" spans="3:42" ht="18.75" x14ac:dyDescent="0.3">
      <c r="C22" s="91"/>
      <c r="D22" s="72" t="s">
        <v>94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67"/>
      <c r="AO22" s="92"/>
      <c r="AP22" s="5"/>
    </row>
    <row r="23" spans="3:42" ht="18.75" x14ac:dyDescent="0.3">
      <c r="C23" s="91"/>
      <c r="D23" s="72" t="s">
        <v>95</v>
      </c>
      <c r="E23" s="84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67"/>
      <c r="AO23" s="92"/>
      <c r="AP23" s="5"/>
    </row>
    <row r="24" spans="3:42" ht="18.75" x14ac:dyDescent="0.3">
      <c r="C24" s="91"/>
      <c r="D24" s="157" t="s">
        <v>118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67"/>
      <c r="AO24" s="92"/>
      <c r="AP24" s="5"/>
    </row>
    <row r="25" spans="3:42" ht="18.75" x14ac:dyDescent="0.3">
      <c r="C25" s="91"/>
      <c r="D25" s="157" t="s">
        <v>119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67"/>
      <c r="AO25" s="92"/>
      <c r="AP25" s="5"/>
    </row>
    <row r="26" spans="3:42" ht="19.5" thickBot="1" x14ac:dyDescent="0.35">
      <c r="C26" s="91"/>
      <c r="D26" s="159" t="s">
        <v>120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67"/>
      <c r="AO26" s="92"/>
      <c r="AP26" s="5"/>
    </row>
    <row r="27" spans="3:42" ht="19.5" thickBot="1" x14ac:dyDescent="0.35">
      <c r="C27" s="91"/>
      <c r="D27" s="159" t="s">
        <v>129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66"/>
      <c r="AO27" s="92"/>
      <c r="AP27" s="5"/>
    </row>
    <row r="28" spans="3:42" ht="15.75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  <c r="AP28" s="5"/>
    </row>
    <row r="29" spans="3:42" ht="18" x14ac:dyDescent="0.25">
      <c r="C29" s="91"/>
      <c r="D29" s="5"/>
      <c r="E29" s="5"/>
      <c r="F29" s="5"/>
      <c r="G29" s="5"/>
      <c r="H29" s="11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  <c r="AP29" s="5"/>
    </row>
    <row r="30" spans="3:42" ht="15.75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  <c r="AP30" s="5"/>
    </row>
    <row r="31" spans="3:42" x14ac:dyDescent="0.2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2"/>
      <c r="AP31" s="5"/>
    </row>
    <row r="32" spans="3:42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2"/>
      <c r="AP32" s="5"/>
    </row>
    <row r="33" spans="3:42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2"/>
      <c r="AP33" s="5"/>
    </row>
    <row r="34" spans="3:42" x14ac:dyDescent="0.2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2"/>
      <c r="AP34" s="5"/>
    </row>
    <row r="35" spans="3:42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2"/>
      <c r="AP35" s="5"/>
    </row>
    <row r="36" spans="3:42" x14ac:dyDescent="0.2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2"/>
      <c r="AP36" s="5"/>
    </row>
    <row r="37" spans="3:42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2"/>
      <c r="AP37" s="5"/>
    </row>
    <row r="38" spans="3:42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2"/>
      <c r="AP38" s="5"/>
    </row>
    <row r="39" spans="3:42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2"/>
      <c r="AP39" s="5"/>
    </row>
    <row r="40" spans="3:42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2"/>
      <c r="AP40" s="5"/>
    </row>
    <row r="41" spans="3:42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2"/>
      <c r="AP41" s="5"/>
    </row>
    <row r="42" spans="3:42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2"/>
      <c r="AP42" s="5"/>
    </row>
    <row r="43" spans="3:42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2"/>
      <c r="AP43" s="5"/>
    </row>
    <row r="44" spans="3:42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2"/>
      <c r="AP44" s="5"/>
    </row>
    <row r="45" spans="3:42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2"/>
      <c r="AP45" s="5"/>
    </row>
    <row r="46" spans="3:42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2"/>
      <c r="AP46" s="5"/>
    </row>
    <row r="47" spans="3:42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2"/>
      <c r="AP47" s="5"/>
    </row>
    <row r="48" spans="3:42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2"/>
      <c r="AP48" s="5"/>
    </row>
    <row r="49" spans="3:42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2"/>
      <c r="AP49" s="5"/>
    </row>
    <row r="50" spans="3:42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2"/>
      <c r="AP50" s="5"/>
    </row>
    <row r="51" spans="3:42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2"/>
      <c r="AP51" s="5"/>
    </row>
    <row r="52" spans="3:42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2"/>
      <c r="AP52" s="5"/>
    </row>
    <row r="53" spans="3:42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2"/>
      <c r="AP53" s="5"/>
    </row>
    <row r="54" spans="3:42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2"/>
      <c r="AP54" s="5"/>
    </row>
    <row r="55" spans="3:42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2"/>
      <c r="AP55" s="5"/>
    </row>
    <row r="56" spans="3:42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2"/>
      <c r="AP56" s="5"/>
    </row>
    <row r="57" spans="3:42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2"/>
      <c r="AP57" s="5"/>
    </row>
    <row r="58" spans="3:42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2"/>
      <c r="AP58" s="5"/>
    </row>
    <row r="59" spans="3:42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2"/>
      <c r="AP59" s="5"/>
    </row>
    <row r="60" spans="3:42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2"/>
      <c r="AP60" s="5"/>
    </row>
    <row r="61" spans="3:42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2"/>
      <c r="AP61" s="5"/>
    </row>
    <row r="62" spans="3:42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2"/>
      <c r="AP62" s="5"/>
    </row>
    <row r="63" spans="3:42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2"/>
      <c r="AP63" s="5"/>
    </row>
    <row r="64" spans="3:42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2"/>
      <c r="AP64" s="5"/>
    </row>
    <row r="65" spans="3:42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2"/>
      <c r="AP65" s="5"/>
    </row>
    <row r="66" spans="3:42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2"/>
      <c r="AP66" s="5"/>
    </row>
    <row r="67" spans="3:42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2"/>
      <c r="AP67" s="5"/>
    </row>
    <row r="68" spans="3:42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2"/>
      <c r="AP68" s="5"/>
    </row>
    <row r="69" spans="3:42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2"/>
      <c r="AP69" s="5"/>
    </row>
    <row r="70" spans="3:42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6"/>
    </row>
    <row r="106" spans="4:21" x14ac:dyDescent="0.25">
      <c r="D106" s="3" t="s">
        <v>39</v>
      </c>
    </row>
    <row r="107" spans="4:21" x14ac:dyDescent="0.25">
      <c r="U107" s="3" t="s">
        <v>39</v>
      </c>
    </row>
    <row r="126" spans="4:4" x14ac:dyDescent="0.25">
      <c r="D126" s="3" t="s">
        <v>39</v>
      </c>
    </row>
    <row r="133" spans="18:18" x14ac:dyDescent="0.25">
      <c r="R133" s="3" t="s">
        <v>39</v>
      </c>
    </row>
    <row r="147" spans="18:18" x14ac:dyDescent="0.25">
      <c r="R147" s="3" t="s">
        <v>39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O1" zoomScale="90" zoomScaleNormal="60" workbookViewId="0">
      <selection activeCell="Z11" sqref="Z11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7.42578125" style="3" customWidth="1"/>
    <col min="5" max="5" width="18.42578125" style="3" customWidth="1"/>
    <col min="6" max="6" width="15.42578125" style="3" customWidth="1"/>
    <col min="7" max="7" width="6.42578125" style="3" customWidth="1"/>
    <col min="8" max="8" width="21.42578125" style="3" customWidth="1"/>
    <col min="9" max="11" width="15.42578125" style="3" customWidth="1"/>
    <col min="12" max="12" width="4.42578125" style="3" customWidth="1"/>
    <col min="13" max="13" width="29.42578125" style="3" customWidth="1"/>
    <col min="14" max="14" width="21.140625" style="3" customWidth="1"/>
    <col min="15" max="15" width="32.42578125" style="3" customWidth="1"/>
    <col min="16" max="16" width="27.42578125" style="3" customWidth="1"/>
    <col min="17" max="18" width="15.42578125" style="3" customWidth="1"/>
    <col min="19" max="19" width="22.85546875" style="3" customWidth="1"/>
    <col min="20" max="20" width="26.42578125" style="3" customWidth="1"/>
    <col min="21" max="22" width="10.85546875" style="3"/>
    <col min="23" max="23" width="14.42578125" style="3" customWidth="1"/>
    <col min="24" max="24" width="23.140625" style="3" customWidth="1"/>
    <col min="25" max="25" width="16.42578125" style="3" customWidth="1"/>
    <col min="26" max="26" width="21.85546875" style="3" customWidth="1"/>
    <col min="27" max="27" width="10.85546875" style="3"/>
    <col min="28" max="28" width="15.425781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14" style="3" bestFit="1" customWidth="1"/>
    <col min="37" max="16384" width="10.85546875" style="3"/>
  </cols>
  <sheetData>
    <row r="1" spans="3:38" ht="10.5" customHeight="1" x14ac:dyDescent="0.25"/>
    <row r="2" spans="3:38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25">
      <c r="C3" s="95"/>
      <c r="D3" s="96"/>
      <c r="E3" s="96"/>
      <c r="F3" s="96"/>
      <c r="G3" s="96"/>
      <c r="H3" s="96"/>
      <c r="I3" s="96"/>
      <c r="J3" s="96" t="s">
        <v>153</v>
      </c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98"/>
    </row>
    <row r="4" spans="3:38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5"/>
    </row>
    <row r="5" spans="3:38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5"/>
    </row>
    <row r="6" spans="3:38" x14ac:dyDescent="0.2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1"/>
      <c r="AK6" s="175"/>
    </row>
    <row r="7" spans="3:38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1" t="s">
        <v>101</v>
      </c>
      <c r="N8" s="352"/>
      <c r="O8" s="352"/>
      <c r="P8" s="353"/>
      <c r="Q8" s="5"/>
      <c r="R8" s="5"/>
      <c r="S8" s="354" t="s">
        <v>107</v>
      </c>
      <c r="T8" s="355"/>
      <c r="U8" s="356"/>
      <c r="V8" s="198"/>
      <c r="W8" s="357" t="s">
        <v>222</v>
      </c>
      <c r="X8" s="358"/>
      <c r="Y8" s="358"/>
      <c r="Z8" s="359"/>
      <c r="AA8" s="11"/>
      <c r="AB8" s="357" t="s">
        <v>117</v>
      </c>
      <c r="AC8" s="358"/>
      <c r="AD8" s="358"/>
      <c r="AE8" s="358"/>
      <c r="AF8" s="359"/>
      <c r="AG8" s="11"/>
      <c r="AH8" s="375" t="s">
        <v>17</v>
      </c>
      <c r="AI8" s="376"/>
      <c r="AJ8" s="252"/>
      <c r="AK8" s="340"/>
      <c r="AL8" s="340"/>
    </row>
    <row r="9" spans="3:38" ht="21.75" thickBot="1" x14ac:dyDescent="0.4">
      <c r="C9" s="91"/>
      <c r="D9" s="199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85" t="s">
        <v>56</v>
      </c>
      <c r="N9" s="85" t="s">
        <v>33</v>
      </c>
      <c r="O9" s="85" t="s">
        <v>102</v>
      </c>
      <c r="P9" s="85" t="s">
        <v>103</v>
      </c>
      <c r="Q9" s="251" t="s">
        <v>169</v>
      </c>
      <c r="R9" s="5"/>
      <c r="S9" s="233" t="s">
        <v>109</v>
      </c>
      <c r="T9" s="233" t="s">
        <v>59</v>
      </c>
      <c r="U9" s="233" t="s">
        <v>110</v>
      </c>
      <c r="V9" s="204"/>
      <c r="W9" s="203" t="s">
        <v>140</v>
      </c>
      <c r="X9" s="298" t="s">
        <v>223</v>
      </c>
      <c r="Y9" s="299">
        <v>2</v>
      </c>
      <c r="Z9" s="300">
        <v>3</v>
      </c>
      <c r="AA9" s="11"/>
      <c r="AB9" s="203" t="s">
        <v>114</v>
      </c>
      <c r="AC9" s="203" t="s">
        <v>113</v>
      </c>
      <c r="AD9" s="203" t="s">
        <v>5</v>
      </c>
      <c r="AE9" s="203" t="s">
        <v>115</v>
      </c>
      <c r="AF9" s="203" t="s">
        <v>116</v>
      </c>
      <c r="AG9" s="11"/>
      <c r="AH9" s="237" t="s">
        <v>10</v>
      </c>
      <c r="AI9" s="239" t="s">
        <v>0</v>
      </c>
      <c r="AJ9" s="99" t="s">
        <v>159</v>
      </c>
    </row>
    <row r="10" spans="3:38" ht="18.75" x14ac:dyDescent="0.3">
      <c r="C10" s="91"/>
      <c r="D10" s="208" t="s">
        <v>1</v>
      </c>
      <c r="E10" s="69" t="s">
        <v>154</v>
      </c>
      <c r="F10" s="81"/>
      <c r="G10" s="81"/>
      <c r="H10" s="213" t="s">
        <v>2</v>
      </c>
      <c r="I10" s="71"/>
      <c r="J10" s="81"/>
      <c r="K10" s="81"/>
      <c r="L10" s="81"/>
      <c r="M10" s="213" t="s">
        <v>104</v>
      </c>
      <c r="N10" s="128">
        <v>1.3799000000000001E-2</v>
      </c>
      <c r="O10" s="128">
        <v>-0.13539999999999999</v>
      </c>
      <c r="P10" s="71"/>
      <c r="Q10" s="81"/>
      <c r="R10" s="138"/>
      <c r="S10" s="127">
        <v>4000</v>
      </c>
      <c r="T10" s="128" t="s">
        <v>28</v>
      </c>
      <c r="U10" s="129">
        <v>1</v>
      </c>
      <c r="V10" s="217"/>
      <c r="W10" s="127"/>
      <c r="X10" s="77">
        <v>7000</v>
      </c>
      <c r="Y10" s="128">
        <v>4000</v>
      </c>
      <c r="Z10" s="129"/>
      <c r="AA10" s="77"/>
      <c r="AB10" s="127" t="s">
        <v>22</v>
      </c>
      <c r="AC10" s="128" t="s">
        <v>27</v>
      </c>
      <c r="AD10" s="128" t="s">
        <v>22</v>
      </c>
      <c r="AE10" s="128" t="s">
        <v>28</v>
      </c>
      <c r="AF10" s="71">
        <v>7.33</v>
      </c>
      <c r="AG10" s="145"/>
      <c r="AH10" s="127" t="s">
        <v>40</v>
      </c>
      <c r="AI10" s="71">
        <v>0.61911000000000005</v>
      </c>
      <c r="AJ10" s="99" t="s">
        <v>31</v>
      </c>
    </row>
    <row r="11" spans="3:38" ht="18.75" x14ac:dyDescent="0.3">
      <c r="C11" s="91"/>
      <c r="D11" s="213" t="s">
        <v>3</v>
      </c>
      <c r="E11" s="71">
        <v>3000</v>
      </c>
      <c r="F11" s="81"/>
      <c r="G11" s="81"/>
      <c r="H11" s="213" t="s">
        <v>96</v>
      </c>
      <c r="I11" s="71">
        <v>10</v>
      </c>
      <c r="J11" s="81"/>
      <c r="K11" s="81"/>
      <c r="L11" s="81"/>
      <c r="M11" s="214" t="s">
        <v>105</v>
      </c>
      <c r="N11" s="128" t="s">
        <v>22</v>
      </c>
      <c r="O11" s="128" t="s">
        <v>22</v>
      </c>
      <c r="P11" s="71"/>
      <c r="Q11" s="81"/>
      <c r="R11" s="138"/>
      <c r="S11" s="127">
        <v>4000</v>
      </c>
      <c r="T11" s="128" t="s">
        <v>6</v>
      </c>
      <c r="U11" s="129">
        <v>1</v>
      </c>
      <c r="V11" s="217"/>
      <c r="W11" s="133"/>
      <c r="X11" s="77"/>
      <c r="Y11" s="217"/>
      <c r="Z11" s="218"/>
      <c r="AA11" s="77"/>
      <c r="AB11" s="219"/>
      <c r="AC11" s="77" t="s">
        <v>25</v>
      </c>
      <c r="AD11" s="217"/>
      <c r="AE11" s="77"/>
      <c r="AF11" s="218"/>
      <c r="AG11" s="145"/>
      <c r="AH11" s="127" t="s">
        <v>26</v>
      </c>
      <c r="AI11" s="71">
        <v>0.35</v>
      </c>
      <c r="AJ11" s="99" t="s">
        <v>6</v>
      </c>
    </row>
    <row r="12" spans="3:38" ht="18.75" x14ac:dyDescent="0.3">
      <c r="C12" s="91"/>
      <c r="D12" s="213" t="s">
        <v>71</v>
      </c>
      <c r="E12" s="71" t="s">
        <v>41</v>
      </c>
      <c r="F12" s="81"/>
      <c r="G12" s="81"/>
      <c r="H12" s="213" t="s">
        <v>97</v>
      </c>
      <c r="I12" s="71">
        <v>50.322000000000003</v>
      </c>
      <c r="J12" s="81"/>
      <c r="K12" s="81"/>
      <c r="L12" s="81"/>
      <c r="M12" s="214" t="s">
        <v>106</v>
      </c>
      <c r="N12" s="128" t="s">
        <v>26</v>
      </c>
      <c r="O12" s="128" t="s">
        <v>27</v>
      </c>
      <c r="P12" s="71"/>
      <c r="Q12" s="81"/>
      <c r="R12" s="138"/>
      <c r="S12" s="133">
        <v>4000</v>
      </c>
      <c r="T12" s="128" t="s">
        <v>27</v>
      </c>
      <c r="U12" s="71">
        <v>1</v>
      </c>
      <c r="V12" s="217"/>
      <c r="W12" s="133"/>
      <c r="X12" s="77"/>
      <c r="Y12" s="220"/>
      <c r="Z12" s="221"/>
      <c r="AA12" s="220"/>
      <c r="AB12" s="223"/>
      <c r="AC12" s="77"/>
      <c r="AD12" s="220"/>
      <c r="AE12" s="77"/>
      <c r="AF12" s="218"/>
      <c r="AG12" s="145"/>
      <c r="AH12" s="127" t="s">
        <v>28</v>
      </c>
      <c r="AI12" s="71">
        <v>3.5000000000000001E-3</v>
      </c>
      <c r="AJ12" s="99"/>
    </row>
    <row r="13" spans="3:38" ht="18.75" x14ac:dyDescent="0.3">
      <c r="C13" s="91"/>
      <c r="D13" s="213" t="s">
        <v>85</v>
      </c>
      <c r="E13" s="71" t="s">
        <v>40</v>
      </c>
      <c r="F13" s="81"/>
      <c r="G13" s="81"/>
      <c r="H13" s="213" t="s">
        <v>98</v>
      </c>
      <c r="I13" s="71">
        <v>0.67</v>
      </c>
      <c r="J13" s="81"/>
      <c r="K13" s="81"/>
      <c r="L13" s="81"/>
      <c r="M13" s="214"/>
      <c r="N13" s="128" t="s">
        <v>27</v>
      </c>
      <c r="O13" s="128" t="s">
        <v>26</v>
      </c>
      <c r="P13" s="71"/>
      <c r="Q13" s="81"/>
      <c r="R13" s="138"/>
      <c r="S13" s="133">
        <v>4000</v>
      </c>
      <c r="T13" s="128" t="s">
        <v>25</v>
      </c>
      <c r="U13" s="71">
        <v>1</v>
      </c>
      <c r="V13" s="220"/>
      <c r="W13" s="133"/>
      <c r="X13" s="77"/>
      <c r="Y13" s="220"/>
      <c r="Z13" s="221"/>
      <c r="AA13" s="220"/>
      <c r="AB13" s="223"/>
      <c r="AC13" s="77"/>
      <c r="AD13" s="220"/>
      <c r="AE13" s="77"/>
      <c r="AF13" s="218"/>
      <c r="AG13" s="145"/>
      <c r="AH13" s="127" t="s">
        <v>27</v>
      </c>
      <c r="AI13" s="71">
        <v>2.383E-2</v>
      </c>
      <c r="AJ13" s="99"/>
    </row>
    <row r="14" spans="3:38" ht="18.75" x14ac:dyDescent="0.3">
      <c r="C14" s="91"/>
      <c r="D14" s="213" t="s">
        <v>86</v>
      </c>
      <c r="E14" s="71">
        <v>25</v>
      </c>
      <c r="F14" s="81"/>
      <c r="G14" s="81"/>
      <c r="H14" s="213" t="s">
        <v>99</v>
      </c>
      <c r="I14" s="71">
        <v>2018</v>
      </c>
      <c r="J14" s="81"/>
      <c r="K14" s="81"/>
      <c r="L14" s="81"/>
      <c r="M14" s="79"/>
      <c r="N14" s="128" t="s">
        <v>28</v>
      </c>
      <c r="O14" s="128" t="s">
        <v>28</v>
      </c>
      <c r="P14" s="71"/>
      <c r="Q14" s="81"/>
      <c r="R14" s="138"/>
      <c r="S14" s="133">
        <v>4000</v>
      </c>
      <c r="T14" s="128" t="s">
        <v>31</v>
      </c>
      <c r="U14" s="71">
        <v>1</v>
      </c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145"/>
      <c r="AH14" s="127" t="s">
        <v>25</v>
      </c>
      <c r="AI14" s="71">
        <v>1.65E-3</v>
      </c>
      <c r="AJ14" s="99"/>
    </row>
    <row r="15" spans="3:38" ht="18.75" x14ac:dyDescent="0.3">
      <c r="C15" s="91"/>
      <c r="D15" s="213" t="s">
        <v>87</v>
      </c>
      <c r="E15" s="129">
        <v>2.6</v>
      </c>
      <c r="F15" s="81"/>
      <c r="G15" s="81"/>
      <c r="H15" s="214" t="s">
        <v>100</v>
      </c>
      <c r="I15" s="71" t="s">
        <v>23</v>
      </c>
      <c r="J15" s="81"/>
      <c r="K15" s="81"/>
      <c r="L15" s="81"/>
      <c r="M15" s="79"/>
      <c r="N15" s="77"/>
      <c r="O15" s="77"/>
      <c r="P15" s="71"/>
      <c r="Q15" s="81"/>
      <c r="R15" s="138"/>
      <c r="S15" s="133">
        <v>7000</v>
      </c>
      <c r="T15" s="128" t="s">
        <v>40</v>
      </c>
      <c r="U15" s="71">
        <v>1</v>
      </c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145"/>
      <c r="AH15" s="127" t="s">
        <v>6</v>
      </c>
      <c r="AI15" s="71">
        <v>1.91E-3</v>
      </c>
      <c r="AJ15" s="99"/>
    </row>
    <row r="16" spans="3:38" ht="21" x14ac:dyDescent="0.35">
      <c r="C16" s="91"/>
      <c r="D16" s="213" t="s">
        <v>88</v>
      </c>
      <c r="E16" s="129">
        <v>1.44</v>
      </c>
      <c r="F16" s="81"/>
      <c r="G16" s="81"/>
      <c r="H16" s="214" t="s">
        <v>84</v>
      </c>
      <c r="I16" s="71" t="s">
        <v>40</v>
      </c>
      <c r="J16" s="81"/>
      <c r="K16" s="81"/>
      <c r="L16" s="81"/>
      <c r="M16" s="79"/>
      <c r="N16" s="77"/>
      <c r="O16" s="77"/>
      <c r="P16" s="71"/>
      <c r="Q16" s="81"/>
      <c r="R16" s="138"/>
      <c r="S16" s="242">
        <v>7000</v>
      </c>
      <c r="T16" s="242" t="s">
        <v>26</v>
      </c>
      <c r="U16" s="242">
        <v>1</v>
      </c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3"/>
      <c r="AI16" s="71"/>
      <c r="AJ16" s="99"/>
    </row>
    <row r="17" spans="3:37" ht="18.75" x14ac:dyDescent="0.3">
      <c r="C17" s="91"/>
      <c r="D17" s="213" t="s">
        <v>89</v>
      </c>
      <c r="E17" s="71">
        <v>250</v>
      </c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3"/>
      <c r="AI17" s="71"/>
      <c r="AJ17" s="99"/>
    </row>
    <row r="18" spans="3:37" ht="18.75" x14ac:dyDescent="0.3">
      <c r="C18" s="91"/>
      <c r="D18" s="72" t="s">
        <v>90</v>
      </c>
      <c r="E18" s="71">
        <v>250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3"/>
      <c r="AI18" s="71"/>
      <c r="AJ18" s="99"/>
    </row>
    <row r="19" spans="3:37" ht="18.75" x14ac:dyDescent="0.3">
      <c r="C19" s="91"/>
      <c r="D19" s="213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3"/>
      <c r="AI19" s="71"/>
      <c r="AJ19" s="99"/>
    </row>
    <row r="20" spans="3:37" ht="18.75" x14ac:dyDescent="0.3">
      <c r="C20" s="91"/>
      <c r="D20" s="72" t="s">
        <v>92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3"/>
      <c r="AI20" s="71"/>
      <c r="AJ20" s="99"/>
    </row>
    <row r="21" spans="3:37" ht="18.75" x14ac:dyDescent="0.3">
      <c r="C21" s="91"/>
      <c r="D21" s="72" t="s">
        <v>93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3"/>
      <c r="AI21" s="71"/>
      <c r="AJ21" s="99"/>
    </row>
    <row r="22" spans="3:37" ht="18.75" x14ac:dyDescent="0.3">
      <c r="C22" s="91"/>
      <c r="D22" s="72" t="s">
        <v>94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3"/>
      <c r="AI22" s="71"/>
      <c r="AJ22" s="99"/>
    </row>
    <row r="23" spans="3:37" ht="18.75" x14ac:dyDescent="0.3">
      <c r="C23" s="91"/>
      <c r="D23" s="72" t="s">
        <v>95</v>
      </c>
      <c r="E23" s="71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3"/>
      <c r="AI23" s="71"/>
      <c r="AJ23" s="99"/>
    </row>
    <row r="24" spans="3:37" ht="18.75" x14ac:dyDescent="0.3">
      <c r="C24" s="91"/>
      <c r="D24" s="157" t="s">
        <v>118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3"/>
      <c r="AI24" s="71"/>
      <c r="AJ24" s="99"/>
    </row>
    <row r="25" spans="3:37" ht="18.75" x14ac:dyDescent="0.3">
      <c r="C25" s="91"/>
      <c r="D25" s="157" t="s">
        <v>119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1"/>
      <c r="AJ25" s="99"/>
    </row>
    <row r="26" spans="3:37" ht="18.75" x14ac:dyDescent="0.3">
      <c r="C26" s="91"/>
      <c r="D26" s="158" t="s">
        <v>120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1"/>
      <c r="AJ26" s="99"/>
    </row>
    <row r="27" spans="3:37" ht="19.5" thickBot="1" x14ac:dyDescent="0.35">
      <c r="C27" s="91"/>
      <c r="D27" s="159" t="s">
        <v>149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73"/>
      <c r="AJ27" s="184"/>
    </row>
    <row r="28" spans="3:37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5"/>
    </row>
    <row r="30" spans="3:37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5"/>
    </row>
    <row r="31" spans="3:37" x14ac:dyDescent="0.2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5"/>
    </row>
    <row r="32" spans="3:37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5"/>
    </row>
    <row r="33" spans="3:37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5"/>
    </row>
    <row r="34" spans="3:37" x14ac:dyDescent="0.2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5"/>
    </row>
    <row r="35" spans="3:37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5"/>
    </row>
    <row r="36" spans="3:37" x14ac:dyDescent="0.2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5"/>
    </row>
    <row r="37" spans="3:37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5"/>
    </row>
    <row r="38" spans="3:37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5"/>
    </row>
    <row r="39" spans="3:37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5"/>
    </row>
    <row r="40" spans="3:37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5"/>
    </row>
    <row r="41" spans="3:37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5"/>
    </row>
    <row r="42" spans="3:37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5"/>
    </row>
    <row r="43" spans="3:37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5"/>
    </row>
    <row r="44" spans="3:37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5"/>
    </row>
    <row r="45" spans="3:37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5"/>
    </row>
    <row r="46" spans="3:37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5"/>
    </row>
    <row r="47" spans="3:37" ht="18.75" x14ac:dyDescent="0.25">
      <c r="C47" s="91"/>
      <c r="D47" s="5"/>
      <c r="E47" s="5"/>
      <c r="F47" s="243"/>
      <c r="G47" s="244"/>
      <c r="H47" s="5"/>
      <c r="I47" s="5"/>
      <c r="J47" s="243"/>
      <c r="K47" s="244"/>
      <c r="L47" s="5"/>
      <c r="M47" s="5"/>
      <c r="N47" s="5"/>
      <c r="O47" s="5"/>
      <c r="P47" s="226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5"/>
    </row>
    <row r="48" spans="3:37" ht="15.75" x14ac:dyDescent="0.25">
      <c r="C48" s="91"/>
      <c r="D48" s="5"/>
      <c r="E48" s="5"/>
      <c r="F48" s="227"/>
      <c r="G48" s="227"/>
      <c r="H48" s="5"/>
      <c r="I48" s="5"/>
      <c r="J48" s="227"/>
      <c r="K48" s="22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5"/>
    </row>
    <row r="49" spans="3:37" ht="15.75" x14ac:dyDescent="0.25">
      <c r="C49" s="91"/>
      <c r="D49" s="5"/>
      <c r="E49" s="5"/>
      <c r="F49" s="228"/>
      <c r="G49" s="228"/>
      <c r="H49" s="5"/>
      <c r="I49" s="5"/>
      <c r="J49" s="229"/>
      <c r="K49" s="229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5"/>
    </row>
    <row r="50" spans="3:37" ht="15.75" x14ac:dyDescent="0.25">
      <c r="C50" s="91"/>
      <c r="D50" s="5"/>
      <c r="E50" s="5"/>
      <c r="F50" s="228"/>
      <c r="G50" s="228"/>
      <c r="H50" s="5"/>
      <c r="I50" s="5"/>
      <c r="J50" s="229"/>
      <c r="K50" s="229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5"/>
    </row>
    <row r="51" spans="3:37" ht="15.75" x14ac:dyDescent="0.25">
      <c r="C51" s="91"/>
      <c r="D51" s="5"/>
      <c r="E51" s="5"/>
      <c r="F51" s="228"/>
      <c r="G51" s="228"/>
      <c r="H51" s="5"/>
      <c r="I51" s="5"/>
      <c r="J51" s="229"/>
      <c r="K51" s="229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5"/>
    </row>
    <row r="52" spans="3:37" ht="15.75" x14ac:dyDescent="0.25">
      <c r="C52" s="91"/>
      <c r="D52" s="5"/>
      <c r="E52" s="5"/>
      <c r="F52" s="228"/>
      <c r="G52" s="228"/>
      <c r="H52" s="5"/>
      <c r="I52" s="5"/>
      <c r="J52" s="230"/>
      <c r="K52" s="23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5"/>
    </row>
    <row r="53" spans="3:37" ht="15.75" x14ac:dyDescent="0.25">
      <c r="C53" s="91"/>
      <c r="D53" s="5"/>
      <c r="E53" s="5"/>
      <c r="F53" s="228"/>
      <c r="G53" s="228"/>
      <c r="H53" s="5"/>
      <c r="I53" s="5"/>
      <c r="J53" s="230"/>
      <c r="K53" s="23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5"/>
    </row>
    <row r="54" spans="3:37" ht="15.75" x14ac:dyDescent="0.25">
      <c r="C54" s="91"/>
      <c r="D54" s="5"/>
      <c r="E54" s="5"/>
      <c r="F54" s="228"/>
      <c r="G54" s="228"/>
      <c r="H54" s="5"/>
      <c r="I54" s="5"/>
      <c r="J54" s="230"/>
      <c r="K54" s="23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5"/>
    </row>
    <row r="55" spans="3:37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5"/>
    </row>
    <row r="56" spans="3:37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5"/>
    </row>
    <row r="57" spans="3:37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5"/>
    </row>
    <row r="58" spans="3:37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5"/>
    </row>
    <row r="59" spans="3:37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5"/>
    </row>
    <row r="60" spans="3:37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5"/>
    </row>
    <row r="61" spans="3:37" x14ac:dyDescent="0.25">
      <c r="C61" s="91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5"/>
    </row>
    <row r="62" spans="3:37" x14ac:dyDescent="0.25">
      <c r="C62" s="91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5"/>
    </row>
    <row r="63" spans="3:37" x14ac:dyDescent="0.25">
      <c r="C63" s="91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5"/>
    </row>
    <row r="64" spans="3:37" x14ac:dyDescent="0.25">
      <c r="C64" s="91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5"/>
    </row>
    <row r="65" spans="3:37" x14ac:dyDescent="0.25">
      <c r="C65" s="91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5"/>
    </row>
    <row r="66" spans="3:37" x14ac:dyDescent="0.25">
      <c r="C66" s="91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5"/>
    </row>
    <row r="67" spans="3:37" x14ac:dyDescent="0.25">
      <c r="C67" s="91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5"/>
    </row>
    <row r="68" spans="3:37" x14ac:dyDescent="0.25">
      <c r="C68" s="91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5"/>
    </row>
    <row r="69" spans="3:37" x14ac:dyDescent="0.25">
      <c r="C69" s="91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5"/>
    </row>
    <row r="70" spans="3:37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76"/>
    </row>
    <row r="119" spans="17:17" x14ac:dyDescent="0.25">
      <c r="Q119" s="3" t="s">
        <v>39</v>
      </c>
    </row>
    <row r="137" spans="18:18" x14ac:dyDescent="0.25">
      <c r="R137" s="3" t="s">
        <v>39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N36" sqref="N36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2.42578125" style="3" customWidth="1"/>
    <col min="5" max="5" width="21.85546875" style="3" customWidth="1"/>
    <col min="6" max="6" width="15.42578125" style="3" customWidth="1"/>
    <col min="7" max="7" width="6.42578125" style="3" customWidth="1"/>
    <col min="8" max="8" width="24.85546875" style="3" customWidth="1"/>
    <col min="9" max="11" width="15.42578125" style="3" customWidth="1"/>
    <col min="12" max="12" width="4.42578125" style="3" customWidth="1"/>
    <col min="13" max="13" width="27.42578125" style="3" customWidth="1"/>
    <col min="14" max="14" width="15.42578125" style="3" customWidth="1"/>
    <col min="15" max="15" width="31" style="3" customWidth="1"/>
    <col min="16" max="16" width="27.140625" style="3" customWidth="1"/>
    <col min="17" max="18" width="15.42578125" style="3" customWidth="1"/>
    <col min="19" max="19" width="16.85546875" style="3" customWidth="1"/>
    <col min="20" max="20" width="19.85546875" style="3" customWidth="1"/>
    <col min="21" max="22" width="10.85546875" style="3"/>
    <col min="23" max="23" width="16.140625" style="3" customWidth="1"/>
    <col min="24" max="24" width="23" style="3" customWidth="1"/>
    <col min="25" max="25" width="20.42578125" style="3" customWidth="1"/>
    <col min="26" max="26" width="22.42578125" style="3" customWidth="1"/>
    <col min="27" max="28" width="10.85546875" style="3"/>
    <col min="29" max="29" width="19.4257812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42578125" style="3" customWidth="1"/>
    <col min="35" max="35" width="15.140625" style="3" customWidth="1"/>
    <col min="36" max="38" width="10.85546875" style="3"/>
    <col min="39" max="39" width="18.42578125" style="3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25">
      <c r="C3" s="95"/>
      <c r="D3" s="96"/>
      <c r="E3" s="96"/>
      <c r="F3" s="96"/>
      <c r="G3" s="96"/>
      <c r="H3" s="96"/>
      <c r="I3" s="96"/>
      <c r="J3" s="96" t="s">
        <v>34</v>
      </c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103"/>
    </row>
    <row r="4" spans="3:47" x14ac:dyDescent="0.2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2"/>
    </row>
    <row r="5" spans="3:47" x14ac:dyDescent="0.2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2"/>
    </row>
    <row r="6" spans="3:47" x14ac:dyDescent="0.25">
      <c r="C6" s="91"/>
      <c r="D6" s="367" t="s">
        <v>15</v>
      </c>
      <c r="E6" s="367"/>
      <c r="F6" s="5"/>
      <c r="G6" s="5"/>
      <c r="H6" s="368" t="s">
        <v>16</v>
      </c>
      <c r="I6" s="368"/>
      <c r="J6" s="15"/>
      <c r="K6" s="15"/>
      <c r="L6" s="5"/>
      <c r="M6" s="369" t="s">
        <v>4</v>
      </c>
      <c r="N6" s="369"/>
      <c r="O6" s="369"/>
      <c r="P6" s="369"/>
      <c r="Q6" s="5"/>
      <c r="R6" s="5"/>
      <c r="S6" s="370" t="s">
        <v>7</v>
      </c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07"/>
      <c r="AH6" s="107"/>
      <c r="AI6" s="107"/>
      <c r="AJ6" s="107"/>
      <c r="AK6" s="107"/>
      <c r="AL6" s="107"/>
      <c r="AM6" s="107"/>
      <c r="AN6" s="107"/>
      <c r="AO6" s="5"/>
      <c r="AP6" s="92"/>
    </row>
    <row r="7" spans="3:47" ht="15.75" thickBot="1" x14ac:dyDescent="0.3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2"/>
    </row>
    <row r="8" spans="3:47" ht="24" thickBot="1" x14ac:dyDescent="0.4">
      <c r="C8" s="91"/>
      <c r="D8" s="326" t="s">
        <v>81</v>
      </c>
      <c r="E8" s="327"/>
      <c r="F8" s="5"/>
      <c r="G8" s="5"/>
      <c r="H8" s="328" t="s">
        <v>82</v>
      </c>
      <c r="I8" s="329"/>
      <c r="J8" s="16"/>
      <c r="K8" s="16"/>
      <c r="L8" s="5"/>
      <c r="M8" s="351" t="s">
        <v>101</v>
      </c>
      <c r="N8" s="352"/>
      <c r="O8" s="352"/>
      <c r="P8" s="353"/>
      <c r="Q8" s="5"/>
      <c r="R8" s="5"/>
      <c r="S8" s="354" t="s">
        <v>107</v>
      </c>
      <c r="T8" s="355"/>
      <c r="U8" s="356"/>
      <c r="V8" s="198"/>
      <c r="W8" s="357" t="s">
        <v>148</v>
      </c>
      <c r="X8" s="358"/>
      <c r="Y8" s="358"/>
      <c r="Z8" s="359"/>
      <c r="AA8" s="11"/>
      <c r="AB8" s="357" t="s">
        <v>117</v>
      </c>
      <c r="AC8" s="358"/>
      <c r="AD8" s="358"/>
      <c r="AE8" s="358"/>
      <c r="AF8" s="359"/>
      <c r="AG8" s="5"/>
      <c r="AH8" s="377" t="s">
        <v>8</v>
      </c>
      <c r="AI8" s="378"/>
      <c r="AJ8" s="379"/>
      <c r="AK8" s="232"/>
      <c r="AL8" s="380" t="s">
        <v>9</v>
      </c>
      <c r="AM8" s="381"/>
      <c r="AN8" s="382"/>
      <c r="AO8" s="5"/>
      <c r="AP8" s="92"/>
    </row>
    <row r="9" spans="3:47" ht="21.75" thickBot="1" x14ac:dyDescent="0.4">
      <c r="C9" s="91"/>
      <c r="D9" s="199" t="s">
        <v>56</v>
      </c>
      <c r="E9" s="74" t="s">
        <v>0</v>
      </c>
      <c r="F9" s="5"/>
      <c r="G9" s="5"/>
      <c r="H9" s="76" t="s">
        <v>56</v>
      </c>
      <c r="I9" s="76" t="s">
        <v>83</v>
      </c>
      <c r="J9" s="17"/>
      <c r="K9" s="17"/>
      <c r="L9" s="5"/>
      <c r="M9" s="85" t="s">
        <v>56</v>
      </c>
      <c r="N9" s="85" t="s">
        <v>33</v>
      </c>
      <c r="O9" s="85" t="s">
        <v>102</v>
      </c>
      <c r="P9" s="85" t="s">
        <v>103</v>
      </c>
      <c r="Q9" s="5" t="s">
        <v>169</v>
      </c>
      <c r="R9" s="5"/>
      <c r="S9" s="233" t="s">
        <v>109</v>
      </c>
      <c r="T9" s="233" t="s">
        <v>59</v>
      </c>
      <c r="U9" s="233" t="s">
        <v>110</v>
      </c>
      <c r="V9" s="204"/>
      <c r="W9" s="203" t="s">
        <v>140</v>
      </c>
      <c r="X9" s="383"/>
      <c r="Y9" s="384"/>
      <c r="Z9" s="385"/>
      <c r="AA9" s="11"/>
      <c r="AB9" s="233" t="s">
        <v>114</v>
      </c>
      <c r="AC9" s="233" t="s">
        <v>113</v>
      </c>
      <c r="AD9" s="233" t="s">
        <v>5</v>
      </c>
      <c r="AE9" s="233" t="s">
        <v>115</v>
      </c>
      <c r="AF9" s="233" t="s">
        <v>116</v>
      </c>
      <c r="AG9" s="5"/>
      <c r="AH9" s="234" t="s">
        <v>10</v>
      </c>
      <c r="AI9" s="235" t="s">
        <v>11</v>
      </c>
      <c r="AJ9" s="236" t="s">
        <v>0</v>
      </c>
      <c r="AK9" s="204"/>
      <c r="AL9" s="237" t="s">
        <v>12</v>
      </c>
      <c r="AM9" s="238" t="s">
        <v>13</v>
      </c>
      <c r="AN9" s="239" t="s">
        <v>14</v>
      </c>
      <c r="AO9" s="5"/>
      <c r="AP9" s="92"/>
    </row>
    <row r="10" spans="3:47" ht="18.75" x14ac:dyDescent="0.3">
      <c r="C10" s="91"/>
      <c r="D10" s="208" t="s">
        <v>1</v>
      </c>
      <c r="E10" s="69" t="s">
        <v>152</v>
      </c>
      <c r="F10" s="81"/>
      <c r="G10" s="81"/>
      <c r="H10" s="213" t="s">
        <v>2</v>
      </c>
      <c r="I10" s="71"/>
      <c r="J10" s="81"/>
      <c r="K10" s="81"/>
      <c r="L10" s="81"/>
      <c r="M10" s="213" t="s">
        <v>104</v>
      </c>
      <c r="N10" s="77"/>
      <c r="O10" s="77"/>
      <c r="P10" s="71"/>
      <c r="Q10" s="81"/>
      <c r="R10" s="81"/>
      <c r="S10" s="219"/>
      <c r="T10" s="77"/>
      <c r="U10" s="218"/>
      <c r="V10" s="217"/>
      <c r="W10" s="127">
        <v>113</v>
      </c>
      <c r="X10" s="77"/>
      <c r="Y10" s="128"/>
      <c r="Z10" s="129"/>
      <c r="AA10" s="77"/>
      <c r="AB10" s="151" t="s">
        <v>23</v>
      </c>
      <c r="AC10" s="150" t="s">
        <v>6</v>
      </c>
      <c r="AD10" s="150" t="s">
        <v>23</v>
      </c>
      <c r="AE10" s="150" t="s">
        <v>6</v>
      </c>
      <c r="AF10" s="152">
        <v>0.1</v>
      </c>
      <c r="AG10" s="77"/>
      <c r="AH10" s="151" t="s">
        <v>28</v>
      </c>
      <c r="AI10" s="150">
        <v>2</v>
      </c>
      <c r="AJ10" s="152">
        <v>-1</v>
      </c>
      <c r="AK10" s="217"/>
      <c r="AL10" s="151">
        <v>2</v>
      </c>
      <c r="AM10" s="240" t="s">
        <v>28</v>
      </c>
      <c r="AN10" s="173">
        <v>1</v>
      </c>
      <c r="AO10" s="5"/>
      <c r="AP10" s="92"/>
      <c r="AQ10" s="5"/>
      <c r="AR10" s="5"/>
      <c r="AS10" s="5"/>
      <c r="AT10" s="5"/>
      <c r="AU10" s="5"/>
    </row>
    <row r="11" spans="3:47" ht="18.75" x14ac:dyDescent="0.3">
      <c r="C11" s="91"/>
      <c r="D11" s="213" t="s">
        <v>3</v>
      </c>
      <c r="E11" s="71">
        <v>4000</v>
      </c>
      <c r="F11" s="81"/>
      <c r="G11" s="81"/>
      <c r="H11" s="213" t="s">
        <v>96</v>
      </c>
      <c r="I11" s="71">
        <v>0.54700000000000004</v>
      </c>
      <c r="J11" s="81"/>
      <c r="K11" s="81"/>
      <c r="L11" s="81"/>
      <c r="M11" s="214" t="s">
        <v>105</v>
      </c>
      <c r="N11" s="77"/>
      <c r="O11" s="77"/>
      <c r="P11" s="71"/>
      <c r="Q11" s="81"/>
      <c r="R11" s="81"/>
      <c r="S11" s="219"/>
      <c r="T11" s="77"/>
      <c r="U11" s="218"/>
      <c r="V11" s="217"/>
      <c r="W11" s="133"/>
      <c r="X11" s="77"/>
      <c r="Y11" s="217"/>
      <c r="Z11" s="218"/>
      <c r="AA11" s="77"/>
      <c r="AB11" s="219"/>
      <c r="AC11" s="77"/>
      <c r="AD11" s="217"/>
      <c r="AE11" s="220" t="s">
        <v>26</v>
      </c>
      <c r="AF11" s="218"/>
      <c r="AG11" s="77"/>
      <c r="AH11" s="151" t="s">
        <v>6</v>
      </c>
      <c r="AI11" s="150">
        <v>2</v>
      </c>
      <c r="AJ11" s="152">
        <v>-8</v>
      </c>
      <c r="AK11" s="217"/>
      <c r="AL11" s="151">
        <v>3</v>
      </c>
      <c r="AM11" s="240" t="s">
        <v>25</v>
      </c>
      <c r="AN11" s="173">
        <v>1</v>
      </c>
      <c r="AO11" s="5"/>
      <c r="AP11" s="92"/>
      <c r="AQ11" s="5"/>
      <c r="AR11" s="5"/>
      <c r="AS11" s="5"/>
      <c r="AT11" s="5"/>
      <c r="AU11" s="5"/>
    </row>
    <row r="12" spans="3:47" ht="18.75" x14ac:dyDescent="0.3">
      <c r="C12" s="91"/>
      <c r="D12" s="213" t="s">
        <v>71</v>
      </c>
      <c r="E12" s="71" t="s">
        <v>42</v>
      </c>
      <c r="F12" s="81"/>
      <c r="G12" s="81"/>
      <c r="H12" s="213" t="s">
        <v>97</v>
      </c>
      <c r="I12" s="71">
        <v>1</v>
      </c>
      <c r="J12" s="81"/>
      <c r="K12" s="81"/>
      <c r="L12" s="81"/>
      <c r="M12" s="214" t="s">
        <v>106</v>
      </c>
      <c r="N12" s="77"/>
      <c r="O12" s="77"/>
      <c r="P12" s="71"/>
      <c r="Q12" s="81"/>
      <c r="R12" s="81"/>
      <c r="S12" s="219"/>
      <c r="T12" s="77"/>
      <c r="U12" s="218"/>
      <c r="V12" s="217"/>
      <c r="W12" s="133"/>
      <c r="X12" s="77"/>
      <c r="Y12" s="220"/>
      <c r="Z12" s="221"/>
      <c r="AA12" s="220"/>
      <c r="AB12" s="223"/>
      <c r="AC12" s="77"/>
      <c r="AD12" s="220"/>
      <c r="AE12" s="220" t="s">
        <v>27</v>
      </c>
      <c r="AF12" s="218"/>
      <c r="AG12" s="77"/>
      <c r="AH12" s="144" t="s">
        <v>26</v>
      </c>
      <c r="AI12" s="145">
        <v>2</v>
      </c>
      <c r="AJ12" s="146">
        <v>9</v>
      </c>
      <c r="AK12" s="217"/>
      <c r="AL12" s="151"/>
      <c r="AM12" s="240"/>
      <c r="AN12" s="173"/>
      <c r="AO12" s="5"/>
      <c r="AP12" s="92"/>
      <c r="AQ12" s="5"/>
      <c r="AR12" s="5"/>
      <c r="AS12" s="5"/>
      <c r="AT12" s="5"/>
      <c r="AU12" s="5"/>
    </row>
    <row r="13" spans="3:47" ht="18.75" x14ac:dyDescent="0.3">
      <c r="C13" s="91"/>
      <c r="D13" s="213" t="s">
        <v>85</v>
      </c>
      <c r="E13" s="71" t="s">
        <v>168</v>
      </c>
      <c r="F13" s="81"/>
      <c r="G13" s="81"/>
      <c r="H13" s="213" t="s">
        <v>98</v>
      </c>
      <c r="I13" s="71">
        <v>1</v>
      </c>
      <c r="J13" s="81"/>
      <c r="K13" s="81"/>
      <c r="L13" s="81"/>
      <c r="M13" s="214"/>
      <c r="N13" s="77"/>
      <c r="O13" s="77"/>
      <c r="P13" s="71"/>
      <c r="Q13" s="81"/>
      <c r="R13" s="81"/>
      <c r="S13" s="223"/>
      <c r="T13" s="77"/>
      <c r="U13" s="221"/>
      <c r="V13" s="220"/>
      <c r="W13" s="133"/>
      <c r="X13" s="77"/>
      <c r="Y13" s="220"/>
      <c r="Z13" s="221"/>
      <c r="AA13" s="220"/>
      <c r="AB13" s="223"/>
      <c r="AC13" s="77"/>
      <c r="AD13" s="220"/>
      <c r="AE13" s="220"/>
      <c r="AF13" s="218"/>
      <c r="AG13" s="77"/>
      <c r="AH13" s="144" t="s">
        <v>25</v>
      </c>
      <c r="AI13" s="145">
        <v>3</v>
      </c>
      <c r="AJ13" s="146">
        <v>-1</v>
      </c>
      <c r="AK13" s="217"/>
      <c r="AL13" s="144"/>
      <c r="AM13" s="145"/>
      <c r="AN13" s="146"/>
      <c r="AO13" s="5"/>
      <c r="AP13" s="92"/>
      <c r="AQ13" s="5"/>
      <c r="AR13" s="5"/>
      <c r="AS13" s="5"/>
      <c r="AT13" s="5"/>
      <c r="AU13" s="5"/>
    </row>
    <row r="14" spans="3:47" ht="18.75" x14ac:dyDescent="0.3">
      <c r="C14" s="91"/>
      <c r="D14" s="213" t="s">
        <v>86</v>
      </c>
      <c r="E14" s="71">
        <v>25</v>
      </c>
      <c r="F14" s="81"/>
      <c r="G14" s="81"/>
      <c r="H14" s="213" t="s">
        <v>99</v>
      </c>
      <c r="I14" s="71">
        <v>2004</v>
      </c>
      <c r="J14" s="81"/>
      <c r="K14" s="81"/>
      <c r="L14" s="81"/>
      <c r="M14" s="79"/>
      <c r="N14" s="77"/>
      <c r="O14" s="77"/>
      <c r="P14" s="71"/>
      <c r="Q14" s="81"/>
      <c r="R14" s="81"/>
      <c r="S14" s="223"/>
      <c r="T14" s="77"/>
      <c r="U14" s="221"/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77"/>
      <c r="AH14" s="144" t="s">
        <v>6</v>
      </c>
      <c r="AI14" s="145">
        <v>3</v>
      </c>
      <c r="AJ14" s="146">
        <v>-0.57099999999999995</v>
      </c>
      <c r="AK14" s="217"/>
      <c r="AL14" s="223"/>
      <c r="AM14" s="77"/>
      <c r="AN14" s="221"/>
      <c r="AO14" s="5"/>
      <c r="AP14" s="92"/>
      <c r="AQ14" s="5"/>
      <c r="AR14" s="5"/>
      <c r="AS14" s="5"/>
      <c r="AT14" s="5"/>
      <c r="AU14" s="5"/>
    </row>
    <row r="15" spans="3:47" ht="18.75" x14ac:dyDescent="0.3">
      <c r="C15" s="91"/>
      <c r="D15" s="213" t="s">
        <v>87</v>
      </c>
      <c r="E15" s="174">
        <v>2.6</v>
      </c>
      <c r="F15" s="81"/>
      <c r="G15" s="81"/>
      <c r="H15" s="214" t="s">
        <v>100</v>
      </c>
      <c r="I15" s="71" t="s">
        <v>43</v>
      </c>
      <c r="J15" s="81"/>
      <c r="K15" s="81"/>
      <c r="L15" s="81"/>
      <c r="M15" s="79"/>
      <c r="N15" s="77"/>
      <c r="O15" s="77"/>
      <c r="P15" s="71"/>
      <c r="Q15" s="81"/>
      <c r="R15" s="81"/>
      <c r="S15" s="223"/>
      <c r="T15" s="77"/>
      <c r="U15" s="221"/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77"/>
      <c r="AH15" s="144" t="s">
        <v>27</v>
      </c>
      <c r="AI15" s="145">
        <v>3</v>
      </c>
      <c r="AJ15" s="146">
        <v>1.571</v>
      </c>
      <c r="AK15" s="217"/>
      <c r="AL15" s="223"/>
      <c r="AM15" s="77"/>
      <c r="AN15" s="221"/>
      <c r="AO15" s="5"/>
      <c r="AP15" s="92"/>
      <c r="AQ15" s="5"/>
      <c r="AR15" s="5"/>
      <c r="AS15" s="5"/>
      <c r="AT15" s="5"/>
      <c r="AU15" s="5"/>
    </row>
    <row r="16" spans="3:47" ht="18.75" x14ac:dyDescent="0.3">
      <c r="C16" s="91"/>
      <c r="D16" s="213" t="s">
        <v>88</v>
      </c>
      <c r="E16" s="174">
        <v>1.44</v>
      </c>
      <c r="F16" s="81"/>
      <c r="G16" s="81"/>
      <c r="H16" s="214" t="s">
        <v>84</v>
      </c>
      <c r="I16" s="71"/>
      <c r="J16" s="81"/>
      <c r="K16" s="81"/>
      <c r="L16" s="81"/>
      <c r="M16" s="79"/>
      <c r="N16" s="77"/>
      <c r="O16" s="77"/>
      <c r="P16" s="71"/>
      <c r="Q16" s="81"/>
      <c r="R16" s="81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77"/>
      <c r="AK16" s="77"/>
      <c r="AL16" s="133"/>
      <c r="AM16" s="77"/>
      <c r="AN16" s="71"/>
      <c r="AO16" s="5"/>
      <c r="AP16" s="92"/>
      <c r="AQ16" s="5"/>
      <c r="AR16" s="5"/>
      <c r="AS16" s="5"/>
      <c r="AT16" s="5"/>
      <c r="AU16" s="5"/>
    </row>
    <row r="17" spans="3:47" ht="18.75" x14ac:dyDescent="0.3">
      <c r="C17" s="91"/>
      <c r="D17" s="213" t="s">
        <v>89</v>
      </c>
      <c r="E17" s="71"/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81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77"/>
      <c r="AK17" s="77"/>
      <c r="AL17" s="133"/>
      <c r="AM17" s="77"/>
      <c r="AN17" s="71"/>
      <c r="AO17" s="5"/>
      <c r="AP17" s="92"/>
      <c r="AQ17" s="5"/>
      <c r="AR17" s="5"/>
      <c r="AS17" s="5"/>
      <c r="AT17" s="5"/>
      <c r="AU17" s="5"/>
    </row>
    <row r="18" spans="3:47" ht="18.75" x14ac:dyDescent="0.3">
      <c r="C18" s="91"/>
      <c r="D18" s="72" t="s">
        <v>90</v>
      </c>
      <c r="E18" s="71"/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81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77"/>
      <c r="AK18" s="77"/>
      <c r="AL18" s="133"/>
      <c r="AM18" s="77"/>
      <c r="AN18" s="71"/>
      <c r="AO18" s="5"/>
      <c r="AP18" s="92"/>
      <c r="AQ18" s="5"/>
      <c r="AR18" s="5"/>
      <c r="AS18" s="5"/>
      <c r="AT18" s="5"/>
      <c r="AU18" s="5"/>
    </row>
    <row r="19" spans="3:47" ht="18.75" x14ac:dyDescent="0.3">
      <c r="C19" s="91"/>
      <c r="D19" s="213" t="s">
        <v>91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81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77"/>
      <c r="AK19" s="77"/>
      <c r="AL19" s="133"/>
      <c r="AM19" s="77"/>
      <c r="AN19" s="71"/>
      <c r="AO19" s="5"/>
      <c r="AP19" s="92"/>
      <c r="AQ19" s="5"/>
      <c r="AR19" s="5"/>
      <c r="AS19" s="5"/>
      <c r="AT19" s="5"/>
      <c r="AU19" s="5"/>
    </row>
    <row r="20" spans="3:47" ht="18.75" x14ac:dyDescent="0.3">
      <c r="C20" s="91"/>
      <c r="D20" s="72" t="s">
        <v>92</v>
      </c>
      <c r="E20" s="71"/>
      <c r="F20" s="81"/>
      <c r="G20" s="81"/>
      <c r="H20" s="79"/>
      <c r="I20" s="71"/>
      <c r="J20" s="81"/>
      <c r="K20" s="81"/>
      <c r="L20" s="81"/>
      <c r="M20" s="134"/>
      <c r="N20" s="77"/>
      <c r="O20" s="77"/>
      <c r="P20" s="71"/>
      <c r="Q20" s="81"/>
      <c r="R20" s="81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77"/>
      <c r="AH20" s="133"/>
      <c r="AI20" s="77"/>
      <c r="AJ20" s="71"/>
      <c r="AK20" s="77"/>
      <c r="AL20" s="133"/>
      <c r="AM20" s="77"/>
      <c r="AN20" s="71"/>
      <c r="AO20" s="5"/>
      <c r="AP20" s="92"/>
      <c r="AQ20" s="5"/>
      <c r="AR20" s="5"/>
      <c r="AS20" s="5"/>
      <c r="AT20" s="5"/>
      <c r="AU20" s="5"/>
    </row>
    <row r="21" spans="3:47" ht="18.75" x14ac:dyDescent="0.3">
      <c r="C21" s="91"/>
      <c r="D21" s="72" t="s">
        <v>93</v>
      </c>
      <c r="E21" s="71">
        <v>0.83</v>
      </c>
      <c r="F21" s="81"/>
      <c r="G21" s="81"/>
      <c r="H21" s="134"/>
      <c r="I21" s="71"/>
      <c r="J21" s="81"/>
      <c r="K21" s="81"/>
      <c r="L21" s="81"/>
      <c r="M21" s="134"/>
      <c r="N21" s="77"/>
      <c r="O21" s="77"/>
      <c r="P21" s="71"/>
      <c r="Q21" s="81"/>
      <c r="R21" s="81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77"/>
      <c r="AH21" s="133"/>
      <c r="AI21" s="77"/>
      <c r="AJ21" s="71"/>
      <c r="AK21" s="77"/>
      <c r="AL21" s="133"/>
      <c r="AM21" s="77"/>
      <c r="AN21" s="71"/>
      <c r="AO21" s="5"/>
      <c r="AP21" s="92"/>
      <c r="AQ21" s="5"/>
      <c r="AR21" s="5"/>
      <c r="AS21" s="5"/>
      <c r="AT21" s="5"/>
      <c r="AU21" s="5"/>
    </row>
    <row r="22" spans="3:47" ht="18.75" x14ac:dyDescent="0.3">
      <c r="C22" s="91"/>
      <c r="D22" s="72" t="s">
        <v>94</v>
      </c>
      <c r="E22" s="71"/>
      <c r="F22" s="81"/>
      <c r="G22" s="81"/>
      <c r="H22" s="134"/>
      <c r="I22" s="71"/>
      <c r="J22" s="81"/>
      <c r="K22" s="81"/>
      <c r="L22" s="81"/>
      <c r="M22" s="134"/>
      <c r="N22" s="77"/>
      <c r="O22" s="77"/>
      <c r="P22" s="71"/>
      <c r="Q22" s="81"/>
      <c r="R22" s="81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77"/>
      <c r="AH22" s="133"/>
      <c r="AI22" s="77"/>
      <c r="AJ22" s="71"/>
      <c r="AK22" s="77"/>
      <c r="AL22" s="133"/>
      <c r="AM22" s="77"/>
      <c r="AN22" s="71"/>
      <c r="AO22" s="5"/>
      <c r="AP22" s="92"/>
      <c r="AQ22" s="5"/>
      <c r="AR22" s="5"/>
      <c r="AS22" s="5"/>
      <c r="AT22" s="5"/>
      <c r="AU22" s="5"/>
    </row>
    <row r="23" spans="3:47" ht="18.75" x14ac:dyDescent="0.3">
      <c r="C23" s="91"/>
      <c r="D23" s="72" t="s">
        <v>95</v>
      </c>
      <c r="E23" s="71"/>
      <c r="F23" s="81"/>
      <c r="G23" s="81"/>
      <c r="H23" s="134"/>
      <c r="I23" s="71"/>
      <c r="J23" s="81"/>
      <c r="K23" s="81"/>
      <c r="L23" s="81"/>
      <c r="M23" s="134"/>
      <c r="N23" s="77"/>
      <c r="O23" s="77"/>
      <c r="P23" s="71"/>
      <c r="Q23" s="81"/>
      <c r="R23" s="81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77"/>
      <c r="AH23" s="151"/>
      <c r="AI23" s="150"/>
      <c r="AJ23" s="152"/>
      <c r="AK23" s="77"/>
      <c r="AL23" s="133"/>
      <c r="AM23" s="77"/>
      <c r="AN23" s="71"/>
      <c r="AO23" s="5"/>
      <c r="AP23" s="92"/>
      <c r="AQ23" s="5"/>
      <c r="AR23" s="5"/>
      <c r="AS23" s="5"/>
      <c r="AT23" s="5"/>
      <c r="AU23" s="5"/>
    </row>
    <row r="24" spans="3:47" ht="18.75" x14ac:dyDescent="0.3">
      <c r="C24" s="91"/>
      <c r="D24" s="157" t="s">
        <v>118</v>
      </c>
      <c r="E24" s="71"/>
      <c r="F24" s="81"/>
      <c r="G24" s="81"/>
      <c r="H24" s="134"/>
      <c r="I24" s="71"/>
      <c r="J24" s="81"/>
      <c r="K24" s="81"/>
      <c r="L24" s="81"/>
      <c r="M24" s="134"/>
      <c r="N24" s="77"/>
      <c r="O24" s="77"/>
      <c r="P24" s="71"/>
      <c r="Q24" s="81"/>
      <c r="R24" s="81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77"/>
      <c r="AH24" s="133"/>
      <c r="AI24" s="77"/>
      <c r="AJ24" s="71"/>
      <c r="AK24" s="77"/>
      <c r="AL24" s="133"/>
      <c r="AM24" s="77"/>
      <c r="AN24" s="71"/>
      <c r="AO24" s="5"/>
      <c r="AP24" s="92"/>
      <c r="AQ24" s="5"/>
      <c r="AR24" s="5"/>
      <c r="AS24" s="5"/>
      <c r="AT24" s="5"/>
      <c r="AU24" s="5"/>
    </row>
    <row r="25" spans="3:47" ht="18.75" x14ac:dyDescent="0.3">
      <c r="C25" s="91"/>
      <c r="D25" s="157" t="s">
        <v>119</v>
      </c>
      <c r="E25" s="146"/>
      <c r="F25" s="138"/>
      <c r="G25" s="138"/>
      <c r="H25" s="241"/>
      <c r="I25" s="146"/>
      <c r="J25" s="138"/>
      <c r="K25" s="138"/>
      <c r="L25" s="138"/>
      <c r="M25" s="241"/>
      <c r="N25" s="145"/>
      <c r="O25" s="145"/>
      <c r="P25" s="146"/>
      <c r="Q25" s="138"/>
      <c r="R25" s="81"/>
      <c r="S25" s="133"/>
      <c r="T25" s="77"/>
      <c r="U25" s="71"/>
      <c r="V25" s="77"/>
      <c r="W25" s="144"/>
      <c r="X25" s="145"/>
      <c r="Y25" s="145"/>
      <c r="Z25" s="146"/>
      <c r="AA25" s="77"/>
      <c r="AB25" s="133"/>
      <c r="AC25" s="77"/>
      <c r="AD25" s="77"/>
      <c r="AE25" s="77"/>
      <c r="AF25" s="71"/>
      <c r="AG25" s="77"/>
      <c r="AH25" s="133"/>
      <c r="AI25" s="77"/>
      <c r="AJ25" s="71"/>
      <c r="AK25" s="77"/>
      <c r="AL25" s="133"/>
      <c r="AM25" s="77"/>
      <c r="AN25" s="71"/>
      <c r="AO25" s="5"/>
      <c r="AP25" s="92"/>
      <c r="AQ25" s="5"/>
      <c r="AR25" s="5"/>
      <c r="AS25" s="5"/>
      <c r="AT25" s="5"/>
      <c r="AU25" s="5"/>
    </row>
    <row r="26" spans="3:47" ht="18.75" x14ac:dyDescent="0.3">
      <c r="C26" s="91"/>
      <c r="D26" s="158" t="s">
        <v>120</v>
      </c>
      <c r="E26" s="71"/>
      <c r="F26" s="81"/>
      <c r="G26" s="81"/>
      <c r="H26" s="134"/>
      <c r="I26" s="71"/>
      <c r="J26" s="81"/>
      <c r="K26" s="81"/>
      <c r="L26" s="81"/>
      <c r="M26" s="134"/>
      <c r="N26" s="77"/>
      <c r="O26" s="77"/>
      <c r="P26" s="71"/>
      <c r="Q26" s="81"/>
      <c r="R26" s="81"/>
      <c r="S26" s="133"/>
      <c r="T26" s="77"/>
      <c r="U26" s="71"/>
      <c r="V26" s="77"/>
      <c r="W26" s="144"/>
      <c r="X26" s="145"/>
      <c r="Y26" s="145"/>
      <c r="Z26" s="146"/>
      <c r="AA26" s="77"/>
      <c r="AB26" s="133"/>
      <c r="AC26" s="77"/>
      <c r="AD26" s="77"/>
      <c r="AE26" s="77"/>
      <c r="AF26" s="71"/>
      <c r="AG26" s="77"/>
      <c r="AH26" s="133"/>
      <c r="AI26" s="77"/>
      <c r="AJ26" s="71"/>
      <c r="AK26" s="77"/>
      <c r="AL26" s="133"/>
      <c r="AM26" s="77"/>
      <c r="AN26" s="71"/>
      <c r="AO26" s="5"/>
      <c r="AP26" s="92"/>
      <c r="AQ26" s="5"/>
      <c r="AR26" s="5"/>
      <c r="AS26" s="5"/>
      <c r="AT26" s="5"/>
      <c r="AU26" s="5"/>
    </row>
    <row r="27" spans="3:47" ht="19.5" thickBot="1" x14ac:dyDescent="0.35">
      <c r="C27" s="91"/>
      <c r="D27" s="159" t="s">
        <v>149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81"/>
      <c r="S27" s="136"/>
      <c r="T27" s="137"/>
      <c r="U27" s="73"/>
      <c r="V27" s="77"/>
      <c r="W27" s="147"/>
      <c r="X27" s="148"/>
      <c r="Y27" s="148"/>
      <c r="Z27" s="149"/>
      <c r="AA27" s="77"/>
      <c r="AB27" s="136"/>
      <c r="AC27" s="137"/>
      <c r="AD27" s="137"/>
      <c r="AE27" s="137"/>
      <c r="AF27" s="73"/>
      <c r="AG27" s="77"/>
      <c r="AH27" s="136"/>
      <c r="AI27" s="137"/>
      <c r="AJ27" s="73"/>
      <c r="AK27" s="77"/>
      <c r="AL27" s="136"/>
      <c r="AM27" s="137"/>
      <c r="AN27" s="73"/>
      <c r="AO27" s="5"/>
      <c r="AP27" s="92"/>
      <c r="AQ27" s="5"/>
      <c r="AR27" s="5"/>
      <c r="AS27" s="5"/>
      <c r="AT27" s="5"/>
      <c r="AU27" s="5"/>
    </row>
    <row r="28" spans="3:47" x14ac:dyDescent="0.2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2"/>
      <c r="AQ28" s="5"/>
      <c r="AR28" s="5"/>
      <c r="AS28" s="5"/>
      <c r="AT28" s="5"/>
      <c r="AU28" s="5"/>
    </row>
    <row r="29" spans="3:47" x14ac:dyDescent="0.2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2"/>
      <c r="AQ29" s="5"/>
      <c r="AR29" s="5"/>
      <c r="AS29" s="5"/>
      <c r="AT29" s="5"/>
      <c r="AU29" s="5"/>
    </row>
    <row r="30" spans="3:47" x14ac:dyDescent="0.2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2"/>
      <c r="AQ30" s="5"/>
      <c r="AR30" s="5"/>
      <c r="AS30" s="5"/>
      <c r="AT30" s="5"/>
      <c r="AU30" s="5"/>
    </row>
    <row r="31" spans="3:47" x14ac:dyDescent="0.2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  <c r="AT31" s="5"/>
      <c r="AU31" s="5"/>
    </row>
    <row r="32" spans="3:47" x14ac:dyDescent="0.2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  <c r="AT32" s="5"/>
      <c r="AU32" s="5"/>
    </row>
    <row r="33" spans="3:47" x14ac:dyDescent="0.2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  <c r="AT33" s="5"/>
      <c r="AU33" s="5"/>
    </row>
    <row r="34" spans="3:47" x14ac:dyDescent="0.2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  <c r="AT34" s="5"/>
      <c r="AU34" s="5"/>
    </row>
    <row r="35" spans="3:47" x14ac:dyDescent="0.2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  <c r="AT35" s="5"/>
      <c r="AU35" s="5"/>
    </row>
    <row r="36" spans="3:47" x14ac:dyDescent="0.2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  <c r="AT36" s="5"/>
      <c r="AU36" s="5"/>
    </row>
    <row r="37" spans="3:47" x14ac:dyDescent="0.2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  <c r="AT37" s="5"/>
      <c r="AU37" s="5"/>
    </row>
    <row r="38" spans="3:47" x14ac:dyDescent="0.2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  <c r="AT38" s="5"/>
      <c r="AU38" s="5"/>
    </row>
    <row r="39" spans="3:47" x14ac:dyDescent="0.2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  <c r="AT39" s="5"/>
      <c r="AU39" s="5"/>
    </row>
    <row r="40" spans="3:47" x14ac:dyDescent="0.2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  <c r="AT40" s="5"/>
      <c r="AU40" s="5"/>
    </row>
    <row r="41" spans="3:47" x14ac:dyDescent="0.2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  <c r="AT41" s="5"/>
      <c r="AU41" s="5"/>
    </row>
    <row r="42" spans="3:47" x14ac:dyDescent="0.2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  <c r="AT42" s="5"/>
      <c r="AU42" s="5"/>
    </row>
    <row r="43" spans="3:47" x14ac:dyDescent="0.2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  <c r="AT43" s="5"/>
      <c r="AU43" s="5"/>
    </row>
    <row r="44" spans="3:47" x14ac:dyDescent="0.2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  <c r="AT44" s="5"/>
      <c r="AU44" s="5"/>
    </row>
    <row r="45" spans="3:47" x14ac:dyDescent="0.2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  <c r="AT45" s="5"/>
      <c r="AU45" s="5"/>
    </row>
    <row r="46" spans="3:47" x14ac:dyDescent="0.2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  <c r="AT46" s="5"/>
      <c r="AU46" s="5"/>
    </row>
    <row r="47" spans="3:47" ht="15.75" x14ac:dyDescent="0.2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  <c r="AT47" s="5"/>
      <c r="AU47" s="5"/>
    </row>
    <row r="48" spans="3:47" x14ac:dyDescent="0.2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  <c r="AT48" s="5"/>
      <c r="AU48" s="5"/>
    </row>
    <row r="49" spans="3:47" x14ac:dyDescent="0.2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  <c r="AT49" s="5"/>
      <c r="AU49" s="5"/>
    </row>
    <row r="50" spans="3:47" x14ac:dyDescent="0.2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  <c r="AT50" s="5"/>
      <c r="AU50" s="5"/>
    </row>
    <row r="51" spans="3:47" x14ac:dyDescent="0.2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  <c r="AT51" s="5"/>
      <c r="AU51" s="5"/>
    </row>
    <row r="52" spans="3:47" x14ac:dyDescent="0.2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  <c r="AT52" s="5"/>
      <c r="AU52" s="5"/>
    </row>
    <row r="53" spans="3:47" x14ac:dyDescent="0.2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  <c r="AT53" s="5"/>
      <c r="AU53" s="5"/>
    </row>
    <row r="54" spans="3:47" x14ac:dyDescent="0.2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  <c r="AT54" s="5"/>
      <c r="AU54" s="5"/>
    </row>
    <row r="55" spans="3:47" x14ac:dyDescent="0.2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  <c r="AT55" s="5"/>
      <c r="AU55" s="5"/>
    </row>
    <row r="56" spans="3:47" x14ac:dyDescent="0.2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  <c r="AT56" s="5"/>
      <c r="AU56" s="5"/>
    </row>
    <row r="57" spans="3:47" x14ac:dyDescent="0.2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  <c r="AT57" s="5"/>
      <c r="AU57" s="5"/>
    </row>
    <row r="58" spans="3:47" x14ac:dyDescent="0.2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  <c r="AT58" s="5"/>
      <c r="AU58" s="5"/>
    </row>
    <row r="59" spans="3:47" x14ac:dyDescent="0.2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  <c r="AT59" s="5"/>
      <c r="AU59" s="5"/>
    </row>
    <row r="60" spans="3:47" x14ac:dyDescent="0.2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  <c r="AT60" s="5"/>
      <c r="AU60" s="5"/>
    </row>
    <row r="61" spans="3:47" x14ac:dyDescent="0.2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  <c r="AT61" s="5"/>
      <c r="AU61" s="5"/>
    </row>
    <row r="62" spans="3:47" x14ac:dyDescent="0.2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  <c r="AT62" s="5"/>
      <c r="AU62" s="5"/>
    </row>
    <row r="63" spans="3:47" x14ac:dyDescent="0.2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  <c r="AT63" s="5"/>
      <c r="AU63" s="5"/>
    </row>
    <row r="64" spans="3:47" x14ac:dyDescent="0.2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  <c r="AT64" s="5"/>
      <c r="AU64" s="5"/>
    </row>
    <row r="65" spans="3:47" x14ac:dyDescent="0.2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  <c r="AT65" s="5"/>
      <c r="AU65" s="5"/>
    </row>
    <row r="66" spans="3:47" x14ac:dyDescent="0.2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  <c r="AT66" s="5"/>
      <c r="AU66" s="5"/>
    </row>
    <row r="67" spans="3:47" x14ac:dyDescent="0.2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  <c r="AT67" s="5"/>
      <c r="AU67" s="5"/>
    </row>
    <row r="68" spans="3:47" x14ac:dyDescent="0.2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  <c r="AT68" s="5"/>
      <c r="AU68" s="5"/>
    </row>
    <row r="69" spans="3:47" x14ac:dyDescent="0.2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  <c r="AT69" s="5"/>
      <c r="AU69" s="5"/>
    </row>
    <row r="70" spans="3:47" ht="15.75" thickBot="1" x14ac:dyDescent="0.3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  <c r="AT70" s="5"/>
      <c r="AU70" s="5"/>
    </row>
    <row r="71" spans="3:47" x14ac:dyDescent="0.2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5">
      <c r="H127" s="3" t="s">
        <v>39</v>
      </c>
    </row>
    <row r="137" spans="17:17" x14ac:dyDescent="0.25">
      <c r="Q137" s="3" t="s">
        <v>39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L11" sqref="L11"/>
    </sheetView>
  </sheetViews>
  <sheetFormatPr baseColWidth="10" defaultRowHeight="15" x14ac:dyDescent="0.25"/>
  <sheetData>
    <row r="1" spans="1:12" ht="15.75" x14ac:dyDescent="0.25">
      <c r="A1" t="s">
        <v>52</v>
      </c>
      <c r="F1" s="1" t="s">
        <v>30</v>
      </c>
      <c r="I1" t="s">
        <v>184</v>
      </c>
      <c r="L1" t="s">
        <v>195</v>
      </c>
    </row>
    <row r="2" spans="1:12" ht="15.75" x14ac:dyDescent="0.25">
      <c r="A2" t="s">
        <v>44</v>
      </c>
      <c r="F2" s="274" t="s">
        <v>171</v>
      </c>
      <c r="I2" t="s">
        <v>185</v>
      </c>
      <c r="L2" t="s">
        <v>179</v>
      </c>
    </row>
    <row r="3" spans="1:12" x14ac:dyDescent="0.25">
      <c r="A3" t="s">
        <v>22</v>
      </c>
      <c r="I3" t="s">
        <v>204</v>
      </c>
      <c r="L3" t="s">
        <v>196</v>
      </c>
    </row>
    <row r="4" spans="1:12" ht="15.75" x14ac:dyDescent="0.25">
      <c r="A4" t="s">
        <v>23</v>
      </c>
      <c r="F4" s="1"/>
      <c r="I4" t="s">
        <v>203</v>
      </c>
      <c r="L4" t="s">
        <v>183</v>
      </c>
    </row>
    <row r="5" spans="1:12" ht="15.75" x14ac:dyDescent="0.25">
      <c r="A5" t="s">
        <v>35</v>
      </c>
      <c r="F5" s="257"/>
      <c r="I5" t="s">
        <v>186</v>
      </c>
      <c r="L5" t="s">
        <v>181</v>
      </c>
    </row>
    <row r="6" spans="1:12" x14ac:dyDescent="0.25">
      <c r="A6" t="s">
        <v>43</v>
      </c>
      <c r="L6" t="s">
        <v>182</v>
      </c>
    </row>
    <row r="7" spans="1:12" x14ac:dyDescent="0.25">
      <c r="A7" t="s">
        <v>160</v>
      </c>
      <c r="L7" t="s">
        <v>180</v>
      </c>
    </row>
    <row r="8" spans="1:12" x14ac:dyDescent="0.25">
      <c r="A8" t="s">
        <v>161</v>
      </c>
      <c r="I8" t="s">
        <v>206</v>
      </c>
      <c r="L8" t="s">
        <v>219</v>
      </c>
    </row>
    <row r="9" spans="1:12" x14ac:dyDescent="0.25">
      <c r="A9" t="s">
        <v>175</v>
      </c>
      <c r="I9" t="s">
        <v>124</v>
      </c>
      <c r="L9" t="s">
        <v>220</v>
      </c>
    </row>
    <row r="10" spans="1:12" x14ac:dyDescent="0.25">
      <c r="A10" t="s">
        <v>176</v>
      </c>
      <c r="I10" t="s">
        <v>205</v>
      </c>
      <c r="L10" t="s">
        <v>221</v>
      </c>
    </row>
    <row r="11" spans="1:12" x14ac:dyDescent="0.25">
      <c r="I11" t="s">
        <v>194</v>
      </c>
    </row>
    <row r="16" spans="1:12" x14ac:dyDescent="0.25">
      <c r="I16" t="s">
        <v>207</v>
      </c>
      <c r="J16" t="s">
        <v>209</v>
      </c>
      <c r="K16" t="s">
        <v>210</v>
      </c>
    </row>
    <row r="17" spans="9:11" x14ac:dyDescent="0.25">
      <c r="I17" t="s">
        <v>131</v>
      </c>
      <c r="J17" t="s">
        <v>21</v>
      </c>
      <c r="K17" t="s">
        <v>211</v>
      </c>
    </row>
    <row r="18" spans="9:11" x14ac:dyDescent="0.25">
      <c r="I18" t="s">
        <v>208</v>
      </c>
      <c r="J18" t="s">
        <v>18</v>
      </c>
      <c r="K18" t="s">
        <v>121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Kenkel, Philipp</cp:lastModifiedBy>
  <dcterms:created xsi:type="dcterms:W3CDTF">2020-07-30T12:51:03Z</dcterms:created>
  <dcterms:modified xsi:type="dcterms:W3CDTF">2023-09-19T12:27:57Z</dcterms:modified>
</cp:coreProperties>
</file>