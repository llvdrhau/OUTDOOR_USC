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B2DDACD-6ADB-46D6-9E77-C561981100C7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testYield" sheetId="139" r:id="rId13"/>
    <sheet name="preprocessing" sheetId="124" r:id="rId14"/>
    <sheet name="help_unit" sheetId="129" r:id="rId15"/>
    <sheet name="Microwave assisted extraction" sheetId="125" r:id="rId16"/>
    <sheet name="Solvent recovery" sheetId="132" r:id="rId17"/>
    <sheet name="ultra sound assisted extraction" sheetId="133" r:id="rId18"/>
    <sheet name="Solvent Recovery 2" sheetId="134" r:id="rId19"/>
    <sheet name="Yeast Fermentation" sheetId="127" r:id="rId20"/>
    <sheet name="Anaerobic Digestor" sheetId="126" r:id="rId21"/>
    <sheet name="elek Generator" sheetId="128" r:id="rId22"/>
    <sheet name="steam generator" sheetId="131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9" l="1"/>
  <c r="J12" i="139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<sst xmlns="http://schemas.openxmlformats.org/spreadsheetml/2006/main" count="2115" uniqueCount="312">
  <si>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</si>
  <si>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</si>
  <si>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</si>
  <si>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</si>
  <si>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</si>
  <si>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</si>
  <si>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</si>
  <si>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</si>
  <si>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</si>
  <si>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</si>
  <si>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</si>
  <si>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</si>
  <si>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</si>
  <si>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</si>
  <si>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</si>
  <si>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</si>
  <si>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</si>
  <si>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</si>
  <si>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</si>
  <si>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</si>
  <si>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</si>
  <si>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</si>
  <si>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</si>
  <si>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</si>
  <si>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</si>
  <si>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</si>
  <si>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</si>
  <si>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</si>
  <si>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</si>
  <si>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</si>
  <si>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</si>
  <si>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</si>
  <si>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</si>
  <si>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</si>
  <si>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</si>
  <si>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</si>
  <si>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</si>
  <si>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</si>
  <si>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</si>
  <si>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</si>
  <si>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</si>
  <si>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</si>
  <si>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</si>
  <si>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</si>
  <si>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</si>
  <si>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</si>
  <si>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</si>
  <si>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</si>
  <si>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</si>
  <si>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</si>
  <si>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</si>
  <si>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</si>
  <si>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</si>
  <si>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</si>
  <si>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</si>
  <si>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</si>
  <si>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</si>
  <si>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</si>
  <si>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</si>
  <si>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</si>
  <si>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</si>
  <si>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</si>
  <si>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</si>
  <si>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</si>
  <si>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</si>
  <si>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</si>
  <si>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</si>
  <si>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</si>
  <si>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</si>
  <si>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</si>
  <si>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</si>
  <si>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</si>
  <si>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</si>
  <si>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</si>
  <si>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</si>
  <si>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</si>
  <si>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</si>
  <si>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</si>
  <si>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</si>
  <si>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</si>
  <si>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</si>
  <si>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</si>
  <si>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</si>
  <si>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</si>
  <si>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</si>
  <si>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</si>
  <si>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</si>
  <si>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</si>
  <si>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</si>
  <si>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</si>
  <si>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</si>
  <si>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</si>
  <si>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</si>
  <si>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</si>
  <si>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</si>
  <si>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</si>
  <si>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</si>
  <si>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</si>
  <si>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</si>
  <si>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</si>
  <si>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</si>
  <si>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</si>
  <si>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</si>
  <si>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</si>
  <si>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</si>
  <si>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</si>
  <si>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</si>
  <si>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</si>
  <si>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</si>
  <si>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</si>
  <si>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</si>
  <si>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</si>
  <si>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</si>
  <si>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</si>
  <si>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</si>
  <si>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</si>
  <si>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</si>
  <si>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</si>
  <si>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</si>
  <si>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</si>
  <si>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</si>
  <si>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</si>
  <si>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</si>
  <si>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</si>
  <si>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</si>
  <si>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</si>
  <si>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</si>
  <si>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</si>
  <si>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</si>
  <si>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</si>
  <si>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</si>
  <si>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</si>
  <si>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</si>
  <si>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</si>
  <si>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</si>
  <si>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</si>
  <si>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</si>
  <si>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</si>
  <si>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</si>
  <si>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</si>
  <si>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</si>
  <si>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</si>
  <si>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</si>
  <si>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</si>
  <si>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</si>
  <si>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</si>
  <si>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</si>
  <si>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</si>
  <si>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</si>
  <si>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</si>
  <si>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</si>
  <si>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</si>
  <si>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</si>
  <si>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</si>
  <si>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</si>
  <si>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</si>
  <si>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</si>
  <si>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</si>
  <si>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</si>
  <si>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</si>
  <si>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</si>
  <si>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</si>
  <si>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</si>
  <si>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</si>
  <si>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</si>
  <si>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</si>
  <si>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</si>
  <si>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</si>
  <si>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</si>
  <si>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</si>
  <si>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</si>
  <si>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</si>
  <si>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</si>
  <si>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</si>
  <si>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</si>
  <si>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</si>
  <si>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</si>
  <si>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</si>
  <si>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</si>
  <si>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</si>
  <si>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</si>
  <si>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</si>
  <si>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</si>
  <si>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</si>
  <si>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</si>
  <si>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</si>
  <si>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</si>
  <si>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</si>
  <si>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</si>
  <si>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</si>
  <si>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</si>
  <si>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</si>
  <si>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</si>
  <si>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</si>
  <si>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</si>
  <si>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</si>
  <si>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</si>
  <si>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</si>
  <si>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</si>
  <si>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</si>
  <si>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</si>
  <si>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</si>
  <si>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</si>
  <si>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</si>
  <si>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</si>
  <si>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</si>
  <si>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</si>
  <si>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</si>
  <si>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</si>
  <si>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</si>
  <si>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</si>
  <si>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</si>
  <si>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</si>
  <si>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</si>
  <si>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</si>
  <si>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</si>
  <si>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</si>
  <si>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</si>
  <si>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</si>
  <si>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</si>
  <si>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</si>
  <si>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</si>
  <si>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</si>
  <si>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</si>
  <si>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</si>
  <si>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</si>
  <si>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</si>
  <si>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</si>
  <si>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</si>
  <si>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</si>
  <si>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</si>
  <si>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</si>
  <si>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</si>
  <si>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</si>
  <si>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</si>
  <si>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</si>
  <si>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</si>
  <si>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</si>
  <si>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</si>
  <si>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</si>
  <si>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</si>
  <si>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</si>
  <si>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</si>
  <si>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</si>
  <si>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</si>
  <si>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</si>
  <si>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</si>
  <si>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</si>
  <si>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</si>
  <si>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</si>
  <si>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</si>
  <si>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</si>
  <si>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</si>
  <si>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</si>
  <si>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</si>
  <si>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</si>
  <si>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</si>
  <si>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</si>
  <si>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</si>
  <si>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</si>
  <si>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</si>
  <si>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</si>
  <si>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</si>
  <si>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</si>
  <si>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</si>
  <si>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</si>
  <si>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</si>
  <si>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</si>
  <si>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</si>
  <si>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</si>
  <si>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</si>
  <si>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</si>
  <si>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</si>
  <si>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</si>
  <si>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</si>
  <si>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</si>
  <si>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</si>
  <si>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</si>
  <si>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</si>
  <si>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</si>
  <si>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</si>
  <si>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</si>
  <si>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</si>
  <si>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</si>
  <si>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</si>
  <si>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Bio-Plastic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</si>
  <si>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</si>
  <si>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</si>
  <si>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</si>
  <si>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</si>
  <si>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</si>
  <si>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</si>
  <si>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</si>
  <si>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</si>
  <si>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</si>
  <si>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</si>
  <si>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</si>
  <si>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 xml:space="preserve">Custom probability </t>
  </si>
  <si>
    <t xml:space="preserve">Group </t>
  </si>
  <si>
    <t xml:space="preserve">Probability </t>
  </si>
  <si>
    <t>n.a.</t>
  </si>
  <si>
    <t>MULTI</t>
  </si>
  <si>
    <t>Main product</t>
  </si>
  <si>
    <t>Product load</t>
  </si>
  <si>
    <t>multi-2-stage-recourse</t>
  </si>
  <si>
    <t>Solvent recov 1</t>
  </si>
  <si>
    <t>Plastic Reactor</t>
  </si>
  <si>
    <t>h/y</t>
  </si>
  <si>
    <t xml:space="preserve">Units </t>
  </si>
  <si>
    <t>MinProduction</t>
  </si>
  <si>
    <t>MaxProduction</t>
  </si>
  <si>
    <t>Target 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</si>
</sst>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9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9" fillId="18" borderId="5" xfId="0" applyFont="1" applyFill="1" applyBorder="1" applyAlignment="1">
      <alignment horizont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7" sqref="E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28" t="s">
        <v>29</v>
      </c>
      <c r="C3" s="329"/>
      <c r="D3" s="330"/>
      <c r="F3" s="324" t="s">
        <v>32</v>
      </c>
      <c r="G3" s="325"/>
      <c r="H3" s="325"/>
      <c r="I3" s="325"/>
      <c r="J3" s="325"/>
      <c r="K3" s="326"/>
      <c r="L3" s="14"/>
      <c r="M3" s="14"/>
      <c r="N3" s="334" t="s">
        <v>35</v>
      </c>
      <c r="O3" s="335"/>
      <c r="P3" s="336"/>
      <c r="Q3" s="14"/>
      <c r="R3" s="14"/>
      <c r="S3" s="337" t="s">
        <v>39</v>
      </c>
      <c r="T3" s="338"/>
      <c r="U3" s="338"/>
      <c r="V3" s="339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8" t="s">
        <v>30</v>
      </c>
      <c r="C4" s="189" t="s">
        <v>0</v>
      </c>
      <c r="D4" s="233" t="s">
        <v>177</v>
      </c>
      <c r="E4" s="14"/>
      <c r="F4" s="184" t="s">
        <v>33</v>
      </c>
      <c r="G4" s="185" t="s">
        <v>186</v>
      </c>
      <c r="H4" s="185" t="s">
        <v>184</v>
      </c>
      <c r="I4" s="185" t="s">
        <v>185</v>
      </c>
      <c r="J4" s="186" t="s">
        <v>34</v>
      </c>
      <c r="K4" s="187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5" t="s">
        <v>48</v>
      </c>
      <c r="T4" s="165" t="s">
        <v>47</v>
      </c>
      <c r="U4" s="166" t="s">
        <v>49</v>
      </c>
      <c r="V4" s="166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27</v>
      </c>
      <c r="C5" s="28" t="s">
        <v>168</v>
      </c>
      <c r="D5" s="234" t="s">
        <v>178</v>
      </c>
      <c r="E5" s="14"/>
      <c r="F5" s="24" t="s">
        <v>171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9" t="s">
        <v>195</v>
      </c>
      <c r="P5" s="28" t="s">
        <v>173</v>
      </c>
      <c r="Q5" s="14"/>
      <c r="R5" s="14"/>
      <c r="S5" s="20" t="s">
        <v>18</v>
      </c>
      <c r="T5" s="42">
        <v>87</v>
      </c>
      <c r="U5" s="42">
        <v>1.4E-2</v>
      </c>
      <c r="V5" s="167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5" t="s">
        <v>178</v>
      </c>
      <c r="E6" s="14"/>
      <c r="F6" s="24" t="s">
        <v>172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50">
        <v>2</v>
      </c>
      <c r="O6" s="51" t="s">
        <v>198</v>
      </c>
      <c r="P6" s="30" t="s">
        <v>173</v>
      </c>
      <c r="Q6" s="14"/>
      <c r="R6" s="14"/>
      <c r="S6" s="24" t="s">
        <v>19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90" t="s">
        <v>130</v>
      </c>
      <c r="C7" s="191" t="s">
        <v>234</v>
      </c>
      <c r="D7" s="235" t="s">
        <v>178</v>
      </c>
      <c r="E7" s="14"/>
      <c r="F7" s="24" t="s">
        <v>173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50">
        <v>3</v>
      </c>
      <c r="O7" s="51" t="s">
        <v>199</v>
      </c>
      <c r="P7" s="30" t="s">
        <v>172</v>
      </c>
      <c r="Q7" s="14"/>
      <c r="R7" s="14"/>
      <c r="S7" s="25" t="s">
        <v>114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31" t="s">
        <v>222</v>
      </c>
      <c r="C8" s="232" t="s">
        <v>221</v>
      </c>
      <c r="D8" s="235" t="s">
        <v>178</v>
      </c>
      <c r="E8" s="14"/>
      <c r="F8" s="24" t="s">
        <v>169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50">
        <v>4</v>
      </c>
      <c r="O8" s="51" t="s">
        <v>200</v>
      </c>
      <c r="P8" s="30" t="s">
        <v>171</v>
      </c>
      <c r="Q8" s="14"/>
      <c r="R8" s="14"/>
      <c r="S8" s="58"/>
      <c r="T8" s="34"/>
      <c r="U8" s="34"/>
      <c r="V8" s="167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302</v>
      </c>
      <c r="C9" s="30"/>
      <c r="D9" s="235" t="s">
        <v>178</v>
      </c>
      <c r="E9" s="14"/>
      <c r="F9" s="24" t="s">
        <v>175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50">
        <v>5</v>
      </c>
      <c r="O9" s="19" t="s">
        <v>201</v>
      </c>
      <c r="P9" s="30" t="s">
        <v>175</v>
      </c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303</v>
      </c>
      <c r="C10" s="29"/>
      <c r="D10" s="235" t="s">
        <v>179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5" t="s">
        <v>307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6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6"/>
      <c r="E13" s="14"/>
      <c r="F13" s="24" t="s">
        <v>176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52"/>
      <c r="O13" s="19"/>
      <c r="P13" s="53"/>
      <c r="Q13" s="14"/>
      <c r="R13" s="14"/>
      <c r="S13" s="59" t="s">
        <v>40</v>
      </c>
      <c r="T13" s="60" t="s">
        <v>46</v>
      </c>
      <c r="U13" s="61" t="s">
        <v>47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6"/>
      <c r="E14" s="14"/>
      <c r="F14" s="24" t="s">
        <v>196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52"/>
      <c r="O14" s="19"/>
      <c r="P14" s="53"/>
      <c r="Q14" s="14"/>
      <c r="R14" s="14"/>
      <c r="S14" s="26" t="s">
        <v>41</v>
      </c>
      <c r="T14" s="42">
        <v>600</v>
      </c>
      <c r="U14" s="28">
        <v>34</v>
      </c>
      <c r="V14" s="167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6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52"/>
      <c r="O15" s="19"/>
      <c r="P15" s="53"/>
      <c r="Q15" s="14"/>
      <c r="R15" s="14"/>
      <c r="S15" s="24" t="s">
        <v>42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6"/>
      <c r="E16" s="14"/>
      <c r="F16" s="24" t="s">
        <v>230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52"/>
      <c r="O16" s="19"/>
      <c r="P16" s="53"/>
      <c r="Q16" s="14"/>
      <c r="R16" s="14"/>
      <c r="S16" s="24" t="s">
        <v>43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143" t="s">
        <v>95</v>
      </c>
      <c r="C17" s="144">
        <v>2.5</v>
      </c>
      <c r="D17" s="236"/>
      <c r="E17" s="14"/>
      <c r="F17" s="24" t="s">
        <v>284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52"/>
      <c r="O17" s="19"/>
      <c r="P17" s="53"/>
      <c r="Q17" s="14"/>
      <c r="R17" s="14"/>
      <c r="S17" s="24" t="s">
        <v>44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6"/>
      <c r="E18" s="14"/>
      <c r="F18" s="24"/>
      <c r="G18" s="43"/>
      <c r="H18" s="44"/>
      <c r="I18" s="43"/>
      <c r="J18" s="43"/>
      <c r="K18" s="164"/>
      <c r="L18" s="14"/>
      <c r="M18" s="14"/>
      <c r="N18" s="25"/>
      <c r="O18" s="54"/>
      <c r="P18" s="55"/>
      <c r="Q18" s="8"/>
      <c r="R18" s="56"/>
      <c r="S18" s="25" t="s">
        <v>45</v>
      </c>
      <c r="T18" s="45">
        <v>15</v>
      </c>
      <c r="U18" s="29">
        <v>0.22</v>
      </c>
      <c r="V18" s="55"/>
      <c r="W18" s="343"/>
      <c r="X18" s="343"/>
      <c r="Y18" s="343"/>
      <c r="Z18" s="344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5" t="s">
        <v>181</v>
      </c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41"/>
      <c r="Z19" s="342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5" t="s">
        <v>183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41"/>
      <c r="Z20" s="342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7" t="s">
        <v>183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41"/>
      <c r="Z21" s="342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41"/>
      <c r="Z22" s="342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40"/>
      <c r="U23" s="340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31" t="s">
        <v>133</v>
      </c>
      <c r="O30" s="332"/>
      <c r="P30" s="333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5" t="s">
        <v>134</v>
      </c>
      <c r="O31" s="195" t="s">
        <v>135</v>
      </c>
      <c r="P31" s="195" t="s">
        <v>136</v>
      </c>
      <c r="Q31" s="14"/>
      <c r="R31" s="14"/>
      <c r="S31" s="331" t="s">
        <v>140</v>
      </c>
      <c r="T31" s="332"/>
      <c r="U31" s="332"/>
      <c r="V31" s="332"/>
      <c r="W31" s="333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6">
        <v>0.55000000000000004</v>
      </c>
      <c r="P32" s="167">
        <v>325</v>
      </c>
      <c r="Q32" s="14"/>
      <c r="R32" s="14"/>
      <c r="S32" s="197" t="s">
        <v>141</v>
      </c>
      <c r="T32" s="197" t="s">
        <v>142</v>
      </c>
      <c r="U32" s="197" t="s">
        <v>143</v>
      </c>
      <c r="V32" s="197" t="s">
        <v>144</v>
      </c>
      <c r="W32" s="198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3">
        <v>0.58599999999999997</v>
      </c>
      <c r="Q33" s="14"/>
      <c r="R33" s="14"/>
      <c r="S33" s="26" t="s">
        <v>164</v>
      </c>
      <c r="T33" s="205">
        <v>5000</v>
      </c>
      <c r="U33" s="196">
        <v>10</v>
      </c>
      <c r="V33" s="196">
        <v>50</v>
      </c>
      <c r="W33" s="167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92"/>
      <c r="O36" s="194"/>
      <c r="P36" s="193"/>
      <c r="Q36" s="194"/>
      <c r="R36" s="19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206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8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23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83"/>
      <c r="W10" s="137"/>
      <c r="X10" s="82"/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/>
      <c r="J12" s="213" t="str">
        <f>J15</f>
        <v>t/h</v>
      </c>
      <c r="K12" s="5"/>
      <c r="L12" s="5"/>
      <c r="M12" s="246" t="s">
        <v>75</v>
      </c>
      <c r="N12" s="254"/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213" t="s">
        <v>187</v>
      </c>
      <c r="K11" s="78"/>
      <c r="L11" s="78"/>
      <c r="M11" s="253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225</v>
      </c>
      <c r="F12" s="213" t="s">
        <v>178</v>
      </c>
      <c r="G12" s="5"/>
      <c r="H12" s="68" t="s">
        <v>66</v>
      </c>
      <c r="I12" s="104"/>
      <c r="J12" s="213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213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213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213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7" t="s">
        <v>76</v>
      </c>
      <c r="T8" s="358"/>
      <c r="U8" s="359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57" t="s">
        <v>7</v>
      </c>
      <c r="AI8" s="358"/>
      <c r="AJ8" s="359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02"/>
      <c r="AC10" s="103"/>
      <c r="AD10" s="103"/>
      <c r="AE10" s="103"/>
      <c r="AF10" s="69"/>
      <c r="AG10" s="119"/>
      <c r="AH10" s="139"/>
      <c r="AI10" s="82"/>
      <c r="AJ10" s="163"/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/>
      <c r="F17" s="213" t="s">
        <v>182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/>
      <c r="F18" s="213" t="s">
        <v>182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78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78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78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78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/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/>
      <c r="AI10" s="124"/>
      <c r="AJ10" s="126"/>
      <c r="AK10" s="114"/>
      <c r="AL10" s="127"/>
      <c r="AM10" s="128"/>
      <c r="AN10" s="129"/>
      <c r="AO10" s="86"/>
    </row>
    <row r="11" spans="3:41" ht="19" thickBot="1" x14ac:dyDescent="0.5">
      <c r="C11" s="85"/>
      <c r="D11" s="68" t="s">
        <v>3</v>
      </c>
      <c r="E11" s="69"/>
      <c r="F11" s="213" t="s">
        <v>178</v>
      </c>
      <c r="G11" s="5"/>
      <c r="H11" s="68" t="s">
        <v>65</v>
      </c>
      <c r="I11" s="104"/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/>
      <c r="AI11" s="124"/>
      <c r="AJ11" s="126"/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/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/>
      <c r="AI12" s="124"/>
      <c r="AJ12" s="126"/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/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/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/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/>
      <c r="J16" s="216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213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213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213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F11" sqref="F11"/>
    </sheetView>
  </sheetViews>
  <sheetFormatPr baseColWidth="10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189</v>
      </c>
      <c r="F1" s="1" t="s">
        <v>16</v>
      </c>
      <c r="L1" t="s">
        <v>138</v>
      </c>
    </row>
    <row r="2" spans="1:21" ht="15.5" x14ac:dyDescent="0.35">
      <c r="A2" t="s">
        <v>25</v>
      </c>
      <c r="B2" t="s">
        <v>189</v>
      </c>
      <c r="C2" t="s">
        <v>25</v>
      </c>
      <c r="F2" s="183" t="s">
        <v>116</v>
      </c>
      <c r="L2" t="s">
        <v>122</v>
      </c>
    </row>
    <row r="3" spans="1:21" ht="15.5" x14ac:dyDescent="0.35">
      <c r="A3" t="s">
        <v>12</v>
      </c>
      <c r="B3" t="s">
        <v>188</v>
      </c>
      <c r="C3" t="s">
        <v>12</v>
      </c>
      <c r="F3" s="230" t="s">
        <v>218</v>
      </c>
      <c r="L3" t="s">
        <v>139</v>
      </c>
    </row>
    <row r="4" spans="1:21" ht="15.5" x14ac:dyDescent="0.35">
      <c r="A4" t="s">
        <v>13</v>
      </c>
      <c r="B4" t="s">
        <v>188</v>
      </c>
      <c r="C4" t="s">
        <v>13</v>
      </c>
      <c r="F4" s="230" t="s">
        <v>219</v>
      </c>
      <c r="L4" t="s">
        <v>126</v>
      </c>
    </row>
    <row r="5" spans="1:21" ht="15.5" x14ac:dyDescent="0.35">
      <c r="A5" t="s">
        <v>20</v>
      </c>
      <c r="C5" t="s">
        <v>20</v>
      </c>
      <c r="F5" s="230" t="s">
        <v>220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223</v>
      </c>
    </row>
    <row r="15" spans="1:21" x14ac:dyDescent="0.35">
      <c r="A15" t="s">
        <v>221</v>
      </c>
    </row>
    <row r="16" spans="1:21" x14ac:dyDescent="0.35">
      <c r="G16" s="327" t="s">
        <v>127</v>
      </c>
      <c r="H16" s="327" t="s">
        <v>149</v>
      </c>
      <c r="I16" t="s">
        <v>150</v>
      </c>
      <c r="J16" t="s">
        <v>152</v>
      </c>
      <c r="K16" t="s">
        <v>153</v>
      </c>
      <c r="M16" t="s">
        <v>253</v>
      </c>
      <c r="O16" t="s">
        <v>260</v>
      </c>
      <c r="R16" t="s">
        <v>262</v>
      </c>
      <c r="U16" t="s">
        <v>261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62">
        <v>2</v>
      </c>
      <c r="O17" t="s">
        <v>296</v>
      </c>
      <c r="R17" t="s">
        <v>249</v>
      </c>
      <c r="U17" t="s">
        <v>276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62">
        <v>3</v>
      </c>
      <c r="O18" t="s">
        <v>291</v>
      </c>
      <c r="R18" t="s">
        <v>254</v>
      </c>
      <c r="U18" t="s">
        <v>278</v>
      </c>
    </row>
    <row r="19" spans="7:21" x14ac:dyDescent="0.35">
      <c r="G19" t="s">
        <v>146</v>
      </c>
      <c r="H19" t="s">
        <v>148</v>
      </c>
      <c r="M19" s="262" t="s">
        <v>291</v>
      </c>
      <c r="R19" t="s">
        <v>255</v>
      </c>
      <c r="U19" t="s">
        <v>277</v>
      </c>
    </row>
    <row r="20" spans="7:21" x14ac:dyDescent="0.35">
      <c r="G20" t="s">
        <v>129</v>
      </c>
      <c r="H20" t="s">
        <v>137</v>
      </c>
      <c r="R20" t="s">
        <v>256</v>
      </c>
    </row>
    <row r="21" spans="7:21" x14ac:dyDescent="0.35">
      <c r="G21" t="s">
        <v>234</v>
      </c>
      <c r="H21" t="s">
        <v>301</v>
      </c>
    </row>
    <row r="22" spans="7:21" x14ac:dyDescent="0.35">
      <c r="G22" t="s">
        <v>304</v>
      </c>
    </row>
    <row r="35" spans="2:2" x14ac:dyDescent="0.35">
      <c r="B35" t="s">
        <v>224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F26" sqref="F26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8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86" t="s">
        <v>308</v>
      </c>
      <c r="C5" s="368" t="s">
        <v>99</v>
      </c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70"/>
      <c r="R5" t="s">
        <v>22</v>
      </c>
    </row>
    <row r="6" spans="2:18" ht="18.5" x14ac:dyDescent="0.45">
      <c r="B6" s="299"/>
      <c r="C6" s="172" t="s">
        <v>1</v>
      </c>
      <c r="D6" s="168" t="s">
        <v>197</v>
      </c>
      <c r="E6" s="168" t="s">
        <v>192</v>
      </c>
      <c r="F6" s="168" t="s">
        <v>169</v>
      </c>
      <c r="G6" s="168" t="s">
        <v>228</v>
      </c>
      <c r="H6" s="168" t="s">
        <v>285</v>
      </c>
      <c r="I6" s="94"/>
      <c r="J6" s="94"/>
      <c r="K6" s="94"/>
      <c r="L6" s="94"/>
      <c r="M6" s="94"/>
      <c r="N6" s="94"/>
      <c r="O6" s="94"/>
      <c r="P6" s="94"/>
      <c r="Q6" s="163"/>
    </row>
    <row r="7" spans="2:18" ht="18.5" x14ac:dyDescent="0.45">
      <c r="B7" s="301"/>
      <c r="C7" s="169" t="s">
        <v>100</v>
      </c>
      <c r="D7" s="119">
        <v>1000</v>
      </c>
      <c r="E7" s="119">
        <v>2000</v>
      </c>
      <c r="F7" s="119">
        <v>3000</v>
      </c>
      <c r="G7" s="119">
        <v>1100</v>
      </c>
      <c r="H7" s="119">
        <v>4000</v>
      </c>
      <c r="I7" s="11"/>
      <c r="J7" s="11"/>
      <c r="K7" s="11"/>
      <c r="L7" s="11"/>
      <c r="M7" s="11"/>
      <c r="N7" s="11"/>
      <c r="O7" s="11"/>
      <c r="P7" s="11"/>
      <c r="Q7" s="91"/>
    </row>
    <row r="8" spans="2:18" ht="18.5" x14ac:dyDescent="0.45">
      <c r="B8" s="301"/>
      <c r="C8" s="170" t="s">
        <v>40</v>
      </c>
      <c r="D8" s="119" t="s">
        <v>10</v>
      </c>
      <c r="E8" s="119" t="s">
        <v>10</v>
      </c>
      <c r="F8" s="119" t="s">
        <v>10</v>
      </c>
      <c r="G8" s="119" t="s">
        <v>10</v>
      </c>
      <c r="H8" s="119" t="s">
        <v>10</v>
      </c>
      <c r="I8" s="11"/>
      <c r="J8" s="11"/>
      <c r="K8" s="11"/>
      <c r="L8" s="11"/>
      <c r="M8" s="11"/>
      <c r="N8" s="11"/>
      <c r="O8" s="11"/>
      <c r="P8" s="11"/>
      <c r="Q8" s="91"/>
    </row>
    <row r="9" spans="2:18" ht="18.5" x14ac:dyDescent="0.45">
      <c r="B9" s="301"/>
      <c r="C9" s="171" t="s">
        <v>101</v>
      </c>
      <c r="D9" s="119"/>
      <c r="E9" s="119"/>
      <c r="F9" s="119"/>
      <c r="G9" s="207"/>
      <c r="H9" s="119"/>
      <c r="I9" s="11"/>
      <c r="J9" s="11"/>
      <c r="K9" s="11"/>
      <c r="L9" s="11"/>
      <c r="M9" s="11"/>
      <c r="N9" s="11"/>
      <c r="O9" s="11"/>
      <c r="P9" s="11"/>
      <c r="Q9" s="91"/>
    </row>
    <row r="10" spans="2:18" ht="18.5" x14ac:dyDescent="0.45">
      <c r="B10" s="301"/>
      <c r="C10" s="169" t="s">
        <v>206</v>
      </c>
      <c r="D10" s="119">
        <v>-50</v>
      </c>
      <c r="E10" s="119">
        <v>600</v>
      </c>
      <c r="F10" s="119">
        <v>1800</v>
      </c>
      <c r="G10" s="119">
        <v>80</v>
      </c>
      <c r="H10" s="119">
        <v>600</v>
      </c>
      <c r="I10" s="11"/>
      <c r="J10" s="11"/>
      <c r="K10" s="11"/>
      <c r="L10" s="11"/>
      <c r="M10" s="11"/>
      <c r="N10" s="11"/>
      <c r="O10" s="11"/>
      <c r="P10" s="11"/>
      <c r="Q10" s="91"/>
    </row>
    <row r="11" spans="2:18" ht="18.5" x14ac:dyDescent="0.45">
      <c r="B11" s="301"/>
      <c r="C11" s="169" t="s">
        <v>9</v>
      </c>
      <c r="D11" s="119" t="s">
        <v>8</v>
      </c>
      <c r="E11" s="119" t="s">
        <v>8</v>
      </c>
      <c r="F11" s="119" t="s">
        <v>11</v>
      </c>
      <c r="G11" s="119" t="s">
        <v>11</v>
      </c>
      <c r="H11" s="119" t="s">
        <v>11</v>
      </c>
      <c r="I11" s="11"/>
      <c r="J11" s="11"/>
      <c r="K11" s="11"/>
      <c r="L11" s="11"/>
      <c r="M11" s="11"/>
      <c r="N11" s="11"/>
      <c r="O11" s="11"/>
      <c r="P11" s="11"/>
      <c r="Q11" s="91"/>
    </row>
    <row r="12" spans="2:18" ht="18.5" x14ac:dyDescent="0.45">
      <c r="B12" s="301"/>
      <c r="C12" s="173" t="s">
        <v>117</v>
      </c>
      <c r="D12" s="119">
        <v>0.5</v>
      </c>
      <c r="E12" s="119">
        <v>0.58499999999999996</v>
      </c>
      <c r="F12" s="119">
        <v>0</v>
      </c>
      <c r="G12" s="119">
        <v>0</v>
      </c>
      <c r="H12" s="119">
        <v>0</v>
      </c>
      <c r="I12" s="11"/>
      <c r="J12" s="11"/>
      <c r="K12" s="11"/>
      <c r="L12" s="11"/>
      <c r="M12" s="11"/>
      <c r="N12" s="11"/>
      <c r="O12" s="11"/>
      <c r="P12" s="11"/>
      <c r="Q12" s="91"/>
    </row>
    <row r="13" spans="2:18" ht="18.5" x14ac:dyDescent="0.45">
      <c r="B13" s="301"/>
      <c r="C13" s="131" t="s">
        <v>118</v>
      </c>
      <c r="D13" s="11"/>
      <c r="E13" s="11"/>
      <c r="F13" s="11"/>
      <c r="G13" s="119"/>
      <c r="H13" s="119"/>
      <c r="I13" s="11"/>
      <c r="J13" s="11"/>
      <c r="K13" s="11"/>
      <c r="L13" s="11"/>
      <c r="M13" s="11"/>
      <c r="N13" s="11"/>
      <c r="O13" s="11"/>
      <c r="P13" s="11"/>
      <c r="Q13" s="91"/>
    </row>
    <row r="14" spans="2:18" ht="18.5" x14ac:dyDescent="0.45">
      <c r="B14" s="301" t="s">
        <v>188</v>
      </c>
      <c r="C14" s="131" t="s">
        <v>309</v>
      </c>
      <c r="D14" s="119"/>
      <c r="E14" s="119">
        <v>0.01</v>
      </c>
      <c r="F14" s="119">
        <v>0.01</v>
      </c>
      <c r="G14" s="119">
        <v>0.01</v>
      </c>
      <c r="H14" s="119">
        <v>0.01</v>
      </c>
      <c r="I14" s="11"/>
      <c r="J14" s="11"/>
      <c r="K14" s="11"/>
      <c r="L14" s="11"/>
      <c r="M14" s="11"/>
      <c r="N14" s="11"/>
      <c r="O14" s="11"/>
      <c r="P14" s="11"/>
      <c r="Q14" s="91"/>
    </row>
    <row r="15" spans="2:18" ht="19" thickBot="1" x14ac:dyDescent="0.5">
      <c r="B15" s="302" t="s">
        <v>188</v>
      </c>
      <c r="C15" s="174" t="s">
        <v>310</v>
      </c>
      <c r="D15" s="93"/>
      <c r="E15" s="93"/>
      <c r="F15" s="93"/>
      <c r="G15" s="93"/>
      <c r="H15" s="122"/>
      <c r="I15" s="93"/>
      <c r="J15" s="93"/>
      <c r="K15" s="93"/>
      <c r="L15" s="93"/>
      <c r="M15" s="93"/>
      <c r="N15" s="93"/>
      <c r="O15" s="93"/>
      <c r="P15" s="93"/>
      <c r="Q15" s="145"/>
    </row>
    <row r="16" spans="2:18" x14ac:dyDescent="0.35">
      <c r="I16" s="11"/>
      <c r="J16" s="11"/>
      <c r="K16" s="11"/>
      <c r="L16" s="11"/>
    </row>
    <row r="26" spans="11:11" x14ac:dyDescent="0.35">
      <c r="K26" t="s">
        <v>22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5"/>
  <sheetViews>
    <sheetView zoomScale="83" zoomScaleNormal="83" workbookViewId="0">
      <selection activeCell="E8" sqref="E8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0" t="s">
        <v>207</v>
      </c>
      <c r="D5" s="371" t="s">
        <v>102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11"/>
      <c r="Q5" s="11"/>
    </row>
    <row r="6" spans="3:17" ht="18.5" x14ac:dyDescent="0.45">
      <c r="C6" s="221" t="s">
        <v>178</v>
      </c>
      <c r="D6" s="146" t="s">
        <v>1</v>
      </c>
      <c r="E6" s="209" t="s">
        <v>170</v>
      </c>
      <c r="F6" s="210" t="s">
        <v>174</v>
      </c>
      <c r="G6" s="210" t="s">
        <v>108</v>
      </c>
      <c r="H6" s="210" t="s">
        <v>229</v>
      </c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222" t="s">
        <v>178</v>
      </c>
      <c r="D7" s="146" t="s">
        <v>100</v>
      </c>
      <c r="E7" s="160">
        <v>11</v>
      </c>
      <c r="F7" s="149">
        <v>22</v>
      </c>
      <c r="G7" s="149">
        <v>33</v>
      </c>
      <c r="H7" s="149">
        <v>44</v>
      </c>
      <c r="I7" s="149"/>
      <c r="J7" s="149"/>
      <c r="K7" s="149"/>
      <c r="L7" s="149"/>
      <c r="M7" s="149"/>
      <c r="N7" s="149"/>
      <c r="O7" s="150"/>
      <c r="P7" s="11"/>
      <c r="Q7" s="11"/>
    </row>
    <row r="8" spans="3:17" ht="18.5" x14ac:dyDescent="0.45">
      <c r="C8" s="223" t="s">
        <v>208</v>
      </c>
      <c r="D8" s="146" t="s">
        <v>103</v>
      </c>
      <c r="E8" s="160">
        <v>10</v>
      </c>
      <c r="F8" s="149">
        <v>0</v>
      </c>
      <c r="G8" s="149">
        <v>0</v>
      </c>
      <c r="H8" s="149">
        <v>20</v>
      </c>
      <c r="I8" s="149"/>
      <c r="J8" s="149"/>
      <c r="K8" s="149"/>
      <c r="L8" s="149"/>
      <c r="M8" s="149"/>
      <c r="N8" s="149"/>
      <c r="O8" s="150"/>
      <c r="P8" s="11"/>
      <c r="Q8" s="11"/>
    </row>
    <row r="9" spans="3:17" ht="18.5" x14ac:dyDescent="0.45">
      <c r="C9" s="223" t="s">
        <v>188</v>
      </c>
      <c r="D9" s="146" t="s">
        <v>210</v>
      </c>
      <c r="E9" s="160">
        <v>100</v>
      </c>
      <c r="F9" s="149"/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223" t="s">
        <v>188</v>
      </c>
      <c r="D10" s="146" t="s">
        <v>211</v>
      </c>
      <c r="E10" s="160">
        <v>100</v>
      </c>
      <c r="F10" s="149"/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222" t="s">
        <v>178</v>
      </c>
      <c r="D11" s="146" t="s">
        <v>104</v>
      </c>
      <c r="E11" s="160"/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222" t="s">
        <v>178</v>
      </c>
      <c r="D12" s="146" t="s">
        <v>209</v>
      </c>
      <c r="E12" s="181">
        <v>0</v>
      </c>
      <c r="F12" s="207">
        <v>1</v>
      </c>
      <c r="G12" s="207">
        <v>0</v>
      </c>
      <c r="H12" s="11"/>
      <c r="I12" s="11"/>
      <c r="J12" s="11"/>
      <c r="K12" s="11"/>
      <c r="L12" s="11"/>
      <c r="M12" s="11"/>
      <c r="N12" s="11"/>
      <c r="O12" s="91"/>
      <c r="P12" s="11"/>
      <c r="Q12" s="11"/>
    </row>
    <row r="13" spans="3:17" ht="19" thickBot="1" x14ac:dyDescent="0.5">
      <c r="C13" s="224" t="s">
        <v>178</v>
      </c>
      <c r="D13" s="146" t="s">
        <v>105</v>
      </c>
      <c r="E13" s="161">
        <f>SUM(E14:E37)</f>
        <v>1</v>
      </c>
      <c r="F13" s="157">
        <f t="shared" ref="F13:O13" si="0">SUM(F14:F37)</f>
        <v>1</v>
      </c>
      <c r="G13" s="157">
        <f t="shared" si="0"/>
        <v>1</v>
      </c>
      <c r="H13" s="157">
        <f t="shared" si="0"/>
        <v>1</v>
      </c>
      <c r="I13" s="157">
        <f t="shared" si="0"/>
        <v>0</v>
      </c>
      <c r="J13" s="157">
        <f t="shared" si="0"/>
        <v>0</v>
      </c>
      <c r="K13" s="157">
        <f t="shared" si="0"/>
        <v>0</v>
      </c>
      <c r="L13" s="157">
        <f t="shared" si="0"/>
        <v>0</v>
      </c>
      <c r="M13" s="157">
        <f t="shared" si="0"/>
        <v>0</v>
      </c>
      <c r="N13" s="157">
        <f t="shared" si="0"/>
        <v>0</v>
      </c>
      <c r="O13" s="158">
        <f t="shared" si="0"/>
        <v>0</v>
      </c>
      <c r="P13" s="11"/>
      <c r="Q13" s="11"/>
    </row>
    <row r="14" spans="3:17" ht="18.5" x14ac:dyDescent="0.45">
      <c r="C14" s="225"/>
      <c r="D14" s="151" t="s">
        <v>171</v>
      </c>
      <c r="E14" s="210">
        <v>0.25</v>
      </c>
      <c r="F14" s="147"/>
      <c r="G14" s="147"/>
      <c r="H14" s="147"/>
      <c r="I14" s="147"/>
      <c r="J14" s="147"/>
      <c r="K14" s="147"/>
      <c r="L14" s="147"/>
      <c r="M14" s="147"/>
      <c r="N14" s="147"/>
      <c r="O14" s="148"/>
      <c r="P14" s="11"/>
      <c r="Q14" s="11"/>
    </row>
    <row r="15" spans="3:17" ht="18.5" x14ac:dyDescent="0.45">
      <c r="C15" s="175"/>
      <c r="D15" s="152" t="s">
        <v>172</v>
      </c>
      <c r="E15" s="211">
        <v>0.13</v>
      </c>
      <c r="F15" s="149"/>
      <c r="G15" s="149"/>
      <c r="H15" s="153"/>
      <c r="I15" s="149"/>
      <c r="J15" s="149"/>
      <c r="K15" s="149"/>
      <c r="L15" s="149"/>
      <c r="M15" s="149"/>
      <c r="N15" s="149"/>
      <c r="O15" s="150"/>
      <c r="P15" s="11"/>
      <c r="Q15" s="11"/>
    </row>
    <row r="16" spans="3:17" ht="18.5" x14ac:dyDescent="0.45">
      <c r="C16" s="175"/>
      <c r="D16" s="152" t="s">
        <v>173</v>
      </c>
      <c r="E16" s="211">
        <v>0.55000000000000004</v>
      </c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22" ht="18.5" x14ac:dyDescent="0.45">
      <c r="C17" s="175"/>
      <c r="D17" s="152" t="s">
        <v>169</v>
      </c>
      <c r="E17" s="211">
        <v>7.0000000000000007E-2</v>
      </c>
      <c r="F17" s="149"/>
      <c r="G17" s="149"/>
      <c r="H17" s="153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22" ht="18.5" x14ac:dyDescent="0.45">
      <c r="C18" s="175"/>
      <c r="D18" s="152" t="s">
        <v>14</v>
      </c>
      <c r="E18" s="211"/>
      <c r="F18" s="149">
        <v>1</v>
      </c>
      <c r="G18" s="149"/>
      <c r="H18" s="149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22" ht="18.5" x14ac:dyDescent="0.45">
      <c r="C19" s="175"/>
      <c r="D19" s="152" t="s">
        <v>4</v>
      </c>
      <c r="E19" s="211"/>
      <c r="F19" s="149"/>
      <c r="G19" s="149">
        <v>0.22</v>
      </c>
      <c r="H19" s="149"/>
      <c r="I19" s="149"/>
      <c r="J19" s="149"/>
      <c r="K19" s="154"/>
      <c r="L19" s="149"/>
      <c r="M19" s="149"/>
      <c r="N19" s="149"/>
      <c r="O19" s="150"/>
      <c r="P19" s="11"/>
      <c r="Q19" s="11"/>
    </row>
    <row r="20" spans="3:22" ht="18.5" x14ac:dyDescent="0.45">
      <c r="C20" s="175"/>
      <c r="D20" s="152" t="s">
        <v>17</v>
      </c>
      <c r="E20" s="211"/>
      <c r="F20" s="211"/>
      <c r="G20" s="149">
        <v>0.78</v>
      </c>
      <c r="H20" s="155"/>
      <c r="I20" s="149"/>
      <c r="J20" s="149"/>
      <c r="K20" s="154"/>
      <c r="L20" s="149"/>
      <c r="M20" s="149"/>
      <c r="N20" s="149"/>
      <c r="O20" s="150"/>
      <c r="P20" s="11"/>
      <c r="Q20" s="11"/>
    </row>
    <row r="21" spans="3:22" ht="18.5" x14ac:dyDescent="0.45">
      <c r="C21" s="175"/>
      <c r="D21" s="152" t="s">
        <v>230</v>
      </c>
      <c r="E21" s="149"/>
      <c r="F21" s="149"/>
      <c r="G21" s="149"/>
      <c r="H21" s="155">
        <v>1</v>
      </c>
      <c r="I21" s="149"/>
      <c r="J21" s="149"/>
      <c r="K21" s="149"/>
      <c r="L21" s="149"/>
      <c r="M21" s="149"/>
      <c r="N21" s="149"/>
      <c r="O21" s="150"/>
      <c r="P21" s="11"/>
      <c r="Q21" s="11"/>
    </row>
    <row r="22" spans="3:22" ht="18.5" x14ac:dyDescent="0.45">
      <c r="C22" s="175"/>
      <c r="D22" s="152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22" ht="18.5" x14ac:dyDescent="0.45">
      <c r="C23" s="175"/>
      <c r="D23" s="152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50"/>
      <c r="P23" s="11"/>
      <c r="Q23" s="11"/>
    </row>
    <row r="24" spans="3:22" ht="18.5" x14ac:dyDescent="0.45">
      <c r="C24" s="175"/>
      <c r="D24" s="152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50"/>
      <c r="P24" s="11"/>
      <c r="V24" s="11" t="s">
        <v>22</v>
      </c>
    </row>
    <row r="25" spans="3:22" ht="18.5" x14ac:dyDescent="0.45">
      <c r="C25" s="175"/>
      <c r="D25" s="152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50"/>
      <c r="P25" s="11"/>
      <c r="Q25" s="11"/>
    </row>
    <row r="26" spans="3:22" x14ac:dyDescent="0.35">
      <c r="C26" s="175"/>
      <c r="D26" s="175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1"/>
      <c r="P26" s="11"/>
      <c r="Q26" s="11"/>
    </row>
    <row r="27" spans="3:22" x14ac:dyDescent="0.35">
      <c r="C27" s="175"/>
      <c r="D27" s="175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1"/>
      <c r="P27" s="11"/>
      <c r="Q27" s="11"/>
    </row>
    <row r="28" spans="3:22" x14ac:dyDescent="0.35">
      <c r="C28" s="175"/>
      <c r="D28" s="175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1"/>
      <c r="P28" s="11"/>
      <c r="Q28" s="11"/>
    </row>
    <row r="29" spans="3:22" x14ac:dyDescent="0.35">
      <c r="C29" s="175"/>
      <c r="D29" s="175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1"/>
      <c r="P29" s="11"/>
      <c r="Q29" s="11"/>
    </row>
    <row r="30" spans="3:22" x14ac:dyDescent="0.35">
      <c r="C30" s="175"/>
      <c r="D30" s="175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1"/>
      <c r="P30" s="11"/>
      <c r="Q30" s="11"/>
    </row>
    <row r="31" spans="3:22" x14ac:dyDescent="0.35">
      <c r="C31" s="175"/>
      <c r="D31" s="175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1"/>
      <c r="P31" s="11"/>
      <c r="Q31" s="11"/>
    </row>
    <row r="32" spans="3:22" x14ac:dyDescent="0.35">
      <c r="C32" s="175"/>
      <c r="D32" s="175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1"/>
      <c r="P32" s="11"/>
      <c r="Q32" s="11"/>
    </row>
    <row r="33" spans="2:17" x14ac:dyDescent="0.35">
      <c r="C33" s="175"/>
      <c r="D33" s="175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1"/>
      <c r="P33" s="11"/>
      <c r="Q33" s="11"/>
    </row>
    <row r="34" spans="2:17" x14ac:dyDescent="0.35">
      <c r="C34" s="175"/>
      <c r="D34" s="175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1"/>
      <c r="P34" s="11"/>
      <c r="Q34" s="11"/>
    </row>
    <row r="35" spans="2:17" x14ac:dyDescent="0.35">
      <c r="C35" s="175"/>
      <c r="D35" s="175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1"/>
      <c r="P35" s="11"/>
      <c r="Q35" s="11"/>
    </row>
    <row r="36" spans="2:17" x14ac:dyDescent="0.35">
      <c r="C36" s="175"/>
      <c r="D36" s="175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1"/>
      <c r="P36" s="11"/>
      <c r="Q36" s="11"/>
    </row>
    <row r="37" spans="2:17" ht="15" thickBot="1" x14ac:dyDescent="0.4">
      <c r="C37" s="176"/>
      <c r="D37" s="176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145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5" spans="2:17" x14ac:dyDescent="0.35">
      <c r="N45" s="11" t="s">
        <v>22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8" t="s">
        <v>243</v>
      </c>
      <c r="D6" s="271" t="s">
        <v>247</v>
      </c>
      <c r="E6" s="207"/>
      <c r="F6" s="276" t="s">
        <v>244</v>
      </c>
      <c r="G6" s="276" t="s">
        <v>248</v>
      </c>
      <c r="H6" s="276" t="s">
        <v>246</v>
      </c>
      <c r="I6" s="207"/>
      <c r="J6" s="266" t="s">
        <v>244</v>
      </c>
      <c r="K6" s="266" t="s">
        <v>248</v>
      </c>
      <c r="L6" s="266" t="s">
        <v>246</v>
      </c>
      <c r="M6" s="262"/>
      <c r="N6" s="266" t="s">
        <v>244</v>
      </c>
      <c r="O6" s="270" t="s">
        <v>245</v>
      </c>
      <c r="P6" s="266" t="s">
        <v>246</v>
      </c>
      <c r="Q6" s="207"/>
      <c r="R6" s="11"/>
      <c r="S6" s="11"/>
      <c r="T6" s="11"/>
    </row>
    <row r="7" spans="3:20" x14ac:dyDescent="0.35">
      <c r="C7" s="280" t="s">
        <v>235</v>
      </c>
      <c r="D7" s="281">
        <f>1/8</f>
        <v>0.125</v>
      </c>
      <c r="E7" s="207"/>
      <c r="F7" s="282">
        <v>11</v>
      </c>
      <c r="G7" s="277">
        <v>0.15</v>
      </c>
      <c r="H7" s="283" t="s">
        <v>173</v>
      </c>
      <c r="I7" s="207"/>
      <c r="J7" s="280">
        <v>11</v>
      </c>
      <c r="K7" s="291"/>
      <c r="L7" s="295" t="s">
        <v>169</v>
      </c>
      <c r="M7" s="207"/>
      <c r="N7" s="207"/>
      <c r="O7" s="207"/>
      <c r="P7" s="207"/>
      <c r="Q7" s="207"/>
      <c r="R7" s="11"/>
      <c r="S7" s="11"/>
      <c r="T7" s="11"/>
    </row>
    <row r="8" spans="3:20" x14ac:dyDescent="0.35">
      <c r="C8" s="181" t="s">
        <v>236</v>
      </c>
      <c r="D8" s="284">
        <f t="shared" ref="D8:D14" si="0">1/8</f>
        <v>0.125</v>
      </c>
      <c r="E8" s="207"/>
      <c r="F8" s="285">
        <v>11</v>
      </c>
      <c r="G8" s="278">
        <v>0.15</v>
      </c>
      <c r="H8" s="286" t="s">
        <v>173</v>
      </c>
      <c r="I8" s="207"/>
      <c r="J8" s="181">
        <v>11</v>
      </c>
      <c r="K8" s="207"/>
      <c r="L8" s="293"/>
      <c r="M8" s="207"/>
      <c r="N8" s="207"/>
      <c r="O8" s="207"/>
      <c r="P8" s="207"/>
      <c r="Q8" s="207"/>
      <c r="R8" s="11"/>
      <c r="S8" s="11"/>
      <c r="T8" s="11"/>
    </row>
    <row r="9" spans="3:20" x14ac:dyDescent="0.35">
      <c r="C9" s="181" t="s">
        <v>237</v>
      </c>
      <c r="D9" s="284">
        <f t="shared" si="0"/>
        <v>0.125</v>
      </c>
      <c r="E9" s="207"/>
      <c r="F9" s="285">
        <v>11</v>
      </c>
      <c r="G9" s="278">
        <v>-0.15</v>
      </c>
      <c r="H9" s="286" t="s">
        <v>173</v>
      </c>
      <c r="I9" s="207"/>
      <c r="J9" s="181">
        <v>11</v>
      </c>
      <c r="K9" s="207"/>
      <c r="L9" s="293"/>
      <c r="M9" s="207"/>
      <c r="N9" s="207"/>
      <c r="O9" s="207"/>
      <c r="P9" s="207"/>
      <c r="Q9" s="207"/>
      <c r="R9" s="11"/>
      <c r="S9" s="11"/>
      <c r="T9" s="11"/>
    </row>
    <row r="10" spans="3:20" x14ac:dyDescent="0.35">
      <c r="C10" s="181" t="s">
        <v>238</v>
      </c>
      <c r="D10" s="284">
        <f t="shared" si="0"/>
        <v>0.125</v>
      </c>
      <c r="E10" s="207"/>
      <c r="F10" s="285">
        <v>11</v>
      </c>
      <c r="G10" s="278">
        <v>-0.15</v>
      </c>
      <c r="H10" s="286" t="s">
        <v>173</v>
      </c>
      <c r="I10" s="207"/>
      <c r="J10" s="181">
        <v>11</v>
      </c>
      <c r="K10" s="207"/>
      <c r="L10" s="293"/>
      <c r="M10" s="207"/>
      <c r="N10" s="207"/>
      <c r="O10" s="207"/>
      <c r="P10" s="207"/>
      <c r="Q10" s="207"/>
      <c r="R10" s="11"/>
      <c r="S10" s="11"/>
      <c r="T10" s="11"/>
    </row>
    <row r="11" spans="3:20" x14ac:dyDescent="0.35">
      <c r="C11" s="181" t="s">
        <v>239</v>
      </c>
      <c r="D11" s="284">
        <f t="shared" si="0"/>
        <v>0.125</v>
      </c>
      <c r="E11" s="207"/>
      <c r="F11" s="285">
        <v>11</v>
      </c>
      <c r="G11" s="278">
        <v>0.15</v>
      </c>
      <c r="H11" s="286" t="s">
        <v>173</v>
      </c>
      <c r="I11" s="207"/>
      <c r="J11" s="181">
        <v>11</v>
      </c>
      <c r="K11" s="207"/>
      <c r="L11" s="293"/>
      <c r="M11" s="207"/>
      <c r="N11" s="207"/>
      <c r="O11" s="207"/>
      <c r="P11" s="207"/>
      <c r="Q11" s="207"/>
      <c r="R11" s="11"/>
      <c r="S11" s="11"/>
      <c r="T11" s="11"/>
    </row>
    <row r="12" spans="3:20" x14ac:dyDescent="0.35">
      <c r="C12" s="181" t="s">
        <v>240</v>
      </c>
      <c r="D12" s="284">
        <f>1/8</f>
        <v>0.125</v>
      </c>
      <c r="E12" s="207"/>
      <c r="F12" s="285">
        <v>11</v>
      </c>
      <c r="G12" s="278">
        <v>0.15</v>
      </c>
      <c r="H12" s="286" t="s">
        <v>173</v>
      </c>
      <c r="I12" s="207"/>
      <c r="J12" s="181">
        <v>11</v>
      </c>
      <c r="K12" s="207"/>
      <c r="L12" s="293"/>
      <c r="M12" s="207"/>
      <c r="N12" s="207"/>
      <c r="O12" s="207"/>
      <c r="P12" s="207"/>
      <c r="Q12" s="207"/>
      <c r="R12" s="11"/>
      <c r="S12" s="11"/>
      <c r="T12" s="11"/>
    </row>
    <row r="13" spans="3:20" x14ac:dyDescent="0.35">
      <c r="C13" s="181" t="s">
        <v>241</v>
      </c>
      <c r="D13" s="284">
        <f t="shared" si="0"/>
        <v>0.125</v>
      </c>
      <c r="E13" s="207"/>
      <c r="F13" s="285">
        <v>11</v>
      </c>
      <c r="G13" s="278">
        <v>-0.15</v>
      </c>
      <c r="H13" s="286" t="s">
        <v>173</v>
      </c>
      <c r="I13" s="207"/>
      <c r="J13" s="181">
        <v>11</v>
      </c>
      <c r="K13" s="207"/>
      <c r="L13" s="293"/>
      <c r="M13" s="207"/>
      <c r="N13" s="207"/>
      <c r="O13" s="207"/>
      <c r="P13" s="207"/>
      <c r="Q13" s="207"/>
      <c r="R13" s="11"/>
      <c r="S13" s="11"/>
      <c r="T13" s="11"/>
    </row>
    <row r="14" spans="3:20" ht="15" thickBot="1" x14ac:dyDescent="0.4">
      <c r="C14" s="287" t="s">
        <v>242</v>
      </c>
      <c r="D14" s="288">
        <f t="shared" si="0"/>
        <v>0.125</v>
      </c>
      <c r="E14" s="207"/>
      <c r="F14" s="289">
        <v>11</v>
      </c>
      <c r="G14" s="279">
        <v>-0.15</v>
      </c>
      <c r="H14" s="290" t="s">
        <v>173</v>
      </c>
      <c r="I14" s="207"/>
      <c r="J14" s="287">
        <v>11</v>
      </c>
      <c r="K14" s="162"/>
      <c r="L14" s="294"/>
      <c r="M14" s="207"/>
      <c r="N14" s="207"/>
      <c r="O14" s="207"/>
      <c r="P14" s="207"/>
      <c r="Q14" s="207"/>
      <c r="R14" s="11"/>
      <c r="S14" s="11"/>
      <c r="T14" s="11"/>
    </row>
    <row r="15" spans="3:20" x14ac:dyDescent="0.35">
      <c r="C15" s="207"/>
      <c r="D15" s="207"/>
      <c r="E15" s="207"/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11"/>
      <c r="S15" s="11"/>
      <c r="T15" s="11"/>
    </row>
    <row r="16" spans="3:20" x14ac:dyDescent="0.35">
      <c r="C16" s="207"/>
      <c r="D16" s="207"/>
      <c r="E16" s="207"/>
      <c r="F16" s="207"/>
      <c r="G16" s="207"/>
      <c r="H16" s="207"/>
      <c r="I16" s="207"/>
      <c r="J16" s="207"/>
      <c r="K16" s="207"/>
      <c r="L16" s="207"/>
      <c r="M16" s="207"/>
      <c r="N16" s="207"/>
      <c r="O16" s="207"/>
      <c r="P16" s="207"/>
      <c r="Q16" s="207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374" t="s">
        <v>249</v>
      </c>
      <c r="D22" s="375"/>
      <c r="E22" s="375"/>
      <c r="F22" s="37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72" t="s">
        <v>250</v>
      </c>
      <c r="D23" s="273" t="s">
        <v>251</v>
      </c>
      <c r="E23" s="272" t="s">
        <v>252</v>
      </c>
      <c r="F23" s="265" t="s">
        <v>247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6">
        <v>11</v>
      </c>
      <c r="D24" s="297" t="s">
        <v>173</v>
      </c>
      <c r="E24" s="297">
        <v>0.15</v>
      </c>
      <c r="F24" s="16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92"/>
      <c r="D25" s="274" t="s">
        <v>169</v>
      </c>
      <c r="E25" s="207">
        <v>0.1</v>
      </c>
      <c r="F25" s="9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92"/>
      <c r="D26" s="274"/>
      <c r="E26" s="11"/>
      <c r="F26" s="9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92"/>
      <c r="D27" s="274"/>
      <c r="E27" s="11"/>
      <c r="F27" s="9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92"/>
      <c r="D28" s="274"/>
      <c r="E28" s="11"/>
      <c r="F28" s="9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92"/>
      <c r="D29" s="274"/>
      <c r="E29" s="11"/>
      <c r="F29" s="9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92"/>
      <c r="D30" s="274"/>
      <c r="E30" s="11"/>
      <c r="F30" s="9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92"/>
      <c r="D31" s="274"/>
      <c r="E31" s="11"/>
      <c r="F31" s="9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92"/>
      <c r="D32" s="274"/>
      <c r="E32" s="11"/>
      <c r="F32" s="9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92"/>
      <c r="D33" s="11"/>
      <c r="E33" s="11"/>
      <c r="F33" s="9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92"/>
      <c r="D34" s="11"/>
      <c r="E34" s="11"/>
      <c r="F34" s="9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92"/>
      <c r="D35" s="11"/>
      <c r="E35" s="11"/>
      <c r="F35" s="9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7"/>
      <c r="D36" s="93"/>
      <c r="E36" s="93"/>
      <c r="F36" s="145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9" sqref="F9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77" t="s">
        <v>111</v>
      </c>
      <c r="E5" s="378"/>
      <c r="F5" s="378"/>
      <c r="G5" s="378"/>
      <c r="H5" s="378"/>
      <c r="I5" s="378"/>
      <c r="J5" s="378"/>
      <c r="K5" s="378"/>
      <c r="L5" s="378"/>
      <c r="M5" s="378"/>
      <c r="N5" s="378"/>
      <c r="O5" s="379"/>
      <c r="P5" s="11"/>
      <c r="Q5" s="11"/>
    </row>
    <row r="6" spans="3:17" ht="18.5" x14ac:dyDescent="0.45">
      <c r="C6" s="11"/>
      <c r="D6" s="219" t="s">
        <v>1</v>
      </c>
      <c r="E6" s="210" t="s">
        <v>216</v>
      </c>
      <c r="F6" s="210" t="s">
        <v>231</v>
      </c>
      <c r="G6" s="159"/>
      <c r="H6" s="147"/>
      <c r="I6" s="147"/>
      <c r="J6" s="147"/>
      <c r="K6" s="147"/>
      <c r="L6" s="147"/>
      <c r="M6" s="147"/>
      <c r="N6" s="147"/>
      <c r="O6" s="148"/>
      <c r="P6" s="11"/>
      <c r="Q6" s="11"/>
    </row>
    <row r="7" spans="3:17" ht="18.5" x14ac:dyDescent="0.45">
      <c r="C7" s="11"/>
      <c r="D7" s="146" t="s">
        <v>100</v>
      </c>
      <c r="E7" s="149">
        <v>888</v>
      </c>
      <c r="F7" s="149">
        <v>777</v>
      </c>
      <c r="G7" s="149"/>
      <c r="H7" s="149"/>
      <c r="I7" s="149"/>
      <c r="J7" s="149"/>
      <c r="K7" s="149"/>
      <c r="L7" s="149"/>
      <c r="M7" s="149"/>
      <c r="N7" s="149"/>
      <c r="O7" s="150"/>
      <c r="P7" s="11"/>
      <c r="Q7" s="11"/>
    </row>
    <row r="8" spans="3:17" ht="15" thickBot="1" x14ac:dyDescent="0.4">
      <c r="C8" s="11"/>
      <c r="D8" s="176" t="s">
        <v>113</v>
      </c>
      <c r="E8" s="162">
        <v>2</v>
      </c>
      <c r="F8" s="162">
        <v>2</v>
      </c>
      <c r="G8" s="93"/>
      <c r="H8" s="93"/>
      <c r="I8" s="93"/>
      <c r="J8" s="93"/>
      <c r="K8" s="93"/>
      <c r="L8" s="93"/>
      <c r="M8" s="93"/>
      <c r="N8" s="93"/>
      <c r="O8" s="145"/>
      <c r="P8" s="11"/>
      <c r="Q8" s="11"/>
    </row>
    <row r="9" spans="3:17" ht="18.5" x14ac:dyDescent="0.45">
      <c r="C9" s="11"/>
      <c r="D9" s="146" t="s">
        <v>112</v>
      </c>
      <c r="E9" s="160">
        <v>200</v>
      </c>
      <c r="F9" s="149">
        <v>300</v>
      </c>
      <c r="G9" s="149"/>
      <c r="H9" s="149"/>
      <c r="I9" s="149"/>
      <c r="J9" s="149"/>
      <c r="K9" s="149"/>
      <c r="L9" s="149"/>
      <c r="M9" s="149"/>
      <c r="N9" s="149"/>
      <c r="O9" s="150"/>
      <c r="P9" s="11"/>
      <c r="Q9" s="11"/>
    </row>
    <row r="10" spans="3:17" ht="18.5" x14ac:dyDescent="0.45">
      <c r="C10" s="11"/>
      <c r="D10" s="146"/>
      <c r="E10" s="264">
        <v>210</v>
      </c>
      <c r="F10" s="149">
        <v>310</v>
      </c>
      <c r="G10" s="149"/>
      <c r="H10" s="149"/>
      <c r="I10" s="149"/>
      <c r="J10" s="149"/>
      <c r="K10" s="149"/>
      <c r="L10" s="149"/>
      <c r="M10" s="149"/>
      <c r="N10" s="149"/>
      <c r="O10" s="150"/>
      <c r="P10" s="11"/>
      <c r="Q10" s="11"/>
    </row>
    <row r="11" spans="3:17" ht="18.5" x14ac:dyDescent="0.45">
      <c r="C11" s="11"/>
      <c r="D11" s="146"/>
      <c r="E11" s="160">
        <v>999</v>
      </c>
      <c r="F11" s="149"/>
      <c r="G11" s="149"/>
      <c r="H11" s="149"/>
      <c r="I11" s="149"/>
      <c r="J11" s="149"/>
      <c r="K11" s="149"/>
      <c r="L11" s="149"/>
      <c r="M11" s="149"/>
      <c r="N11" s="149"/>
      <c r="O11" s="150"/>
      <c r="P11" s="11"/>
      <c r="Q11" s="11"/>
    </row>
    <row r="12" spans="3:17" ht="18.5" x14ac:dyDescent="0.45">
      <c r="C12" s="11"/>
      <c r="D12" s="146"/>
      <c r="E12" s="160"/>
      <c r="F12" s="149"/>
      <c r="G12" s="149"/>
      <c r="H12" s="149"/>
      <c r="I12" s="149"/>
      <c r="J12" s="149"/>
      <c r="K12" s="149"/>
      <c r="L12" s="149"/>
      <c r="M12" s="149"/>
      <c r="N12" s="149"/>
      <c r="O12" s="150"/>
      <c r="P12" s="11"/>
      <c r="Q12" s="11"/>
    </row>
    <row r="13" spans="3:17" ht="18.5" x14ac:dyDescent="0.45">
      <c r="C13" s="11"/>
      <c r="D13" s="152"/>
      <c r="E13" s="92"/>
      <c r="F13" s="149"/>
      <c r="G13" s="149"/>
      <c r="H13" s="149"/>
      <c r="I13" s="149"/>
      <c r="J13" s="149"/>
      <c r="K13" s="149"/>
      <c r="L13" s="149"/>
      <c r="M13" s="149"/>
      <c r="N13" s="149"/>
      <c r="O13" s="150"/>
      <c r="P13" s="11"/>
      <c r="Q13" s="11"/>
    </row>
    <row r="14" spans="3:17" ht="18.5" x14ac:dyDescent="0.45">
      <c r="C14" s="11"/>
      <c r="D14" s="152"/>
      <c r="E14" s="160"/>
      <c r="F14" s="149"/>
      <c r="G14" s="149"/>
      <c r="H14" s="149"/>
      <c r="I14" s="149"/>
      <c r="J14" s="149"/>
      <c r="K14" s="154"/>
      <c r="L14" s="149"/>
      <c r="M14" s="149"/>
      <c r="N14" s="149"/>
      <c r="O14" s="150"/>
      <c r="P14" s="11"/>
      <c r="Q14" s="11"/>
    </row>
    <row r="15" spans="3:17" ht="18.5" x14ac:dyDescent="0.45">
      <c r="C15" s="11"/>
      <c r="D15" s="152"/>
      <c r="E15" s="160"/>
      <c r="F15" s="149"/>
      <c r="G15" s="149"/>
      <c r="H15" s="153"/>
      <c r="I15" s="149"/>
      <c r="J15" s="149"/>
      <c r="K15" s="154"/>
      <c r="L15" s="149"/>
      <c r="M15" s="149"/>
      <c r="N15" s="149"/>
      <c r="O15" s="150"/>
      <c r="P15" s="11"/>
      <c r="Q15" s="11"/>
    </row>
    <row r="16" spans="3:17" ht="18.5" x14ac:dyDescent="0.45">
      <c r="C16" s="11"/>
      <c r="D16" s="152"/>
      <c r="E16" s="160"/>
      <c r="F16" s="149"/>
      <c r="G16" s="149"/>
      <c r="H16" s="149"/>
      <c r="I16" s="149"/>
      <c r="J16" s="149"/>
      <c r="K16" s="154"/>
      <c r="L16" s="149"/>
      <c r="M16" s="149"/>
      <c r="N16" s="149"/>
      <c r="O16" s="150"/>
      <c r="P16" s="11"/>
      <c r="Q16" s="11"/>
    </row>
    <row r="17" spans="3:17" ht="18.5" x14ac:dyDescent="0.45">
      <c r="C17" s="11"/>
      <c r="D17" s="152"/>
      <c r="E17" s="160"/>
      <c r="F17" s="149"/>
      <c r="G17" s="149"/>
      <c r="H17" s="149"/>
      <c r="I17" s="149"/>
      <c r="J17" s="149"/>
      <c r="K17" s="154"/>
      <c r="L17" s="149"/>
      <c r="M17" s="149"/>
      <c r="N17" s="149"/>
      <c r="O17" s="150"/>
      <c r="P17" s="11"/>
      <c r="Q17" s="11"/>
    </row>
    <row r="18" spans="3:17" ht="18.5" x14ac:dyDescent="0.45">
      <c r="C18" s="11"/>
      <c r="D18" s="152"/>
      <c r="E18" s="160"/>
      <c r="F18" s="149"/>
      <c r="G18" s="149"/>
      <c r="H18" s="155"/>
      <c r="I18" s="149"/>
      <c r="J18" s="149"/>
      <c r="K18" s="154"/>
      <c r="L18" s="149"/>
      <c r="M18" s="149"/>
      <c r="N18" s="149"/>
      <c r="O18" s="150"/>
      <c r="P18" s="11"/>
      <c r="Q18" s="11"/>
    </row>
    <row r="19" spans="3:17" ht="18.5" x14ac:dyDescent="0.45">
      <c r="C19" s="11"/>
      <c r="D19" s="152"/>
      <c r="E19" s="160"/>
      <c r="F19" s="149"/>
      <c r="G19" s="149"/>
      <c r="H19" s="155"/>
      <c r="I19" s="149"/>
      <c r="J19" s="149"/>
      <c r="K19" s="149"/>
      <c r="L19" s="149"/>
      <c r="M19" s="149"/>
      <c r="N19" s="149"/>
      <c r="O19" s="150"/>
      <c r="P19" s="11"/>
      <c r="Q19" s="11"/>
    </row>
    <row r="20" spans="3:17" ht="18.5" x14ac:dyDescent="0.45">
      <c r="C20" s="11"/>
      <c r="D20" s="152"/>
      <c r="E20" s="160"/>
      <c r="F20" s="149"/>
      <c r="G20" s="149"/>
      <c r="H20" s="149"/>
      <c r="I20" s="149"/>
      <c r="J20" s="149"/>
      <c r="K20" s="149"/>
      <c r="L20" s="149"/>
      <c r="M20" s="149"/>
      <c r="N20" s="149"/>
      <c r="O20" s="150"/>
      <c r="P20" s="11"/>
      <c r="Q20" s="11"/>
    </row>
    <row r="21" spans="3:17" ht="18.5" x14ac:dyDescent="0.45">
      <c r="C21" s="11"/>
      <c r="D21" s="152"/>
      <c r="E21" s="160"/>
      <c r="F21" s="149"/>
      <c r="G21" s="149"/>
      <c r="H21" s="149"/>
      <c r="I21" s="149"/>
      <c r="J21" s="149"/>
      <c r="K21" s="149"/>
      <c r="L21" s="149"/>
      <c r="M21" s="149"/>
      <c r="N21" s="149"/>
      <c r="O21" s="150"/>
      <c r="P21" s="11"/>
      <c r="Q21" s="11"/>
    </row>
    <row r="22" spans="3:17" ht="18.5" x14ac:dyDescent="0.45">
      <c r="C22" s="11"/>
      <c r="D22" s="152"/>
      <c r="E22" s="160"/>
      <c r="F22" s="149"/>
      <c r="G22" s="149"/>
      <c r="H22" s="149"/>
      <c r="I22" s="149"/>
      <c r="J22" s="149"/>
      <c r="K22" s="149"/>
      <c r="L22" s="149"/>
      <c r="M22" s="149"/>
      <c r="N22" s="149"/>
      <c r="O22" s="150"/>
      <c r="P22" s="11"/>
      <c r="Q22" s="11"/>
    </row>
    <row r="23" spans="3:17" ht="19" thickBot="1" x14ac:dyDescent="0.5">
      <c r="C23" s="11"/>
      <c r="D23" s="156"/>
      <c r="E23" s="161"/>
      <c r="F23" s="157"/>
      <c r="G23" s="157"/>
      <c r="H23" s="157"/>
      <c r="I23" s="157"/>
      <c r="J23" s="157"/>
      <c r="K23" s="157"/>
      <c r="L23" s="157"/>
      <c r="M23" s="157"/>
      <c r="N23" s="157"/>
      <c r="O23" s="158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zoomScale="90" zoomScaleNormal="90" workbookViewId="0">
      <selection activeCell="E6" sqref="E6"/>
    </sheetView>
  </sheetViews>
  <sheetFormatPr baseColWidth="10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8.6328125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374" t="s">
        <v>257</v>
      </c>
      <c r="C3" s="376"/>
      <c r="D3" s="11"/>
      <c r="E3" s="265" t="s">
        <v>264</v>
      </c>
      <c r="F3" s="300" t="s">
        <v>263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5" t="s">
        <v>258</v>
      </c>
      <c r="C4" s="320" t="s">
        <v>291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295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92" t="s">
        <v>259</v>
      </c>
      <c r="C5" s="307" t="s">
        <v>296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8" t="s">
        <v>268</v>
      </c>
      <c r="Q5" s="269"/>
      <c r="R5" s="303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7"/>
      <c r="C6" s="145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1">
        <v>2</v>
      </c>
      <c r="Q6" s="308" t="s">
        <v>293</v>
      </c>
      <c r="R6" s="9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1">
        <v>3</v>
      </c>
      <c r="Q7" s="308" t="s">
        <v>292</v>
      </c>
      <c r="R7" s="9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9" t="s">
        <v>273</v>
      </c>
      <c r="C8" s="11"/>
      <c r="D8" s="11"/>
      <c r="E8" s="11"/>
      <c r="F8" s="11"/>
      <c r="G8" s="11"/>
      <c r="H8" s="11"/>
      <c r="I8" s="310" t="s">
        <v>275</v>
      </c>
      <c r="J8" s="11"/>
      <c r="K8" s="11"/>
      <c r="L8" s="11"/>
      <c r="M8" s="11"/>
      <c r="N8" s="11"/>
      <c r="O8" s="11"/>
      <c r="P8" s="181">
        <v>4</v>
      </c>
      <c r="Q8" s="308" t="s">
        <v>300</v>
      </c>
      <c r="R8" s="9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383" t="s">
        <v>282</v>
      </c>
      <c r="C9" s="384"/>
      <c r="D9" s="384"/>
      <c r="E9" s="384"/>
      <c r="F9" s="385"/>
      <c r="G9" s="207"/>
      <c r="H9" s="11"/>
      <c r="I9" s="380" t="s">
        <v>283</v>
      </c>
      <c r="J9" s="381"/>
      <c r="K9" s="381"/>
      <c r="L9" s="381"/>
      <c r="M9" s="382"/>
      <c r="N9" s="266"/>
      <c r="O9" s="207"/>
      <c r="P9" s="267"/>
      <c r="Q9" s="93" t="s">
        <v>270</v>
      </c>
      <c r="R9" s="145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302" t="s">
        <v>266</v>
      </c>
      <c r="C10" s="304" t="s">
        <v>33</v>
      </c>
      <c r="D10" s="305" t="s">
        <v>269</v>
      </c>
      <c r="E10" s="271" t="s">
        <v>267</v>
      </c>
      <c r="F10" s="299" t="s">
        <v>271</v>
      </c>
      <c r="G10" s="207"/>
      <c r="H10" s="11"/>
      <c r="I10" s="302" t="s">
        <v>266</v>
      </c>
      <c r="J10" s="302" t="s">
        <v>33</v>
      </c>
      <c r="K10" s="306" t="s">
        <v>265</v>
      </c>
      <c r="L10" s="302" t="s">
        <v>269</v>
      </c>
      <c r="M10" s="302" t="s">
        <v>267</v>
      </c>
      <c r="N10" s="266" t="s">
        <v>271</v>
      </c>
      <c r="O10" s="2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6">
        <v>11</v>
      </c>
      <c r="C11" s="297" t="s">
        <v>173</v>
      </c>
      <c r="D11" s="291">
        <v>0.1</v>
      </c>
      <c r="E11" s="297">
        <v>1</v>
      </c>
      <c r="F11" s="299" t="s">
        <v>277</v>
      </c>
      <c r="G11" s="207"/>
      <c r="H11" s="11"/>
      <c r="I11" s="181">
        <v>200</v>
      </c>
      <c r="J11" s="274" t="s">
        <v>173</v>
      </c>
      <c r="K11" s="207">
        <v>2</v>
      </c>
      <c r="L11" s="207">
        <v>0.2</v>
      </c>
      <c r="M11" s="293">
        <v>1</v>
      </c>
      <c r="N11" s="301" t="s">
        <v>276</v>
      </c>
      <c r="O11" s="207"/>
      <c r="P11" s="321" t="s">
        <v>294</v>
      </c>
      <c r="Q11" s="11"/>
      <c r="R11" s="322" t="s">
        <v>297</v>
      </c>
      <c r="S11" s="303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81">
        <v>11</v>
      </c>
      <c r="C12" s="274" t="s">
        <v>169</v>
      </c>
      <c r="D12" s="207">
        <v>0.5</v>
      </c>
      <c r="E12" s="207">
        <v>1</v>
      </c>
      <c r="F12" s="301" t="s">
        <v>278</v>
      </c>
      <c r="G12" s="207"/>
      <c r="H12" s="11"/>
      <c r="I12" s="181">
        <v>210</v>
      </c>
      <c r="J12" s="274" t="s">
        <v>173</v>
      </c>
      <c r="K12" s="207">
        <v>1</v>
      </c>
      <c r="L12" s="207">
        <v>0.1</v>
      </c>
      <c r="M12" s="293">
        <v>1</v>
      </c>
      <c r="N12" s="301" t="s">
        <v>276</v>
      </c>
      <c r="O12" s="207"/>
      <c r="P12" s="225" t="s">
        <v>290</v>
      </c>
      <c r="Q12" s="11"/>
      <c r="R12" s="175" t="s">
        <v>298</v>
      </c>
      <c r="S12" s="176" t="s">
        <v>299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81"/>
      <c r="C13" s="274"/>
      <c r="D13" s="207"/>
      <c r="E13" s="207"/>
      <c r="F13" s="301"/>
      <c r="G13" s="207"/>
      <c r="H13" s="11"/>
      <c r="I13" s="181"/>
      <c r="J13" s="274"/>
      <c r="K13" s="207"/>
      <c r="L13" s="207"/>
      <c r="M13" s="293"/>
      <c r="N13" s="301"/>
      <c r="O13" s="207"/>
      <c r="P13" s="225">
        <v>1</v>
      </c>
      <c r="Q13" s="207"/>
      <c r="R13" s="225">
        <v>1</v>
      </c>
      <c r="S13" s="22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81"/>
      <c r="C14" s="274"/>
      <c r="D14" s="207"/>
      <c r="E14" s="207"/>
      <c r="F14" s="301"/>
      <c r="G14" s="207"/>
      <c r="H14" s="11"/>
      <c r="I14" s="181"/>
      <c r="J14" s="274"/>
      <c r="K14" s="207"/>
      <c r="L14" s="207"/>
      <c r="M14" s="293"/>
      <c r="N14" s="301"/>
      <c r="O14" s="207"/>
      <c r="P14" s="175">
        <v>0.5</v>
      </c>
      <c r="Q14" s="11"/>
      <c r="R14" s="175">
        <v>2</v>
      </c>
      <c r="S14" s="175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81"/>
      <c r="C15" s="274"/>
      <c r="D15" s="207"/>
      <c r="E15" s="207"/>
      <c r="F15" s="301"/>
      <c r="G15" s="207"/>
      <c r="H15" s="11"/>
      <c r="I15" s="181"/>
      <c r="J15" s="274"/>
      <c r="K15" s="207"/>
      <c r="L15" s="207"/>
      <c r="M15" s="293"/>
      <c r="N15" s="301"/>
      <c r="O15" s="207"/>
      <c r="P15" s="175">
        <v>0</v>
      </c>
      <c r="Q15" s="11"/>
      <c r="R15" s="175"/>
      <c r="S15" s="175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81"/>
      <c r="C16" s="274"/>
      <c r="D16" s="207"/>
      <c r="E16" s="207"/>
      <c r="F16" s="301"/>
      <c r="G16" s="207"/>
      <c r="H16" s="11"/>
      <c r="I16" s="181"/>
      <c r="J16" s="274"/>
      <c r="K16" s="207"/>
      <c r="L16" s="207"/>
      <c r="M16" s="293"/>
      <c r="N16" s="301"/>
      <c r="O16" s="207"/>
      <c r="P16" s="175">
        <v>-0.5</v>
      </c>
      <c r="Q16" s="11"/>
      <c r="R16" s="175"/>
      <c r="S16" s="175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81"/>
      <c r="C17" s="274"/>
      <c r="D17" s="207"/>
      <c r="E17" s="207"/>
      <c r="F17" s="301"/>
      <c r="G17" s="207"/>
      <c r="H17" s="11"/>
      <c r="I17" s="181"/>
      <c r="J17" s="274"/>
      <c r="K17" s="207"/>
      <c r="L17" s="207"/>
      <c r="M17" s="293"/>
      <c r="N17" s="301"/>
      <c r="O17" s="207"/>
      <c r="P17" s="175">
        <v>-1</v>
      </c>
      <c r="Q17" s="11"/>
      <c r="R17" s="175"/>
      <c r="S17" s="175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81"/>
      <c r="C18" s="274"/>
      <c r="D18" s="207"/>
      <c r="E18" s="207"/>
      <c r="F18" s="301"/>
      <c r="G18" s="207"/>
      <c r="H18" s="11"/>
      <c r="I18" s="181"/>
      <c r="J18" s="274"/>
      <c r="K18" s="207"/>
      <c r="L18" s="207"/>
      <c r="M18" s="293"/>
      <c r="N18" s="301"/>
      <c r="O18" s="207"/>
      <c r="P18" s="175"/>
      <c r="Q18" s="11"/>
      <c r="R18" s="175"/>
      <c r="S18" s="175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81"/>
      <c r="C19" s="274"/>
      <c r="D19" s="207"/>
      <c r="E19" s="207"/>
      <c r="F19" s="301"/>
      <c r="G19" s="207"/>
      <c r="H19" s="11"/>
      <c r="I19" s="181"/>
      <c r="J19" s="274"/>
      <c r="K19" s="207"/>
      <c r="L19" s="207"/>
      <c r="M19" s="293"/>
      <c r="N19" s="301"/>
      <c r="O19" s="207"/>
      <c r="P19" s="175"/>
      <c r="Q19" s="11"/>
      <c r="R19" s="175"/>
      <c r="S19" s="175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81"/>
      <c r="C20" s="274"/>
      <c r="D20" s="207"/>
      <c r="E20" s="207"/>
      <c r="F20" s="301"/>
      <c r="G20" s="207"/>
      <c r="H20" s="11"/>
      <c r="I20" s="181"/>
      <c r="J20" s="274"/>
      <c r="K20" s="207"/>
      <c r="L20" s="207"/>
      <c r="M20" s="293"/>
      <c r="N20" s="301"/>
      <c r="O20" s="207"/>
      <c r="P20" s="226"/>
      <c r="Q20" s="11"/>
      <c r="R20" s="226"/>
      <c r="S20" s="176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35">
      <c r="A21" s="11"/>
      <c r="B21" s="181"/>
      <c r="C21" s="274"/>
      <c r="D21" s="207"/>
      <c r="E21" s="207"/>
      <c r="F21" s="301"/>
      <c r="G21" s="207"/>
      <c r="H21" s="11"/>
      <c r="I21" s="181"/>
      <c r="J21" s="274"/>
      <c r="K21" s="207"/>
      <c r="L21" s="207"/>
      <c r="M21" s="293"/>
      <c r="N21" s="301"/>
      <c r="O21" s="2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81"/>
      <c r="C22" s="274"/>
      <c r="D22" s="207"/>
      <c r="E22" s="207"/>
      <c r="F22" s="301"/>
      <c r="G22" s="207"/>
      <c r="H22" s="11"/>
      <c r="I22" s="181"/>
      <c r="J22" s="274"/>
      <c r="K22" s="207"/>
      <c r="L22" s="207"/>
      <c r="M22" s="293"/>
      <c r="N22" s="301"/>
      <c r="O22" s="2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7"/>
      <c r="C23" s="298"/>
      <c r="D23" s="162"/>
      <c r="E23" s="162"/>
      <c r="F23" s="302"/>
      <c r="G23" s="207"/>
      <c r="H23" s="11"/>
      <c r="I23" s="287"/>
      <c r="J23" s="162"/>
      <c r="K23" s="162"/>
      <c r="L23" s="162"/>
      <c r="M23" s="294"/>
      <c r="N23" s="302"/>
      <c r="O23" s="2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7"/>
      <c r="C24" s="207"/>
      <c r="D24" s="207"/>
      <c r="E24" s="207"/>
      <c r="F24" s="207"/>
      <c r="G24" s="207"/>
      <c r="H24" s="11"/>
      <c r="I24" s="207"/>
      <c r="J24" s="207"/>
      <c r="K24" s="207"/>
      <c r="L24" s="207"/>
      <c r="M24" s="207"/>
      <c r="N24" s="207"/>
      <c r="O24" s="2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7"/>
      <c r="C25" s="207"/>
      <c r="D25" s="207"/>
      <c r="E25" s="207"/>
      <c r="F25" s="207"/>
      <c r="G25" s="207"/>
      <c r="H25" s="11"/>
      <c r="I25" s="207"/>
      <c r="J25" s="207"/>
      <c r="K25" s="207"/>
      <c r="L25" s="207"/>
      <c r="M25" s="207"/>
      <c r="N25" s="207"/>
      <c r="O25" s="2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10" t="s">
        <v>279</v>
      </c>
      <c r="C26" s="207"/>
      <c r="D26" s="207"/>
      <c r="E26" s="207"/>
      <c r="F26" s="207"/>
      <c r="G26" s="207"/>
      <c r="H26" s="207"/>
      <c r="I26" s="310" t="s">
        <v>275</v>
      </c>
      <c r="J26" s="207"/>
      <c r="K26" s="207"/>
      <c r="L26" s="207"/>
      <c r="M26" s="207"/>
      <c r="N26" s="207"/>
      <c r="O26" s="2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8" t="s">
        <v>280</v>
      </c>
      <c r="C27" s="269"/>
      <c r="D27" s="269"/>
      <c r="E27" s="269"/>
      <c r="F27" s="270"/>
      <c r="G27" s="270"/>
      <c r="H27" s="207"/>
      <c r="I27" s="380" t="s">
        <v>281</v>
      </c>
      <c r="J27" s="381"/>
      <c r="K27" s="381"/>
      <c r="L27" s="381"/>
      <c r="M27" s="381"/>
      <c r="N27" s="382"/>
      <c r="O27" s="2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6" t="s">
        <v>266</v>
      </c>
      <c r="C28" s="271" t="s">
        <v>311</v>
      </c>
      <c r="D28" s="266" t="s">
        <v>33</v>
      </c>
      <c r="E28" s="271" t="s">
        <v>269</v>
      </c>
      <c r="F28" s="266" t="s">
        <v>267</v>
      </c>
      <c r="G28" s="299" t="s">
        <v>271</v>
      </c>
      <c r="H28" s="207"/>
      <c r="I28" s="299" t="s">
        <v>266</v>
      </c>
      <c r="J28" s="266" t="s">
        <v>33</v>
      </c>
      <c r="K28" s="271" t="s">
        <v>265</v>
      </c>
      <c r="L28" s="292" t="s">
        <v>269</v>
      </c>
      <c r="M28" s="299" t="s">
        <v>267</v>
      </c>
      <c r="N28" s="299" t="s">
        <v>271</v>
      </c>
      <c r="O28" s="2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s="11"/>
      <c r="B29" s="280">
        <v>220</v>
      </c>
      <c r="C29" s="291">
        <v>320</v>
      </c>
      <c r="D29" s="297" t="s">
        <v>169</v>
      </c>
      <c r="E29" s="291">
        <v>0.1</v>
      </c>
      <c r="F29" s="292">
        <v>2</v>
      </c>
      <c r="G29" s="292" t="s">
        <v>277</v>
      </c>
      <c r="H29" s="207"/>
      <c r="I29" s="280"/>
      <c r="J29" s="274" t="s">
        <v>173</v>
      </c>
      <c r="K29" s="207">
        <v>2</v>
      </c>
      <c r="L29" s="291">
        <v>0.1</v>
      </c>
      <c r="M29" s="291">
        <v>2</v>
      </c>
      <c r="N29" s="299" t="s">
        <v>278</v>
      </c>
      <c r="O29" s="2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s="11"/>
      <c r="B30" s="181">
        <v>230</v>
      </c>
      <c r="C30" s="389">
        <v>330</v>
      </c>
      <c r="D30" s="388" t="s">
        <v>169</v>
      </c>
      <c r="E30" s="389">
        <v>0.1</v>
      </c>
      <c r="F30" s="293">
        <v>2</v>
      </c>
      <c r="G30" s="293" t="s">
        <v>276</v>
      </c>
      <c r="H30" s="207"/>
      <c r="I30" s="181"/>
      <c r="J30" s="274" t="s">
        <v>173</v>
      </c>
      <c r="K30" s="207">
        <v>1</v>
      </c>
      <c r="L30" s="207">
        <v>0.2</v>
      </c>
      <c r="M30" s="207">
        <v>2</v>
      </c>
      <c r="N30" s="301" t="s">
        <v>278</v>
      </c>
      <c r="O30" s="2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81"/>
      <c r="C31" s="389"/>
      <c r="D31" s="388"/>
      <c r="E31" s="389"/>
      <c r="F31" s="293"/>
      <c r="G31" s="293"/>
      <c r="H31" s="207"/>
      <c r="I31" s="181"/>
      <c r="J31" s="274"/>
      <c r="K31" s="207"/>
      <c r="L31" s="207"/>
      <c r="M31" s="207"/>
      <c r="N31" s="301"/>
      <c r="O31" s="2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81"/>
      <c r="C32" s="387"/>
      <c r="D32" s="388"/>
      <c r="E32" s="389"/>
      <c r="F32" s="293"/>
      <c r="G32" s="293"/>
      <c r="H32" s="207"/>
      <c r="I32" s="181"/>
      <c r="J32" s="274"/>
      <c r="K32" s="207"/>
      <c r="L32" s="207"/>
      <c r="M32" s="207"/>
      <c r="N32" s="301"/>
      <c r="O32" s="2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81"/>
      <c r="C33" s="387"/>
      <c r="D33" s="388"/>
      <c r="E33" s="389"/>
      <c r="F33" s="293"/>
      <c r="G33" s="293"/>
      <c r="H33" s="207"/>
      <c r="I33" s="181"/>
      <c r="J33" s="274"/>
      <c r="K33" s="207"/>
      <c r="L33" s="207"/>
      <c r="M33" s="207"/>
      <c r="N33" s="301"/>
      <c r="O33" s="2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81"/>
      <c r="C34" s="387"/>
      <c r="D34" s="388"/>
      <c r="E34" s="389"/>
      <c r="F34" s="293"/>
      <c r="G34" s="293"/>
      <c r="H34" s="207"/>
      <c r="I34" s="181"/>
      <c r="J34" s="274"/>
      <c r="K34" s="207"/>
      <c r="L34" s="207"/>
      <c r="M34" s="207"/>
      <c r="N34" s="301"/>
      <c r="O34" s="2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81"/>
      <c r="C35" s="387"/>
      <c r="D35" s="388"/>
      <c r="E35" s="389"/>
      <c r="F35" s="293"/>
      <c r="G35" s="293"/>
      <c r="H35" s="207"/>
      <c r="I35" s="181"/>
      <c r="J35" s="274"/>
      <c r="K35" s="207"/>
      <c r="L35" s="207"/>
      <c r="M35" s="207"/>
      <c r="N35" s="301"/>
      <c r="O35" s="2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81"/>
      <c r="C36" s="387"/>
      <c r="D36" s="388"/>
      <c r="E36" s="389"/>
      <c r="F36" s="293"/>
      <c r="G36" s="293"/>
      <c r="H36" s="207"/>
      <c r="I36" s="181"/>
      <c r="J36" s="274"/>
      <c r="K36" s="207"/>
      <c r="L36" s="207"/>
      <c r="M36" s="207"/>
      <c r="N36" s="301"/>
      <c r="O36" s="2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81"/>
      <c r="C37" s="387"/>
      <c r="D37" s="388"/>
      <c r="E37" s="389"/>
      <c r="F37" s="293"/>
      <c r="G37" s="293"/>
      <c r="H37" s="207"/>
      <c r="I37" s="181"/>
      <c r="J37" s="274"/>
      <c r="K37" s="207"/>
      <c r="L37" s="207"/>
      <c r="M37" s="207"/>
      <c r="N37" s="301"/>
      <c r="O37" s="2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81"/>
      <c r="C38" s="387"/>
      <c r="D38" s="388"/>
      <c r="E38" s="389"/>
      <c r="F38" s="293"/>
      <c r="G38" s="293"/>
      <c r="H38" s="207"/>
      <c r="I38" s="181"/>
      <c r="J38" s="274"/>
      <c r="K38" s="207"/>
      <c r="L38" s="207"/>
      <c r="M38" s="207"/>
      <c r="N38" s="301"/>
      <c r="O38" s="2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90"/>
      <c r="C39" s="387"/>
      <c r="D39" s="388"/>
      <c r="E39" s="389"/>
      <c r="F39" s="293"/>
      <c r="G39" s="293"/>
      <c r="H39" s="207"/>
      <c r="I39" s="181"/>
      <c r="J39" s="274"/>
      <c r="K39" s="207"/>
      <c r="L39" s="207"/>
      <c r="M39" s="207"/>
      <c r="N39" s="301"/>
      <c r="O39" s="2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81"/>
      <c r="C40" s="387"/>
      <c r="D40" s="388"/>
      <c r="E40" s="389"/>
      <c r="F40" s="293"/>
      <c r="G40" s="293"/>
      <c r="H40" s="207"/>
      <c r="I40" s="181"/>
      <c r="J40" s="274"/>
      <c r="K40" s="207"/>
      <c r="L40" s="207"/>
      <c r="M40" s="207"/>
      <c r="N40" s="301"/>
      <c r="O40" s="2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7"/>
      <c r="C41" s="93"/>
      <c r="D41" s="162"/>
      <c r="E41" s="162"/>
      <c r="F41" s="294"/>
      <c r="G41" s="294"/>
      <c r="H41" s="207"/>
      <c r="I41" s="287"/>
      <c r="J41" s="162"/>
      <c r="K41" s="162"/>
      <c r="L41" s="162"/>
      <c r="M41" s="162"/>
      <c r="N41" s="302"/>
      <c r="O41" s="2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10" t="s">
        <v>274</v>
      </c>
      <c r="C45" s="11"/>
      <c r="D45" s="11"/>
      <c r="E45" s="11"/>
      <c r="F45" s="11"/>
      <c r="G45" s="11"/>
      <c r="H45" s="11"/>
      <c r="I45" s="310" t="s">
        <v>286</v>
      </c>
      <c r="J45" s="11"/>
      <c r="K45" s="11"/>
      <c r="L45" s="11"/>
      <c r="M45" s="11"/>
      <c r="N45" s="310" t="s">
        <v>287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380" t="s">
        <v>272</v>
      </c>
      <c r="C46" s="381"/>
      <c r="D46" s="381"/>
      <c r="E46" s="381"/>
      <c r="F46" s="382"/>
      <c r="H46" s="11"/>
      <c r="I46" s="380" t="s">
        <v>288</v>
      </c>
      <c r="J46" s="381"/>
      <c r="K46" s="381"/>
      <c r="L46" s="382"/>
      <c r="M46" s="11"/>
      <c r="N46" s="380" t="s">
        <v>289</v>
      </c>
      <c r="O46" s="381"/>
      <c r="P46" s="381"/>
      <c r="Q46" s="382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9" t="s">
        <v>266</v>
      </c>
      <c r="C47" s="299" t="s">
        <v>33</v>
      </c>
      <c r="D47" s="292" t="s">
        <v>269</v>
      </c>
      <c r="E47" s="299" t="s">
        <v>267</v>
      </c>
      <c r="F47" s="299" t="s">
        <v>271</v>
      </c>
      <c r="G47" s="11"/>
      <c r="H47" s="11"/>
      <c r="I47" s="299" t="s">
        <v>266</v>
      </c>
      <c r="J47" s="292" t="s">
        <v>269</v>
      </c>
      <c r="K47" s="299" t="s">
        <v>267</v>
      </c>
      <c r="L47" s="299" t="s">
        <v>271</v>
      </c>
      <c r="M47" s="11"/>
      <c r="N47" s="299" t="s">
        <v>266</v>
      </c>
      <c r="O47" s="292" t="s">
        <v>269</v>
      </c>
      <c r="P47" s="299" t="s">
        <v>267</v>
      </c>
      <c r="Q47" s="299" t="s">
        <v>271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80">
        <v>555</v>
      </c>
      <c r="C48" s="297" t="s">
        <v>284</v>
      </c>
      <c r="D48" s="291">
        <v>0.2</v>
      </c>
      <c r="E48" s="291">
        <v>3</v>
      </c>
      <c r="F48" s="299" t="s">
        <v>277</v>
      </c>
      <c r="G48" s="11"/>
      <c r="H48" s="11"/>
      <c r="I48" s="280">
        <v>11</v>
      </c>
      <c r="J48" s="291">
        <v>0.2</v>
      </c>
      <c r="K48" s="292">
        <v>3</v>
      </c>
      <c r="L48" s="299" t="s">
        <v>276</v>
      </c>
      <c r="M48" s="11"/>
      <c r="N48" s="280">
        <v>2000</v>
      </c>
      <c r="O48" s="291">
        <v>0.8</v>
      </c>
      <c r="P48" s="292">
        <v>3</v>
      </c>
      <c r="Q48" s="299" t="s">
        <v>276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81"/>
      <c r="C49" s="274"/>
      <c r="D49" s="207"/>
      <c r="E49" s="207"/>
      <c r="F49" s="301"/>
      <c r="G49" s="11"/>
      <c r="H49" s="11"/>
      <c r="I49" s="181"/>
      <c r="J49" s="207"/>
      <c r="K49" s="293"/>
      <c r="L49" s="301"/>
      <c r="M49" s="11"/>
      <c r="N49" s="181"/>
      <c r="O49" s="207"/>
      <c r="P49" s="293"/>
      <c r="Q49" s="30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81"/>
      <c r="C50" s="274"/>
      <c r="D50" s="207"/>
      <c r="E50" s="207"/>
      <c r="F50" s="301"/>
      <c r="G50" s="11"/>
      <c r="H50" s="11"/>
      <c r="I50" s="181"/>
      <c r="J50" s="207"/>
      <c r="K50" s="293"/>
      <c r="L50" s="301"/>
      <c r="M50" s="11"/>
      <c r="N50" s="181"/>
      <c r="O50" s="207"/>
      <c r="P50" s="293"/>
      <c r="Q50" s="30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81"/>
      <c r="C51" s="274"/>
      <c r="D51" s="207"/>
      <c r="E51" s="207"/>
      <c r="F51" s="301"/>
      <c r="G51" s="11"/>
      <c r="H51" s="11"/>
      <c r="I51" s="181"/>
      <c r="J51" s="207"/>
      <c r="K51" s="293"/>
      <c r="L51" s="301"/>
      <c r="M51" s="11"/>
      <c r="N51" s="181"/>
      <c r="O51" s="207"/>
      <c r="P51" s="293"/>
      <c r="Q51" s="30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81"/>
      <c r="C52" s="274"/>
      <c r="D52" s="207"/>
      <c r="E52" s="207"/>
      <c r="F52" s="301"/>
      <c r="G52" s="11"/>
      <c r="H52" s="11"/>
      <c r="I52" s="181"/>
      <c r="J52" s="207"/>
      <c r="K52" s="293"/>
      <c r="L52" s="301"/>
      <c r="M52" s="11"/>
      <c r="N52" s="181"/>
      <c r="O52" s="207"/>
      <c r="P52" s="293"/>
      <c r="Q52" s="30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81"/>
      <c r="C53" s="274"/>
      <c r="D53" s="207"/>
      <c r="E53" s="207"/>
      <c r="F53" s="301"/>
      <c r="G53" s="11"/>
      <c r="H53" s="11"/>
      <c r="I53" s="181"/>
      <c r="J53" s="207"/>
      <c r="K53" s="293"/>
      <c r="L53" s="301"/>
      <c r="M53" s="11"/>
      <c r="N53" s="181"/>
      <c r="O53" s="207"/>
      <c r="P53" s="293"/>
      <c r="Q53" s="30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81"/>
      <c r="C54" s="274"/>
      <c r="D54" s="207"/>
      <c r="E54" s="207"/>
      <c r="F54" s="301"/>
      <c r="G54" s="11"/>
      <c r="H54" s="11"/>
      <c r="I54" s="181"/>
      <c r="J54" s="207"/>
      <c r="K54" s="293"/>
      <c r="L54" s="301"/>
      <c r="M54" s="11"/>
      <c r="N54" s="181"/>
      <c r="O54" s="207"/>
      <c r="P54" s="293"/>
      <c r="Q54" s="30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81"/>
      <c r="C55" s="274"/>
      <c r="D55" s="207"/>
      <c r="E55" s="207"/>
      <c r="F55" s="301"/>
      <c r="G55" s="11"/>
      <c r="H55" s="11"/>
      <c r="I55" s="181"/>
      <c r="J55" s="207"/>
      <c r="K55" s="293"/>
      <c r="L55" s="301"/>
      <c r="M55" s="11"/>
      <c r="N55" s="181"/>
      <c r="O55" s="207"/>
      <c r="P55" s="293"/>
      <c r="Q55" s="30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81"/>
      <c r="C56" s="274"/>
      <c r="D56" s="207"/>
      <c r="E56" s="207"/>
      <c r="F56" s="301"/>
      <c r="G56" s="11"/>
      <c r="H56" s="11"/>
      <c r="I56" s="181"/>
      <c r="J56" s="207"/>
      <c r="K56" s="293"/>
      <c r="L56" s="301"/>
      <c r="M56" s="11"/>
      <c r="N56" s="181"/>
      <c r="O56" s="207"/>
      <c r="P56" s="293"/>
      <c r="Q56" s="30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81"/>
      <c r="C57" s="274"/>
      <c r="D57" s="207"/>
      <c r="E57" s="207"/>
      <c r="F57" s="301"/>
      <c r="G57" s="11"/>
      <c r="H57" s="11"/>
      <c r="I57" s="181"/>
      <c r="J57" s="207"/>
      <c r="K57" s="293"/>
      <c r="L57" s="301"/>
      <c r="M57" s="11"/>
      <c r="N57" s="181"/>
      <c r="O57" s="207"/>
      <c r="P57" s="293"/>
      <c r="Q57" s="30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81"/>
      <c r="C58" s="274"/>
      <c r="D58" s="207"/>
      <c r="E58" s="207"/>
      <c r="F58" s="301"/>
      <c r="G58" s="11"/>
      <c r="H58" s="11"/>
      <c r="I58" s="181"/>
      <c r="J58" s="207"/>
      <c r="K58" s="293"/>
      <c r="L58" s="301"/>
      <c r="M58" s="11"/>
      <c r="N58" s="181"/>
      <c r="O58" s="207"/>
      <c r="P58" s="293"/>
      <c r="Q58" s="30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81"/>
      <c r="C59" s="274"/>
      <c r="D59" s="207"/>
      <c r="E59" s="207"/>
      <c r="F59" s="301"/>
      <c r="G59" s="11"/>
      <c r="H59" s="11"/>
      <c r="I59" s="181"/>
      <c r="J59" s="207"/>
      <c r="K59" s="293"/>
      <c r="L59" s="301"/>
      <c r="M59" s="11"/>
      <c r="N59" s="181"/>
      <c r="O59" s="207"/>
      <c r="P59" s="293"/>
      <c r="Q59" s="30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7"/>
      <c r="C60" s="298"/>
      <c r="D60" s="162"/>
      <c r="E60" s="162"/>
      <c r="F60" s="302"/>
      <c r="G60" s="11"/>
      <c r="H60" s="11"/>
      <c r="I60" s="287"/>
      <c r="J60" s="162"/>
      <c r="K60" s="294"/>
      <c r="L60" s="302"/>
      <c r="M60" s="11"/>
      <c r="N60" s="287"/>
      <c r="O60" s="162"/>
      <c r="P60" s="294"/>
      <c r="Q60" s="302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9FADE1F-C18D-4177-9188-2E8A55B0CCD1}">
          <x14:formula1>
            <xm:f>Sources!$D$14:$D$21</xm:f>
          </x14:formula1>
          <xm:sqref>C11:C23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Systemblatt!$N$5:$N$9</xm:f>
          </x14:formula1>
          <xm:sqref>K11 K29:K39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N48:N60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J29:J40 J11:J22 B39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0A6C-4743-4FFE-BD33-048604A28EA1}">
  <sheetPr codeName="Tabelle12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7" width="15.26953125" style="3" customWidth="1"/>
    <col min="18" max="18" width="17.81640625" style="3" bestFit="1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4" width="19.453125" style="3" bestFit="1" customWidth="1"/>
    <col min="25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9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94"/>
      <c r="AJ3" s="94"/>
      <c r="AK3" s="95"/>
      <c r="AL3" s="5"/>
      <c r="AM3" s="5"/>
      <c r="AN3" s="5"/>
      <c r="AO3" s="5"/>
    </row>
    <row r="4" spans="1:41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6"/>
      <c r="AL4" s="5"/>
      <c r="AM4" s="5"/>
      <c r="AN4" s="5"/>
      <c r="AO4" s="5"/>
    </row>
    <row r="5" spans="1:41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6"/>
      <c r="AL5" s="5"/>
      <c r="AM5" s="5"/>
      <c r="AN5" s="5"/>
      <c r="AO5" s="5"/>
    </row>
    <row r="6" spans="1:41" x14ac:dyDescent="0.35">
      <c r="A6" s="5"/>
      <c r="B6" s="5"/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86"/>
      <c r="AL6" s="5"/>
      <c r="AM6" s="5"/>
      <c r="AN6" s="5"/>
      <c r="AO6" s="5"/>
    </row>
    <row r="7" spans="1:41" ht="15" thickBot="1" x14ac:dyDescent="0.4">
      <c r="A7" s="5"/>
      <c r="B7" s="5"/>
      <c r="C7" s="85"/>
      <c r="AK7" s="86"/>
      <c r="AL7" s="5"/>
      <c r="AM7" s="5"/>
      <c r="AN7" s="5"/>
      <c r="AO7" s="5"/>
    </row>
    <row r="8" spans="1:41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17" t="s">
        <v>70</v>
      </c>
      <c r="N8" s="318"/>
      <c r="O8" s="318"/>
      <c r="P8" s="318"/>
      <c r="Q8" s="319"/>
      <c r="R8" s="5"/>
      <c r="S8" s="311" t="s">
        <v>76</v>
      </c>
      <c r="T8" s="312"/>
      <c r="U8" s="313"/>
      <c r="V8" s="12"/>
      <c r="W8" s="314" t="s">
        <v>106</v>
      </c>
      <c r="X8" s="315"/>
      <c r="Y8" s="315"/>
      <c r="Z8" s="316"/>
      <c r="AA8" s="11"/>
      <c r="AB8" s="314" t="s">
        <v>83</v>
      </c>
      <c r="AC8" s="315"/>
      <c r="AD8" s="315"/>
      <c r="AE8" s="315"/>
      <c r="AF8" s="316"/>
      <c r="AG8" s="11"/>
      <c r="AH8" s="314" t="s">
        <v>7</v>
      </c>
      <c r="AI8" s="315"/>
      <c r="AJ8" s="316"/>
      <c r="AK8" s="86"/>
      <c r="AL8" s="5"/>
      <c r="AM8" s="5"/>
      <c r="AN8" s="5"/>
      <c r="AO8" s="5"/>
    </row>
    <row r="9" spans="1:41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6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155</v>
      </c>
      <c r="Y9" s="199" t="s">
        <v>156</v>
      </c>
      <c r="Z9" s="200" t="s">
        <v>157</v>
      </c>
      <c r="AA9" s="11"/>
      <c r="AB9" s="84" t="s">
        <v>80</v>
      </c>
      <c r="AC9" s="84" t="s">
        <v>79</v>
      </c>
      <c r="AD9" s="84" t="s">
        <v>81</v>
      </c>
      <c r="AE9" s="84" t="s">
        <v>33</v>
      </c>
      <c r="AF9" s="84" t="s">
        <v>82</v>
      </c>
      <c r="AG9" s="11"/>
      <c r="AH9" s="177" t="s">
        <v>33</v>
      </c>
      <c r="AI9" s="177" t="s">
        <v>0</v>
      </c>
      <c r="AJ9" s="177" t="s">
        <v>121</v>
      </c>
      <c r="AK9" s="86"/>
      <c r="AL9" s="5"/>
      <c r="AM9" s="5"/>
      <c r="AN9" s="5"/>
      <c r="AO9" s="5"/>
    </row>
    <row r="10" spans="1:41" ht="18.5" x14ac:dyDescent="0.45">
      <c r="A10" s="5"/>
      <c r="B10" s="5"/>
      <c r="C10" s="85"/>
      <c r="D10" s="66" t="s">
        <v>1</v>
      </c>
      <c r="E10" s="67" t="s">
        <v>306</v>
      </c>
      <c r="F10" s="213" t="s">
        <v>178</v>
      </c>
      <c r="G10" s="5"/>
      <c r="H10" s="66" t="s">
        <v>2</v>
      </c>
      <c r="I10" s="67"/>
      <c r="J10" s="95" t="s">
        <v>178</v>
      </c>
      <c r="K10" s="17"/>
      <c r="L10" s="5"/>
      <c r="M10" s="66" t="s">
        <v>73</v>
      </c>
      <c r="N10" s="178">
        <v>2</v>
      </c>
      <c r="O10" s="178"/>
      <c r="P10" s="179"/>
      <c r="Q10" s="180"/>
      <c r="R10" s="5" t="s">
        <v>194</v>
      </c>
      <c r="S10" s="102">
        <v>4000</v>
      </c>
      <c r="T10" s="103" t="s">
        <v>284</v>
      </c>
      <c r="U10" s="104">
        <v>1</v>
      </c>
      <c r="V10" s="105"/>
      <c r="W10" s="137">
        <v>11</v>
      </c>
      <c r="X10" s="82">
        <v>4000</v>
      </c>
      <c r="Y10" s="138"/>
      <c r="Z10" s="136"/>
      <c r="AA10" s="74"/>
      <c r="AB10" s="102"/>
      <c r="AC10" s="103"/>
      <c r="AD10" s="103"/>
      <c r="AE10" s="103"/>
      <c r="AF10" s="69"/>
      <c r="AG10" s="119"/>
      <c r="AH10" s="139" t="s">
        <v>284</v>
      </c>
      <c r="AI10" s="82">
        <v>0.11</v>
      </c>
      <c r="AJ10" s="163" t="s">
        <v>14</v>
      </c>
      <c r="AK10" s="86"/>
      <c r="AL10" s="5"/>
      <c r="AM10" s="5"/>
      <c r="AN10" s="5"/>
      <c r="AO10" s="5"/>
    </row>
    <row r="11" spans="1:41" ht="19" thickBot="1" x14ac:dyDescent="0.5">
      <c r="A11" s="5"/>
      <c r="B11" s="5"/>
      <c r="C11" s="85"/>
      <c r="D11" s="68" t="s">
        <v>3</v>
      </c>
      <c r="E11" s="69">
        <v>555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02"/>
      <c r="AI11" s="74"/>
      <c r="AJ11" s="91"/>
      <c r="AK11" s="86"/>
      <c r="AL11" s="5"/>
      <c r="AM11" s="5"/>
      <c r="AN11" s="5"/>
      <c r="AO11" s="5"/>
    </row>
    <row r="12" spans="1:41" ht="18.5" x14ac:dyDescent="0.45">
      <c r="A12" s="5"/>
      <c r="B12" s="5"/>
      <c r="C12" s="85"/>
      <c r="D12" s="68" t="s">
        <v>40</v>
      </c>
      <c r="E12" s="259" t="s">
        <v>226</v>
      </c>
      <c r="F12" s="213" t="s">
        <v>178</v>
      </c>
      <c r="G12" s="5"/>
      <c r="H12" s="68" t="s">
        <v>66</v>
      </c>
      <c r="I12" s="104">
        <v>1</v>
      </c>
      <c r="J12" s="86" t="str">
        <f>J15</f>
        <v>t/h</v>
      </c>
      <c r="K12" s="78"/>
      <c r="L12" s="78"/>
      <c r="M12" s="246" t="s">
        <v>75</v>
      </c>
      <c r="N12" s="254" t="s">
        <v>173</v>
      </c>
      <c r="O12" s="178"/>
      <c r="P12" s="179"/>
      <c r="Q12" s="180"/>
      <c r="R12" s="113"/>
      <c r="S12" s="108"/>
      <c r="T12" s="124"/>
      <c r="U12" s="69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2"/>
      <c r="AI12" s="74"/>
      <c r="AJ12" s="91"/>
      <c r="AK12" s="86"/>
      <c r="AL12" s="5"/>
      <c r="AM12" s="5"/>
      <c r="AN12" s="5"/>
      <c r="AO12" s="5"/>
    </row>
    <row r="13" spans="1:41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0.2</v>
      </c>
      <c r="J13" s="86" t="s">
        <v>178</v>
      </c>
      <c r="K13" s="78"/>
      <c r="L13" s="78"/>
      <c r="M13" s="247"/>
      <c r="N13" s="125" t="s">
        <v>169</v>
      </c>
      <c r="O13" s="74"/>
      <c r="P13" s="74"/>
      <c r="Q13" s="69"/>
      <c r="R13" s="113"/>
      <c r="S13" s="108"/>
      <c r="T13" s="119"/>
      <c r="U13" s="69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2"/>
      <c r="AI13" s="74"/>
      <c r="AJ13" s="91"/>
      <c r="AK13" s="86"/>
      <c r="AL13" s="5"/>
      <c r="AM13" s="5"/>
      <c r="AN13" s="5"/>
      <c r="AO13" s="5"/>
    </row>
    <row r="14" spans="1:41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248"/>
      <c r="N14" s="108" t="s">
        <v>172</v>
      </c>
      <c r="O14" s="78"/>
      <c r="P14" s="78"/>
      <c r="Q14" s="81"/>
      <c r="R14" s="113"/>
      <c r="S14" s="108"/>
      <c r="T14" s="74"/>
      <c r="U14" s="69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2"/>
      <c r="AI14" s="74"/>
      <c r="AJ14" s="91"/>
      <c r="AK14" s="86"/>
      <c r="AL14" s="5"/>
      <c r="AM14" s="5"/>
      <c r="AN14" s="5"/>
      <c r="AO14" s="5"/>
    </row>
    <row r="15" spans="1:41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248"/>
      <c r="N15" s="109"/>
      <c r="O15" s="78"/>
      <c r="P15" s="78"/>
      <c r="Q15" s="81"/>
      <c r="R15" s="113"/>
      <c r="S15" s="108"/>
      <c r="T15" s="74"/>
      <c r="U15" s="69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2"/>
      <c r="AI15" s="74"/>
      <c r="AJ15" s="91"/>
      <c r="AK15" s="86"/>
      <c r="AL15" s="5"/>
      <c r="AM15" s="5"/>
      <c r="AN15" s="5"/>
      <c r="AO15" s="5"/>
    </row>
    <row r="16" spans="1:41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173</v>
      </c>
      <c r="J16" s="216" t="s">
        <v>178</v>
      </c>
      <c r="K16" s="78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8"/>
      <c r="AI16" s="74"/>
      <c r="AJ16" s="91"/>
      <c r="AK16" s="86"/>
      <c r="AL16" s="5"/>
      <c r="AM16" s="5"/>
      <c r="AN16" s="5"/>
      <c r="AO16" s="5"/>
    </row>
    <row r="17" spans="1:41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75"/>
      <c r="I17" s="242" t="s">
        <v>169</v>
      </c>
      <c r="J17" s="213" t="s">
        <v>178</v>
      </c>
      <c r="K17" s="78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8"/>
      <c r="AI17" s="74"/>
      <c r="AJ17" s="91"/>
      <c r="AK17" s="86"/>
      <c r="AL17" s="5"/>
      <c r="AM17" s="5"/>
      <c r="AN17" s="5"/>
      <c r="AO17" s="5"/>
    </row>
    <row r="18" spans="1:41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172</v>
      </c>
      <c r="J18" s="213" t="s">
        <v>178</v>
      </c>
      <c r="K18" s="78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8"/>
      <c r="AI18" s="74"/>
      <c r="AJ18" s="91"/>
      <c r="AK18" s="86"/>
      <c r="AL18" s="5"/>
      <c r="AM18" s="5"/>
      <c r="AN18" s="5"/>
      <c r="AO18" s="5"/>
    </row>
    <row r="19" spans="1:41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/>
      <c r="J19" s="213" t="s">
        <v>178</v>
      </c>
      <c r="K19" s="78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8"/>
      <c r="AI19" s="74"/>
      <c r="AJ19" s="91"/>
      <c r="AK19" s="86"/>
      <c r="AL19" s="5"/>
      <c r="AM19" s="5"/>
      <c r="AN19" s="5"/>
      <c r="AO19" s="5"/>
    </row>
    <row r="20" spans="1:41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78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8"/>
      <c r="AI20" s="74"/>
      <c r="AJ20" s="91"/>
      <c r="AK20" s="86"/>
      <c r="AL20" s="5"/>
      <c r="AM20" s="5"/>
      <c r="AN20" s="5"/>
      <c r="AO20" s="5"/>
    </row>
    <row r="21" spans="1:41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78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8"/>
      <c r="AI21" s="74"/>
      <c r="AJ21" s="91"/>
      <c r="AK21" s="86"/>
      <c r="AL21" s="5"/>
      <c r="AM21" s="5"/>
      <c r="AN21" s="5"/>
      <c r="AO21" s="5"/>
    </row>
    <row r="22" spans="1:41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78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8"/>
      <c r="AI22" s="74"/>
      <c r="AJ22" s="91"/>
      <c r="AK22" s="86"/>
      <c r="AL22" s="5"/>
      <c r="AM22" s="5"/>
      <c r="AN22" s="5"/>
      <c r="AO22" s="5"/>
    </row>
    <row r="23" spans="1:41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78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8"/>
      <c r="AI23" s="74"/>
      <c r="AJ23" s="91"/>
      <c r="AK23" s="86"/>
      <c r="AL23" s="5"/>
      <c r="AM23" s="5"/>
      <c r="AN23" s="5"/>
      <c r="AO23" s="5"/>
    </row>
    <row r="24" spans="1:41" ht="18.5" x14ac:dyDescent="0.45">
      <c r="A24" s="5"/>
      <c r="B24" s="5"/>
      <c r="C24" s="85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78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8"/>
      <c r="AI24" s="74"/>
      <c r="AJ24" s="91"/>
      <c r="AK24" s="86"/>
      <c r="AL24" s="5"/>
      <c r="AM24" s="5"/>
      <c r="AN24" s="5"/>
      <c r="AO24" s="5"/>
    </row>
    <row r="25" spans="1:41" ht="18.5" x14ac:dyDescent="0.45">
      <c r="A25" s="5"/>
      <c r="B25" s="5"/>
      <c r="C25" s="85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78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4"/>
      <c r="AJ25" s="91"/>
      <c r="AK25" s="86"/>
      <c r="AL25" s="5"/>
      <c r="AM25" s="5"/>
      <c r="AN25" s="5"/>
      <c r="AO25" s="5"/>
    </row>
    <row r="26" spans="1:41" ht="19" thickBot="1" x14ac:dyDescent="0.5">
      <c r="A26" s="5"/>
      <c r="B26" s="5"/>
      <c r="C26" s="85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78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4"/>
      <c r="AJ26" s="91"/>
      <c r="AK26" s="86"/>
      <c r="AL26" s="5"/>
      <c r="AM26" s="5"/>
      <c r="AN26" s="5"/>
      <c r="AO26" s="5"/>
    </row>
    <row r="27" spans="1:41" ht="19" thickBot="1" x14ac:dyDescent="0.5">
      <c r="A27" s="5"/>
      <c r="B27" s="5"/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78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5"/>
      <c r="AK27" s="86"/>
      <c r="AL27" s="5"/>
      <c r="AM27" s="5"/>
      <c r="AN27" s="5"/>
      <c r="AO27" s="5"/>
    </row>
    <row r="28" spans="1:41" x14ac:dyDescent="0.35">
      <c r="A28" s="5"/>
      <c r="B28" s="5"/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6"/>
      <c r="AL28" s="5"/>
      <c r="AM28" s="5"/>
      <c r="AN28" s="5"/>
      <c r="AO28" s="5"/>
    </row>
    <row r="29" spans="1:41" x14ac:dyDescent="0.35">
      <c r="A29" s="5"/>
      <c r="B29" s="5"/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6"/>
      <c r="AL29" s="5"/>
      <c r="AM29" s="5"/>
      <c r="AN29" s="5"/>
      <c r="AO29" s="5"/>
    </row>
    <row r="30" spans="1:41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6"/>
      <c r="AL30" s="5"/>
      <c r="AM30" s="5"/>
      <c r="AN30" s="5"/>
      <c r="AO30" s="5"/>
    </row>
    <row r="31" spans="1:41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6"/>
      <c r="AL31" s="5"/>
      <c r="AM31" s="5"/>
      <c r="AN31" s="5"/>
      <c r="AO31" s="5"/>
    </row>
    <row r="32" spans="1:41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6"/>
      <c r="AL32" s="5"/>
      <c r="AM32" s="5"/>
      <c r="AN32" s="5"/>
      <c r="AO32" s="5"/>
    </row>
    <row r="33" spans="1:41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6"/>
      <c r="AL33" s="5"/>
      <c r="AM33" s="5"/>
      <c r="AN33" s="5"/>
      <c r="AO33" s="5"/>
    </row>
    <row r="34" spans="1:41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6"/>
      <c r="AL34" s="5"/>
      <c r="AM34" s="5"/>
      <c r="AN34" s="5"/>
      <c r="AO34" s="5"/>
    </row>
    <row r="35" spans="1:41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6"/>
      <c r="AL35" s="5"/>
      <c r="AM35" s="5"/>
      <c r="AN35" s="5"/>
      <c r="AO35" s="5"/>
    </row>
    <row r="36" spans="1:41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6"/>
      <c r="AL36" s="5"/>
      <c r="AM36" s="5"/>
      <c r="AN36" s="5"/>
      <c r="AO36" s="5"/>
    </row>
    <row r="37" spans="1:41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6"/>
      <c r="AL37" s="5"/>
      <c r="AM37" s="5"/>
      <c r="AN37" s="5"/>
      <c r="AO37" s="5"/>
    </row>
    <row r="38" spans="1:41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6"/>
      <c r="AL38" s="5"/>
      <c r="AM38" s="5"/>
      <c r="AN38" s="5"/>
      <c r="AO38" s="5"/>
    </row>
    <row r="39" spans="1:41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6"/>
      <c r="AL39" s="5"/>
      <c r="AM39" s="5"/>
      <c r="AN39" s="5"/>
      <c r="AO39" s="5"/>
    </row>
    <row r="40" spans="1:41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6"/>
      <c r="AL40" s="5"/>
      <c r="AM40" s="5"/>
      <c r="AN40" s="5"/>
      <c r="AO40" s="5"/>
    </row>
    <row r="41" spans="1:41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6"/>
      <c r="AL41" s="5"/>
      <c r="AM41" s="5"/>
      <c r="AN41" s="5"/>
      <c r="AO41" s="5"/>
    </row>
    <row r="42" spans="1:41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6"/>
      <c r="AL42" s="5"/>
      <c r="AM42" s="5"/>
      <c r="AN42" s="5"/>
      <c r="AO42" s="5"/>
    </row>
    <row r="43" spans="1:41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6"/>
      <c r="AL43" s="5"/>
      <c r="AM43" s="5"/>
      <c r="AN43" s="5"/>
      <c r="AO43" s="5"/>
    </row>
    <row r="44" spans="1:41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6"/>
      <c r="AL44" s="5"/>
      <c r="AM44" s="5"/>
      <c r="AN44" s="5"/>
      <c r="AO44" s="5"/>
    </row>
    <row r="45" spans="1:41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6"/>
      <c r="AL45" s="5"/>
      <c r="AM45" s="5"/>
      <c r="AN45" s="5"/>
      <c r="AO45" s="5"/>
    </row>
    <row r="46" spans="1:41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6"/>
      <c r="AL46" s="5"/>
      <c r="AM46" s="5"/>
      <c r="AN46" s="5"/>
      <c r="AO46" s="5"/>
    </row>
    <row r="47" spans="1:41" ht="18.5" x14ac:dyDescent="0.35">
      <c r="A47" s="5"/>
      <c r="B47" s="5"/>
      <c r="C47" s="85"/>
      <c r="D47" s="5"/>
      <c r="E47" s="5"/>
      <c r="F47" s="5"/>
      <c r="G47" s="5"/>
      <c r="H47" s="5"/>
      <c r="I47" s="5"/>
      <c r="J47" s="5"/>
      <c r="K47" s="97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6"/>
      <c r="AL47" s="5"/>
      <c r="AM47" s="5"/>
      <c r="AN47" s="5"/>
      <c r="AO47" s="5"/>
    </row>
    <row r="48" spans="1:41" ht="15.5" x14ac:dyDescent="0.35">
      <c r="A48" s="5"/>
      <c r="B48" s="5"/>
      <c r="C48" s="85"/>
      <c r="D48" s="5"/>
      <c r="E48" s="5"/>
      <c r="F48" s="5"/>
      <c r="G48" s="5"/>
      <c r="H48" s="5"/>
      <c r="I48" s="5"/>
      <c r="J48" s="5"/>
      <c r="K48" s="9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6"/>
      <c r="AL48" s="5"/>
      <c r="AM48" s="5"/>
      <c r="AN48" s="5"/>
      <c r="AO48" s="5"/>
    </row>
    <row r="49" spans="1:41" ht="15.5" x14ac:dyDescent="0.35">
      <c r="A49" s="5"/>
      <c r="B49" s="5"/>
      <c r="C49" s="85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6"/>
      <c r="AL49" s="5"/>
      <c r="AM49" s="5"/>
      <c r="AN49" s="5"/>
      <c r="AO49" s="5"/>
    </row>
    <row r="50" spans="1:41" ht="15.5" x14ac:dyDescent="0.35">
      <c r="A50" s="5"/>
      <c r="B50" s="5"/>
      <c r="C50" s="85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6"/>
      <c r="AL50" s="5"/>
      <c r="AM50" s="5"/>
      <c r="AN50" s="5"/>
      <c r="AO50" s="5"/>
    </row>
    <row r="51" spans="1:41" ht="15.5" x14ac:dyDescent="0.35">
      <c r="A51" s="5"/>
      <c r="B51" s="5"/>
      <c r="C51" s="85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6"/>
      <c r="AL51" s="5"/>
      <c r="AM51" s="5"/>
      <c r="AN51" s="5"/>
      <c r="AO51" s="5"/>
    </row>
    <row r="52" spans="1:41" ht="15.5" x14ac:dyDescent="0.35">
      <c r="A52" s="5"/>
      <c r="B52" s="5"/>
      <c r="C52" s="85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6"/>
      <c r="AL52" s="5"/>
      <c r="AM52" s="5"/>
      <c r="AN52" s="5"/>
      <c r="AO52" s="5"/>
    </row>
    <row r="53" spans="1:41" ht="15.5" x14ac:dyDescent="0.35">
      <c r="A53" s="5"/>
      <c r="B53" s="5"/>
      <c r="C53" s="85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6"/>
      <c r="AL53" s="5"/>
      <c r="AM53" s="5"/>
      <c r="AN53" s="5"/>
      <c r="AO53" s="5"/>
    </row>
    <row r="54" spans="1:41" ht="15.5" x14ac:dyDescent="0.35">
      <c r="A54" s="5"/>
      <c r="B54" s="5"/>
      <c r="C54" s="85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6"/>
      <c r="AL54" s="5"/>
      <c r="AM54" s="5"/>
      <c r="AN54" s="5"/>
      <c r="AO54" s="5"/>
    </row>
    <row r="55" spans="1:41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6"/>
      <c r="AL55" s="5"/>
      <c r="AM55" s="5"/>
      <c r="AN55" s="5"/>
      <c r="AO55" s="5"/>
    </row>
    <row r="56" spans="1:41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6"/>
      <c r="AL56" s="5"/>
      <c r="AM56" s="5"/>
      <c r="AN56" s="5"/>
      <c r="AO56" s="5"/>
    </row>
    <row r="57" spans="1:41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6"/>
      <c r="AL57" s="5"/>
      <c r="AM57" s="5"/>
      <c r="AN57" s="5"/>
      <c r="AO57" s="5"/>
    </row>
    <row r="58" spans="1:41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6"/>
      <c r="AL58" s="5"/>
      <c r="AM58" s="5"/>
      <c r="AN58" s="5"/>
      <c r="AO58" s="5"/>
    </row>
    <row r="59" spans="1:41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6"/>
      <c r="AL59" s="5"/>
      <c r="AM59" s="5"/>
      <c r="AN59" s="5"/>
      <c r="AO59" s="5"/>
    </row>
    <row r="60" spans="1:41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6"/>
      <c r="AL60" s="5"/>
      <c r="AM60" s="5"/>
      <c r="AN60" s="5"/>
      <c r="AO60" s="5"/>
    </row>
    <row r="61" spans="1:41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6"/>
      <c r="AL61" s="5"/>
      <c r="AM61" s="5"/>
      <c r="AN61" s="5"/>
      <c r="AO61" s="5"/>
    </row>
    <row r="62" spans="1:41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6"/>
      <c r="AL62" s="5"/>
      <c r="AM62" s="5"/>
      <c r="AN62" s="5"/>
      <c r="AO62" s="5"/>
    </row>
    <row r="63" spans="1:41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6"/>
      <c r="AL63" s="5"/>
      <c r="AM63" s="5"/>
      <c r="AN63" s="5"/>
      <c r="AO63" s="5"/>
    </row>
    <row r="64" spans="1:41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6"/>
      <c r="AL64" s="5"/>
      <c r="AM64" s="5"/>
      <c r="AN64" s="5"/>
      <c r="AO64" s="5"/>
    </row>
    <row r="65" spans="1:41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6"/>
      <c r="AL65" s="5"/>
      <c r="AM65" s="5"/>
      <c r="AN65" s="5"/>
      <c r="AO65" s="5"/>
    </row>
    <row r="66" spans="1:41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6"/>
      <c r="AL66" s="5"/>
      <c r="AM66" s="5"/>
      <c r="AN66" s="5"/>
      <c r="AO66" s="5"/>
    </row>
    <row r="67" spans="1:41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6"/>
      <c r="AL67" s="5"/>
      <c r="AM67" s="5"/>
      <c r="AN67" s="5"/>
      <c r="AO67" s="5"/>
    </row>
    <row r="68" spans="1:41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6"/>
      <c r="AL68" s="5"/>
      <c r="AM68" s="5"/>
      <c r="AN68" s="5"/>
      <c r="AO68" s="5"/>
    </row>
    <row r="69" spans="1:41" x14ac:dyDescent="0.35">
      <c r="A69" s="5"/>
      <c r="B69" s="5"/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6"/>
      <c r="AL69" s="5"/>
      <c r="AM69" s="5"/>
      <c r="AN69" s="5"/>
      <c r="AO69" s="5"/>
    </row>
    <row r="70" spans="1:41" ht="15" thickBot="1" x14ac:dyDescent="0.4">
      <c r="A70" s="5"/>
      <c r="B70" s="5"/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6">
    <mergeCell ref="D6:E6"/>
    <mergeCell ref="H6:I6"/>
    <mergeCell ref="M6:P6"/>
    <mergeCell ref="S6:AF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AF91ADB5-D55F-465B-AB9A-1B8852CCF633}">
          <x14:formula1>
            <xm:f>DataBank!$A$3:$A$11</xm:f>
          </x14:formula1>
          <xm:sqref>N11</xm:sqref>
        </x14:dataValidation>
        <x14:dataValidation type="list" allowBlank="1" showInputMessage="1" showErrorMessage="1" xr:uid="{2B502081-4938-45BC-97BA-4B89C6F5D82A}">
          <x14:formula1>
            <xm:f>Sources!$E$6:$O$6</xm:f>
          </x14:formula1>
          <xm:sqref>O13:Q13</xm:sqref>
        </x14:dataValidation>
        <x14:dataValidation type="list" allowBlank="1" showInputMessage="1" showErrorMessage="1" xr:uid="{58C2537A-A72F-4BEF-9473-72268FC8E19E}">
          <x14:formula1>
            <xm:f>DataBank!$B$2:$B$3</xm:f>
          </x14:formula1>
          <xm:sqref>J15</xm:sqref>
        </x14:dataValidation>
        <x14:dataValidation type="list" allowBlank="1" showInputMessage="1" showErrorMessage="1" xr:uid="{08A55661-1EFB-47D8-852D-B1BCC5252CB2}">
          <x14:formula1>
            <xm:f>DataBank!$C$2:$C$7</xm:f>
          </x14:formula1>
          <xm:sqref>I15</xm:sqref>
        </x14:dataValidation>
        <x14:dataValidation type="list" allowBlank="1" showInputMessage="1" showErrorMessage="1" xr:uid="{D7E88136-5A5B-4950-BE64-AD4295F09CA7}">
          <x14:formula1>
            <xm:f>Sources!$E$7:$O$7</xm:f>
          </x14:formula1>
          <xm:sqref>W10:W27</xm:sqref>
        </x14:dataValidation>
        <x14:dataValidation type="list" allowBlank="1" showInputMessage="1" showErrorMessage="1" xr:uid="{2B2AED95-14B6-410B-8BC1-9282E260BE0C}">
          <x14:formula1>
            <xm:f>DataBank!$K$17:$K$18</xm:f>
          </x14:formula1>
          <xm:sqref>E26</xm:sqref>
        </x14:dataValidation>
        <x14:dataValidation type="list" allowBlank="1" showInputMessage="1" showErrorMessage="1" xr:uid="{D9C9FCEF-65C0-411A-B9B7-B33992EB2026}">
          <x14:formula1>
            <xm:f>DataBank!$A$3:$A$10</xm:f>
          </x14:formula1>
          <xm:sqref>O11:Q11</xm:sqref>
        </x14:dataValidation>
        <x14:dataValidation type="list" allowBlank="1" showInputMessage="1" showErrorMessage="1" xr:uid="{22224F39-D321-49BA-984B-58418B3D0A2C}">
          <x14:formula1>
            <xm:f>DataBank!$A$3:$A$4</xm:f>
          </x14:formula1>
          <xm:sqref>AB10 AD10</xm:sqref>
        </x14:dataValidation>
        <x14:dataValidation type="whole" allowBlank="1" showInputMessage="1" showErrorMessage="1" xr:uid="{2ECE309A-BF5C-4179-8F16-6FB49B94655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786BFEF-22CD-4500-8AAF-69F4D8E53DC9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7F9B2EDA-0221-4236-AFD9-466DC6B29AF5}">
          <x14:formula1>
            <xm:f>Systemblatt!$F$5:$F$11</xm:f>
          </x14:formula1>
          <xm:sqref>AH28:AH30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6" zoomScale="91" zoomScaleNormal="91" workbookViewId="0">
      <selection activeCell="K36" sqref="K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100" t="s">
        <v>77</v>
      </c>
      <c r="T9" s="100" t="s">
        <v>33</v>
      </c>
      <c r="U9" s="100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213</v>
      </c>
      <c r="F10" s="213" t="s">
        <v>178</v>
      </c>
      <c r="G10" s="5"/>
      <c r="H10" s="68" t="s">
        <v>2</v>
      </c>
      <c r="I10" s="69"/>
      <c r="J10" s="216" t="s">
        <v>178</v>
      </c>
      <c r="K10" s="5"/>
      <c r="L10" s="5"/>
      <c r="M10" s="66" t="s">
        <v>73</v>
      </c>
      <c r="N10" s="178">
        <v>0.5</v>
      </c>
      <c r="O10" s="178"/>
      <c r="P10" s="179"/>
      <c r="Q10" s="180"/>
      <c r="R10" s="5" t="s">
        <v>194</v>
      </c>
      <c r="S10" s="139">
        <v>888</v>
      </c>
      <c r="T10" s="140" t="s">
        <v>171</v>
      </c>
      <c r="U10" s="101">
        <v>1</v>
      </c>
      <c r="V10" s="83"/>
      <c r="W10" s="137">
        <v>11</v>
      </c>
      <c r="X10" s="82">
        <v>888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100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 t="s">
        <v>12</v>
      </c>
      <c r="O11" s="124"/>
      <c r="P11" s="78"/>
      <c r="Q11" s="126"/>
      <c r="R11" s="5" t="s">
        <v>188</v>
      </c>
      <c r="S11" s="102">
        <v>888</v>
      </c>
      <c r="T11" s="103" t="s">
        <v>172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75" t="s">
        <v>75</v>
      </c>
      <c r="N12" s="245" t="s">
        <v>173</v>
      </c>
      <c r="O12" s="124"/>
      <c r="P12" s="78"/>
      <c r="Q12" s="126"/>
      <c r="R12" s="5"/>
      <c r="S12" s="102">
        <v>888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/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75"/>
      <c r="N13" s="245" t="s">
        <v>172</v>
      </c>
      <c r="O13" s="74"/>
      <c r="P13" s="74"/>
      <c r="Q13" s="69"/>
      <c r="R13" s="5"/>
      <c r="S13" s="102">
        <v>888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20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 t="s">
        <v>171</v>
      </c>
      <c r="O14" s="78"/>
      <c r="P14" s="78"/>
      <c r="Q14" s="81"/>
      <c r="R14" s="5"/>
      <c r="S14" s="102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5"/>
      <c r="L15" s="5"/>
      <c r="M15" s="76"/>
      <c r="N15" s="78" t="s">
        <v>169</v>
      </c>
      <c r="O15" s="78"/>
      <c r="P15" s="78"/>
      <c r="Q15" s="81"/>
      <c r="R15" s="5"/>
      <c r="S15" s="50"/>
      <c r="T15" s="103"/>
      <c r="U15" s="104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172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50"/>
      <c r="T16" s="103"/>
      <c r="U16" s="104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242" t="s">
        <v>173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50"/>
      <c r="T17" s="124"/>
      <c r="U17" s="126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242" t="s">
        <v>171</v>
      </c>
      <c r="J18" s="213" t="s">
        <v>178</v>
      </c>
      <c r="K18" s="5"/>
      <c r="L18" s="5"/>
      <c r="M18" s="76"/>
      <c r="N18" s="78"/>
      <c r="O18" s="78"/>
      <c r="P18" s="78"/>
      <c r="Q18" s="81"/>
      <c r="R18" s="5"/>
      <c r="S18" s="50"/>
      <c r="T18" s="119"/>
      <c r="U18" s="120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242" t="s">
        <v>169</v>
      </c>
      <c r="J19" s="213" t="s">
        <v>178</v>
      </c>
      <c r="K19" s="5"/>
      <c r="L19" s="5"/>
      <c r="M19" s="76"/>
      <c r="N19" s="78"/>
      <c r="O19" s="78"/>
      <c r="P19" s="78"/>
      <c r="Q19" s="81"/>
      <c r="R19" s="5"/>
      <c r="S19" s="50"/>
      <c r="T19" s="74"/>
      <c r="U19" s="30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242"/>
      <c r="J20" s="213" t="s">
        <v>178</v>
      </c>
      <c r="K20" s="5"/>
      <c r="L20" s="5"/>
      <c r="M20" s="109"/>
      <c r="N20" s="78"/>
      <c r="O20" s="78"/>
      <c r="P20" s="78"/>
      <c r="Q20" s="81"/>
      <c r="R20" s="5"/>
      <c r="S20" s="50"/>
      <c r="T20" s="103"/>
      <c r="U20" s="104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109"/>
      <c r="N21" s="78"/>
      <c r="O21" s="78"/>
      <c r="P21" s="78"/>
      <c r="Q21" s="81"/>
      <c r="R21" s="5"/>
      <c r="S21" s="50"/>
      <c r="T21" s="103"/>
      <c r="U21" s="104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109"/>
      <c r="N22" s="78"/>
      <c r="O22" s="78"/>
      <c r="P22" s="78"/>
      <c r="Q22" s="81"/>
      <c r="R22" s="5"/>
      <c r="S22" s="50"/>
      <c r="T22" s="124"/>
      <c r="U22" s="126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109"/>
      <c r="N23" s="78"/>
      <c r="O23" s="78"/>
      <c r="P23" s="78"/>
      <c r="Q23" s="81"/>
      <c r="R23" s="5"/>
      <c r="S23" s="50"/>
      <c r="T23" s="119"/>
      <c r="U23" s="120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109"/>
      <c r="N24" s="78"/>
      <c r="O24" s="78"/>
      <c r="P24" s="78"/>
      <c r="Q24" s="81"/>
      <c r="R24" s="5"/>
      <c r="S24" s="50"/>
      <c r="T24" s="74"/>
      <c r="U24" s="30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109"/>
      <c r="N26" s="78"/>
      <c r="O26" s="78"/>
      <c r="P26" s="78"/>
      <c r="Q26" s="81"/>
      <c r="R26" s="5"/>
      <c r="S26" s="218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244"/>
      <c r="J27" s="214" t="s">
        <v>178</v>
      </c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/>
      <c r="P10" s="179"/>
      <c r="Q10" s="180"/>
      <c r="R10" s="5"/>
      <c r="S10" s="50">
        <v>220</v>
      </c>
      <c r="T10" s="103" t="s">
        <v>171</v>
      </c>
      <c r="U10" s="104">
        <v>1</v>
      </c>
      <c r="V10" s="83"/>
      <c r="W10" s="137"/>
      <c r="X10" s="82">
        <v>220</v>
      </c>
      <c r="Y10" s="138"/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8.5" x14ac:dyDescent="0.45">
      <c r="A11" s="5"/>
      <c r="B11" s="5"/>
      <c r="C11" s="85"/>
      <c r="D11" s="68" t="s">
        <v>3</v>
      </c>
      <c r="E11" s="69">
        <v>999</v>
      </c>
      <c r="F11" s="213" t="s">
        <v>178</v>
      </c>
      <c r="G11" s="5"/>
      <c r="H11" s="68" t="s">
        <v>65</v>
      </c>
      <c r="I11" s="104">
        <v>1.0000000000000001E-9</v>
      </c>
      <c r="J11" s="213" t="s">
        <v>187</v>
      </c>
      <c r="K11" s="5"/>
      <c r="L11" s="5"/>
      <c r="M11" s="75" t="s">
        <v>74</v>
      </c>
      <c r="N11" s="124"/>
      <c r="O11" s="124"/>
      <c r="P11" s="78"/>
      <c r="Q11" s="126"/>
      <c r="R11" s="5"/>
      <c r="S11" s="50">
        <v>220</v>
      </c>
      <c r="T11" s="103" t="s">
        <v>172</v>
      </c>
      <c r="U11" s="104">
        <v>1</v>
      </c>
      <c r="V11" s="83"/>
      <c r="W11" s="108"/>
      <c r="X11" s="74">
        <v>230</v>
      </c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60"/>
      <c r="F12" s="213" t="s">
        <v>178</v>
      </c>
      <c r="G12" s="5"/>
      <c r="H12" s="68" t="s">
        <v>66</v>
      </c>
      <c r="I12" s="104">
        <v>1</v>
      </c>
      <c r="J12" s="213" t="str">
        <f>J15</f>
        <v>t/h</v>
      </c>
      <c r="K12" s="5"/>
      <c r="L12" s="5"/>
      <c r="M12" s="75" t="s">
        <v>75</v>
      </c>
      <c r="N12" s="124"/>
      <c r="O12" s="124"/>
      <c r="P12" s="78"/>
      <c r="Q12" s="126"/>
      <c r="R12" s="5"/>
      <c r="S12" s="108">
        <v>220</v>
      </c>
      <c r="T12" s="124" t="s">
        <v>173</v>
      </c>
      <c r="U12" s="126">
        <v>1</v>
      </c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E13" s="69" t="s">
        <v>214</v>
      </c>
      <c r="F13" s="213" t="s">
        <v>178</v>
      </c>
      <c r="G13" s="5"/>
      <c r="H13" s="68" t="s">
        <v>67</v>
      </c>
      <c r="I13" s="104">
        <v>1</v>
      </c>
      <c r="J13" s="213" t="s">
        <v>178</v>
      </c>
      <c r="K13" s="5"/>
      <c r="L13" s="5"/>
      <c r="M13" s="75" t="s">
        <v>191</v>
      </c>
      <c r="N13" s="74"/>
      <c r="O13" s="74"/>
      <c r="P13" s="74"/>
      <c r="Q13" s="69"/>
      <c r="R13" s="5"/>
      <c r="S13" s="108">
        <v>220</v>
      </c>
      <c r="T13" s="119" t="s">
        <v>169</v>
      </c>
      <c r="U13" s="120">
        <v>1</v>
      </c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76"/>
      <c r="N14" s="78"/>
      <c r="O14" s="78"/>
      <c r="P14" s="78"/>
      <c r="Q14" s="81"/>
      <c r="R14" s="5"/>
      <c r="S14" s="50">
        <v>230</v>
      </c>
      <c r="T14" s="74" t="s">
        <v>171</v>
      </c>
      <c r="U14" s="30">
        <v>1</v>
      </c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8.5" x14ac:dyDescent="0.4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76"/>
      <c r="N15" s="78"/>
      <c r="O15" s="78"/>
      <c r="P15" s="78"/>
      <c r="Q15" s="81"/>
      <c r="R15" s="5"/>
      <c r="S15" s="50">
        <v>230</v>
      </c>
      <c r="T15" s="74" t="s">
        <v>172</v>
      </c>
      <c r="U15" s="30">
        <v>1</v>
      </c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8.5" x14ac:dyDescent="0.4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173</v>
      </c>
      <c r="J16" s="213" t="s">
        <v>178</v>
      </c>
      <c r="K16" s="5"/>
      <c r="L16" s="5"/>
      <c r="M16" s="76"/>
      <c r="N16" s="78"/>
      <c r="O16" s="78"/>
      <c r="P16" s="78"/>
      <c r="Q16" s="81"/>
      <c r="R16" s="5"/>
      <c r="S16" s="108">
        <v>230</v>
      </c>
      <c r="T16" s="74" t="s">
        <v>173</v>
      </c>
      <c r="U16" s="69">
        <v>1</v>
      </c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17"/>
      <c r="I17" s="69" t="s">
        <v>171</v>
      </c>
      <c r="J17" s="213" t="s">
        <v>178</v>
      </c>
      <c r="K17" s="5"/>
      <c r="L17" s="5"/>
      <c r="M17" s="76"/>
      <c r="N17" s="78"/>
      <c r="O17" s="78"/>
      <c r="P17" s="78"/>
      <c r="Q17" s="81"/>
      <c r="R17" s="5"/>
      <c r="S17" s="108">
        <v>230</v>
      </c>
      <c r="T17" s="74" t="s">
        <v>169</v>
      </c>
      <c r="U17" s="69">
        <v>1</v>
      </c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76"/>
      <c r="I18" s="69" t="s">
        <v>172</v>
      </c>
      <c r="J18" s="213"/>
      <c r="K18" s="5"/>
      <c r="L18" s="5"/>
      <c r="M18" s="76"/>
      <c r="N18" s="78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69" t="s">
        <v>169</v>
      </c>
      <c r="J19" s="213"/>
      <c r="K19" s="5"/>
      <c r="L19" s="5"/>
      <c r="M19" s="76"/>
      <c r="N19" s="78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69"/>
      <c r="J20" s="213"/>
      <c r="K20" s="5"/>
      <c r="L20" s="5"/>
      <c r="M20" s="109"/>
      <c r="N20" s="78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109"/>
      <c r="N21" s="78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109"/>
      <c r="N22" s="78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109"/>
      <c r="N23" s="78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109"/>
      <c r="N24" s="78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109"/>
      <c r="N25" s="78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109"/>
      <c r="N26" s="78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110"/>
      <c r="N27" s="79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T10:T27 AC10:AC27 AE10:AE27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L1" zoomScale="75" zoomScaleNormal="47" workbookViewId="0">
      <selection activeCell="N11" sqref="N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212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0.5</v>
      </c>
      <c r="O10" s="249"/>
      <c r="P10" s="179"/>
      <c r="Q10" s="180"/>
      <c r="R10" s="5"/>
      <c r="S10" s="102">
        <v>320</v>
      </c>
      <c r="T10" s="103" t="s">
        <v>169</v>
      </c>
      <c r="U10" s="104">
        <v>0.95</v>
      </c>
      <c r="V10" s="83"/>
      <c r="W10" s="137">
        <v>44</v>
      </c>
      <c r="X10" s="82">
        <v>320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250"/>
      <c r="P11" s="78"/>
      <c r="Q11" s="126"/>
      <c r="R11" s="5"/>
      <c r="S11" s="102">
        <v>320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249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242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243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17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243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5"/>
      <c r="L16" s="5"/>
      <c r="M16" s="248"/>
      <c r="N16" s="243"/>
      <c r="O16" s="243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5"/>
      <c r="L17" s="5"/>
      <c r="M17" s="248"/>
      <c r="N17" s="243"/>
      <c r="O17" s="243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182</v>
      </c>
      <c r="G18" s="5"/>
      <c r="H18" s="76"/>
      <c r="I18" s="69" t="s">
        <v>171</v>
      </c>
      <c r="J18" s="213"/>
      <c r="K18" s="5"/>
      <c r="L18" s="5"/>
      <c r="M18" s="248"/>
      <c r="N18" s="243"/>
      <c r="O18" s="243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5"/>
      <c r="L19" s="5"/>
      <c r="M19" s="248"/>
      <c r="N19" s="243"/>
      <c r="O19" s="243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5"/>
      <c r="L20" s="5"/>
      <c r="M20" s="243"/>
      <c r="N20" s="243"/>
      <c r="O20" s="243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5"/>
      <c r="L21" s="5"/>
      <c r="M21" s="243"/>
      <c r="N21" s="243"/>
      <c r="O21" s="243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5"/>
      <c r="L22" s="5"/>
      <c r="M22" s="243"/>
      <c r="N22" s="243"/>
      <c r="O22" s="243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5"/>
      <c r="L23" s="5"/>
      <c r="M23" s="243"/>
      <c r="N23" s="243"/>
      <c r="O23" s="243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81"/>
      <c r="J24" s="175"/>
      <c r="K24" s="11"/>
      <c r="L24" s="11"/>
      <c r="M24" s="243"/>
      <c r="N24" s="243"/>
      <c r="O24" s="243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81"/>
      <c r="J25" s="175"/>
      <c r="K25" s="11"/>
      <c r="L25" s="11"/>
      <c r="M25" s="243"/>
      <c r="N25" s="243"/>
      <c r="O25" s="243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81"/>
      <c r="J26" s="213"/>
      <c r="K26" s="5"/>
      <c r="L26" s="5"/>
      <c r="M26" s="243"/>
      <c r="N26" s="243"/>
      <c r="O26" s="243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5"/>
      <c r="L27" s="5"/>
      <c r="M27" s="244"/>
      <c r="N27" s="244"/>
      <c r="O27" s="244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AC10:AC27 AE10:AE27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G32" sqref="G3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305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0.95</v>
      </c>
      <c r="V10" s="83"/>
      <c r="W10" s="137"/>
      <c r="X10" s="82">
        <v>3000</v>
      </c>
      <c r="Y10" s="138">
        <v>220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320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220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60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H1" zoomScale="75" zoomScaleNormal="47" workbookViewId="0">
      <selection activeCell="V33" sqref="V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232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249">
        <v>0.2</v>
      </c>
      <c r="O10" s="178"/>
      <c r="P10" s="179"/>
      <c r="Q10" s="180"/>
      <c r="R10" s="5" t="s">
        <v>194</v>
      </c>
      <c r="S10" s="102">
        <v>330</v>
      </c>
      <c r="T10" s="103" t="s">
        <v>169</v>
      </c>
      <c r="U10" s="104">
        <v>0.75</v>
      </c>
      <c r="V10" s="83"/>
      <c r="W10" s="137">
        <v>44</v>
      </c>
      <c r="X10" s="82">
        <v>330</v>
      </c>
      <c r="Y10" s="138"/>
      <c r="Z10" s="136"/>
      <c r="AA10" s="15"/>
      <c r="AB10" s="135" t="s">
        <v>12</v>
      </c>
      <c r="AC10" s="82" t="s">
        <v>172</v>
      </c>
      <c r="AD10" s="138" t="s">
        <v>12</v>
      </c>
      <c r="AE10" s="82" t="s">
        <v>230</v>
      </c>
      <c r="AF10" s="136">
        <v>10</v>
      </c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230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250" t="s">
        <v>12</v>
      </c>
      <c r="O11" s="124"/>
      <c r="P11" s="78"/>
      <c r="Q11" s="126"/>
      <c r="R11" s="5" t="s">
        <v>188</v>
      </c>
      <c r="S11" s="102">
        <v>330</v>
      </c>
      <c r="T11" s="103" t="s">
        <v>230</v>
      </c>
      <c r="U11" s="104">
        <v>1</v>
      </c>
      <c r="V11" s="83"/>
      <c r="W11" s="108"/>
      <c r="X11" s="74"/>
      <c r="Y11" s="105"/>
      <c r="Z11" s="107"/>
      <c r="AA11" s="15"/>
      <c r="AB11" s="106"/>
      <c r="AC11" s="74" t="s">
        <v>173</v>
      </c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5"/>
      <c r="L12" s="5"/>
      <c r="M12" s="246" t="s">
        <v>75</v>
      </c>
      <c r="N12" s="249" t="s">
        <v>171</v>
      </c>
      <c r="O12" s="178"/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 t="s">
        <v>169</v>
      </c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251" t="s">
        <v>172</v>
      </c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 t="s">
        <v>171</v>
      </c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251" t="s">
        <v>173</v>
      </c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242" t="s">
        <v>169</v>
      </c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246"/>
      <c r="I17" s="69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25</v>
      </c>
      <c r="F18" s="213" t="s">
        <v>193</v>
      </c>
      <c r="G18" s="5"/>
      <c r="H18" s="248"/>
      <c r="I18" s="69" t="s">
        <v>171</v>
      </c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248"/>
      <c r="I19" s="69" t="s">
        <v>172</v>
      </c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248"/>
      <c r="I20" s="69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243"/>
      <c r="I21" s="69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243"/>
      <c r="I22" s="69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243"/>
      <c r="I23" s="81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243"/>
      <c r="I24" s="81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243"/>
      <c r="I25" s="81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243"/>
      <c r="I26" s="81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244"/>
      <c r="I27" s="80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I1" zoomScale="75" zoomScaleNormal="47" workbookViewId="0">
      <selection activeCell="G37" sqref="G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5"/>
      <c r="AJ2" s="5"/>
    </row>
    <row r="3" spans="1:36" x14ac:dyDescent="0.35">
      <c r="A3" s="5"/>
      <c r="B3" s="5"/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6"/>
      <c r="AJ3" s="5"/>
    </row>
    <row r="4" spans="1:36" x14ac:dyDescent="0.35">
      <c r="A4" s="5"/>
      <c r="B4" s="5"/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6"/>
      <c r="AJ4" s="5"/>
    </row>
    <row r="5" spans="1:36" x14ac:dyDescent="0.35">
      <c r="A5" s="5"/>
      <c r="B5" s="5"/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6"/>
      <c r="AJ5" s="5"/>
    </row>
    <row r="6" spans="1:36" x14ac:dyDescent="0.35">
      <c r="A6" s="5"/>
      <c r="B6" s="5"/>
      <c r="C6" s="85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5"/>
      <c r="AH6" s="5"/>
      <c r="AI6" s="86"/>
      <c r="AJ6" s="5"/>
    </row>
    <row r="7" spans="1:36" ht="15" thickBot="1" x14ac:dyDescent="0.4">
      <c r="A7" s="5"/>
      <c r="B7" s="5"/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6"/>
      <c r="AJ7" s="5"/>
    </row>
    <row r="8" spans="1:36" ht="24" thickBot="1" x14ac:dyDescent="0.6">
      <c r="A8" s="5"/>
      <c r="B8" s="5"/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5"/>
      <c r="AH8" s="5"/>
      <c r="AI8" s="86"/>
      <c r="AJ8" s="5"/>
    </row>
    <row r="9" spans="1:36" ht="21.5" thickBot="1" x14ac:dyDescent="0.55000000000000004">
      <c r="A9" s="5"/>
      <c r="B9" s="5"/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84" t="s">
        <v>102</v>
      </c>
      <c r="X9" s="199" t="s">
        <v>158</v>
      </c>
      <c r="Y9" s="199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5"/>
      <c r="AH9" s="5"/>
      <c r="AI9" s="86"/>
      <c r="AJ9" s="5"/>
    </row>
    <row r="10" spans="1:36" ht="18.5" x14ac:dyDescent="0.45">
      <c r="A10" s="5"/>
      <c r="B10" s="5"/>
      <c r="C10" s="85"/>
      <c r="D10" s="66" t="s">
        <v>1</v>
      </c>
      <c r="E10" s="67" t="s">
        <v>233</v>
      </c>
      <c r="F10" s="213" t="s">
        <v>178</v>
      </c>
      <c r="G10" s="5"/>
      <c r="H10" s="66" t="s">
        <v>2</v>
      </c>
      <c r="I10" s="67"/>
      <c r="J10" s="216" t="s">
        <v>178</v>
      </c>
      <c r="K10" s="5"/>
      <c r="L10" s="5"/>
      <c r="M10" s="66" t="s">
        <v>73</v>
      </c>
      <c r="N10" s="178"/>
      <c r="O10" s="178">
        <v>5</v>
      </c>
      <c r="P10" s="179"/>
      <c r="Q10" s="180"/>
      <c r="R10" s="5" t="s">
        <v>194</v>
      </c>
      <c r="S10" s="102">
        <v>3000</v>
      </c>
      <c r="T10" s="103" t="s">
        <v>169</v>
      </c>
      <c r="U10" s="104">
        <v>1</v>
      </c>
      <c r="V10" s="83"/>
      <c r="W10" s="137"/>
      <c r="X10" s="82">
        <v>3000</v>
      </c>
      <c r="Y10" s="138">
        <v>230</v>
      </c>
      <c r="Z10" s="136"/>
      <c r="AA10" s="15"/>
      <c r="AB10" s="135"/>
      <c r="AC10" s="82"/>
      <c r="AD10" s="138"/>
      <c r="AE10" s="82"/>
      <c r="AF10" s="136"/>
      <c r="AG10" s="5"/>
      <c r="AH10" s="5"/>
      <c r="AI10" s="86"/>
      <c r="AJ10" s="5"/>
    </row>
    <row r="11" spans="1:36" ht="19" thickBot="1" x14ac:dyDescent="0.5">
      <c r="A11" s="5"/>
      <c r="B11" s="5"/>
      <c r="C11" s="85"/>
      <c r="D11" s="68" t="s">
        <v>3</v>
      </c>
      <c r="E11" s="69">
        <v>330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5"/>
      <c r="L11" s="5"/>
      <c r="M11" s="75" t="s">
        <v>74</v>
      </c>
      <c r="N11" s="124"/>
      <c r="O11" s="124" t="s">
        <v>12</v>
      </c>
      <c r="P11" s="78"/>
      <c r="Q11" s="126"/>
      <c r="R11" s="5" t="s">
        <v>188</v>
      </c>
      <c r="S11" s="102">
        <v>230</v>
      </c>
      <c r="T11" s="103" t="s">
        <v>230</v>
      </c>
      <c r="U11" s="104">
        <v>0.85</v>
      </c>
      <c r="V11" s="83"/>
      <c r="W11" s="108"/>
      <c r="X11" s="74"/>
      <c r="Y11" s="105"/>
      <c r="Z11" s="107"/>
      <c r="AA11" s="15"/>
      <c r="AB11" s="106"/>
      <c r="AC11" s="74"/>
      <c r="AD11" s="105"/>
      <c r="AE11" s="74"/>
      <c r="AF11" s="107"/>
      <c r="AG11" s="5"/>
      <c r="AH11" s="5"/>
      <c r="AI11" s="86"/>
      <c r="AJ11" s="5"/>
    </row>
    <row r="12" spans="1:36" ht="18.5" x14ac:dyDescent="0.45">
      <c r="A12" s="5"/>
      <c r="B12" s="5"/>
      <c r="C12" s="85"/>
      <c r="D12" s="68" t="s">
        <v>40</v>
      </c>
      <c r="E12" s="201"/>
      <c r="F12" s="213" t="s">
        <v>178</v>
      </c>
      <c r="G12" s="5"/>
      <c r="H12" s="68" t="s">
        <v>66</v>
      </c>
      <c r="I12" s="263">
        <v>10</v>
      </c>
      <c r="J12" s="213" t="str">
        <f>J15</f>
        <v>t/h</v>
      </c>
      <c r="K12" s="5"/>
      <c r="L12" s="5"/>
      <c r="M12" s="246" t="s">
        <v>75</v>
      </c>
      <c r="N12" s="254"/>
      <c r="O12" s="178" t="s">
        <v>230</v>
      </c>
      <c r="P12" s="179"/>
      <c r="Q12" s="180"/>
      <c r="R12" s="5"/>
      <c r="S12" s="125"/>
      <c r="T12" s="124"/>
      <c r="U12" s="126"/>
      <c r="V12" s="83"/>
      <c r="W12" s="108"/>
      <c r="X12" s="74"/>
      <c r="Y12" s="43"/>
      <c r="Z12" s="30"/>
      <c r="AA12" s="41"/>
      <c r="AB12" s="50"/>
      <c r="AC12" s="74"/>
      <c r="AD12" s="43"/>
      <c r="AE12" s="74"/>
      <c r="AF12" s="107"/>
      <c r="AG12" s="5"/>
      <c r="AH12" s="5"/>
      <c r="AI12" s="86"/>
      <c r="AJ12" s="5"/>
    </row>
    <row r="13" spans="1:36" ht="18.5" x14ac:dyDescent="0.45">
      <c r="A13" s="5"/>
      <c r="B13" s="5"/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5"/>
      <c r="L13" s="5"/>
      <c r="M13" s="247"/>
      <c r="N13" s="125"/>
      <c r="O13" s="74"/>
      <c r="P13" s="74"/>
      <c r="Q13" s="69"/>
      <c r="R13" s="5"/>
      <c r="S13" s="118"/>
      <c r="T13" s="119"/>
      <c r="U13" s="120"/>
      <c r="V13" s="41"/>
      <c r="W13" s="108"/>
      <c r="X13" s="74"/>
      <c r="Y13" s="43"/>
      <c r="Z13" s="30"/>
      <c r="AA13" s="41"/>
      <c r="AB13" s="50"/>
      <c r="AC13" s="74"/>
      <c r="AD13" s="43"/>
      <c r="AE13" s="74"/>
      <c r="AF13" s="107"/>
      <c r="AG13" s="5"/>
      <c r="AH13" s="5"/>
      <c r="AI13" s="86"/>
      <c r="AJ13" s="5"/>
    </row>
    <row r="14" spans="1:36" ht="18.5" x14ac:dyDescent="0.45">
      <c r="A14" s="5"/>
      <c r="B14" s="5"/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5"/>
      <c r="L14" s="5"/>
      <c r="M14" s="248"/>
      <c r="N14" s="109"/>
      <c r="O14" s="78"/>
      <c r="P14" s="78"/>
      <c r="Q14" s="81"/>
      <c r="R14" s="5"/>
      <c r="S14" s="50"/>
      <c r="T14" s="74"/>
      <c r="U14" s="30"/>
      <c r="V14" s="41"/>
      <c r="W14" s="108"/>
      <c r="X14" s="74"/>
      <c r="Y14" s="43"/>
      <c r="Z14" s="30"/>
      <c r="AA14" s="41"/>
      <c r="AB14" s="50"/>
      <c r="AC14" s="74"/>
      <c r="AD14" s="43"/>
      <c r="AE14" s="74"/>
      <c r="AF14" s="107"/>
      <c r="AG14" s="5"/>
      <c r="AH14" s="5"/>
      <c r="AI14" s="86"/>
      <c r="AJ14" s="5"/>
    </row>
    <row r="15" spans="1:36" ht="19" thickBot="1" x14ac:dyDescent="0.5">
      <c r="A15" s="5"/>
      <c r="B15" s="5"/>
      <c r="C15" s="85"/>
      <c r="D15" s="68" t="s">
        <v>56</v>
      </c>
      <c r="E15" s="69">
        <v>2.6</v>
      </c>
      <c r="F15" s="213" t="s">
        <v>178</v>
      </c>
      <c r="G15" s="5"/>
      <c r="H15" s="258" t="s">
        <v>69</v>
      </c>
      <c r="I15" s="69" t="s">
        <v>12</v>
      </c>
      <c r="J15" s="213" t="s">
        <v>188</v>
      </c>
      <c r="K15" s="5"/>
      <c r="L15" s="5"/>
      <c r="M15" s="248"/>
      <c r="N15" s="109"/>
      <c r="O15" s="78"/>
      <c r="P15" s="78"/>
      <c r="Q15" s="81"/>
      <c r="R15" s="5"/>
      <c r="S15" s="50"/>
      <c r="T15" s="74"/>
      <c r="U15" s="30"/>
      <c r="V15" s="41"/>
      <c r="W15" s="88"/>
      <c r="X15" s="15"/>
      <c r="Y15" s="15"/>
      <c r="Z15" s="65"/>
      <c r="AA15" s="15"/>
      <c r="AB15" s="108"/>
      <c r="AC15" s="74"/>
      <c r="AD15" s="74"/>
      <c r="AE15" s="74"/>
      <c r="AF15" s="107"/>
      <c r="AG15" s="5"/>
      <c r="AH15" s="5"/>
      <c r="AI15" s="86"/>
      <c r="AJ15" s="5"/>
    </row>
    <row r="16" spans="1:36" ht="19" thickBot="1" x14ac:dyDescent="0.5">
      <c r="A16" s="5"/>
      <c r="B16" s="5"/>
      <c r="C16" s="85"/>
      <c r="D16" s="68" t="s">
        <v>57</v>
      </c>
      <c r="E16" s="69">
        <v>1.44</v>
      </c>
      <c r="F16" s="213" t="s">
        <v>178</v>
      </c>
      <c r="G16" s="5"/>
      <c r="H16" s="240" t="s">
        <v>53</v>
      </c>
      <c r="I16" s="241" t="s">
        <v>230</v>
      </c>
      <c r="J16" s="216" t="s">
        <v>178</v>
      </c>
      <c r="K16" s="5"/>
      <c r="L16" s="5"/>
      <c r="M16" s="248"/>
      <c r="N16" s="109"/>
      <c r="O16" s="78"/>
      <c r="P16" s="78"/>
      <c r="Q16" s="81"/>
      <c r="R16" s="5"/>
      <c r="S16" s="108"/>
      <c r="T16" s="74"/>
      <c r="U16" s="69"/>
      <c r="V16" s="15"/>
      <c r="W16" s="88"/>
      <c r="X16" s="15"/>
      <c r="Y16" s="15"/>
      <c r="Z16" s="65"/>
      <c r="AA16" s="15"/>
      <c r="AB16" s="108"/>
      <c r="AC16" s="74"/>
      <c r="AD16" s="74"/>
      <c r="AE16" s="74"/>
      <c r="AF16" s="69"/>
      <c r="AG16" s="5"/>
      <c r="AH16" s="5"/>
      <c r="AI16" s="86"/>
      <c r="AJ16" s="5"/>
    </row>
    <row r="17" spans="1:36" ht="18.5" x14ac:dyDescent="0.45">
      <c r="A17" s="5"/>
      <c r="B17" s="5"/>
      <c r="C17" s="85"/>
      <c r="D17" s="68" t="s">
        <v>58</v>
      </c>
      <c r="E17" s="69">
        <v>25</v>
      </c>
      <c r="F17" s="213" t="s">
        <v>193</v>
      </c>
      <c r="G17" s="5"/>
      <c r="H17" s="75"/>
      <c r="I17" s="242" t="s">
        <v>169</v>
      </c>
      <c r="J17" s="213" t="s">
        <v>178</v>
      </c>
      <c r="K17" s="5"/>
      <c r="L17" s="5"/>
      <c r="M17" s="248"/>
      <c r="N17" s="109"/>
      <c r="O17" s="78"/>
      <c r="P17" s="78"/>
      <c r="Q17" s="81"/>
      <c r="R17" s="5"/>
      <c r="S17" s="108"/>
      <c r="T17" s="74"/>
      <c r="U17" s="69"/>
      <c r="V17" s="15"/>
      <c r="W17" s="88"/>
      <c r="X17" s="15"/>
      <c r="Y17" s="15"/>
      <c r="Z17" s="65"/>
      <c r="AA17" s="15"/>
      <c r="AB17" s="108"/>
      <c r="AC17" s="74"/>
      <c r="AD17" s="74"/>
      <c r="AE17" s="74"/>
      <c r="AF17" s="69"/>
      <c r="AG17" s="5"/>
      <c r="AH17" s="5"/>
      <c r="AI17" s="86"/>
      <c r="AJ17" s="5"/>
    </row>
    <row r="18" spans="1:36" ht="18.5" x14ac:dyDescent="0.45">
      <c r="A18" s="5"/>
      <c r="B18" s="5"/>
      <c r="C18" s="85"/>
      <c r="D18" s="70" t="s">
        <v>59</v>
      </c>
      <c r="E18" s="69">
        <v>65</v>
      </c>
      <c r="F18" s="213" t="s">
        <v>193</v>
      </c>
      <c r="G18" s="5"/>
      <c r="H18" s="76"/>
      <c r="I18" s="242"/>
      <c r="J18" s="213" t="s">
        <v>178</v>
      </c>
      <c r="K18" s="5"/>
      <c r="L18" s="5"/>
      <c r="M18" s="248"/>
      <c r="N18" s="109"/>
      <c r="O18" s="78"/>
      <c r="P18" s="78"/>
      <c r="Q18" s="81"/>
      <c r="R18" s="5"/>
      <c r="S18" s="108"/>
      <c r="T18" s="74"/>
      <c r="U18" s="69"/>
      <c r="V18" s="15"/>
      <c r="W18" s="88"/>
      <c r="X18" s="15"/>
      <c r="Y18" s="15"/>
      <c r="Z18" s="65"/>
      <c r="AA18" s="15"/>
      <c r="AB18" s="108"/>
      <c r="AC18" s="74"/>
      <c r="AD18" s="74"/>
      <c r="AE18" s="74"/>
      <c r="AF18" s="69"/>
      <c r="AG18" s="5"/>
      <c r="AH18" s="5"/>
      <c r="AI18" s="86"/>
      <c r="AJ18" s="5"/>
    </row>
    <row r="19" spans="1:36" ht="18.5" x14ac:dyDescent="0.45">
      <c r="A19" s="5"/>
      <c r="B19" s="5"/>
      <c r="C19" s="85"/>
      <c r="D19" s="68" t="s">
        <v>60</v>
      </c>
      <c r="E19" s="69"/>
      <c r="F19" s="213" t="s">
        <v>193</v>
      </c>
      <c r="G19" s="5"/>
      <c r="H19" s="76"/>
      <c r="I19" s="242"/>
      <c r="J19" s="213" t="s">
        <v>178</v>
      </c>
      <c r="K19" s="5"/>
      <c r="L19" s="5"/>
      <c r="M19" s="248"/>
      <c r="N19" s="109"/>
      <c r="O19" s="78"/>
      <c r="P19" s="78"/>
      <c r="Q19" s="81"/>
      <c r="R19" s="5"/>
      <c r="S19" s="108"/>
      <c r="T19" s="74"/>
      <c r="U19" s="69"/>
      <c r="V19" s="15"/>
      <c r="W19" s="88"/>
      <c r="X19" s="15"/>
      <c r="Y19" s="15"/>
      <c r="Z19" s="65"/>
      <c r="AA19" s="15"/>
      <c r="AB19" s="108"/>
      <c r="AC19" s="74"/>
      <c r="AD19" s="74"/>
      <c r="AE19" s="74"/>
      <c r="AF19" s="69"/>
      <c r="AG19" s="5"/>
      <c r="AH19" s="5"/>
      <c r="AI19" s="86"/>
      <c r="AJ19" s="5"/>
    </row>
    <row r="20" spans="1:36" ht="18.5" x14ac:dyDescent="0.45">
      <c r="A20" s="5"/>
      <c r="B20" s="5"/>
      <c r="C20" s="85"/>
      <c r="D20" s="70" t="s">
        <v>61</v>
      </c>
      <c r="E20" s="69"/>
      <c r="F20" s="213" t="s">
        <v>193</v>
      </c>
      <c r="G20" s="5"/>
      <c r="H20" s="76"/>
      <c r="I20" s="242"/>
      <c r="J20" s="213" t="s">
        <v>178</v>
      </c>
      <c r="K20" s="5"/>
      <c r="L20" s="5"/>
      <c r="M20" s="243"/>
      <c r="N20" s="109"/>
      <c r="O20" s="78"/>
      <c r="P20" s="78"/>
      <c r="Q20" s="81"/>
      <c r="R20" s="5"/>
      <c r="S20" s="108"/>
      <c r="T20" s="74"/>
      <c r="U20" s="69"/>
      <c r="V20" s="15"/>
      <c r="W20" s="88"/>
      <c r="X20" s="15"/>
      <c r="Y20" s="15"/>
      <c r="Z20" s="65"/>
      <c r="AA20" s="15"/>
      <c r="AB20" s="108"/>
      <c r="AC20" s="74"/>
      <c r="AD20" s="74"/>
      <c r="AE20" s="74"/>
      <c r="AF20" s="69"/>
      <c r="AG20" s="5"/>
      <c r="AH20" s="5"/>
      <c r="AI20" s="86"/>
      <c r="AJ20" s="5"/>
    </row>
    <row r="21" spans="1:36" ht="18.5" x14ac:dyDescent="0.45">
      <c r="A21" s="5"/>
      <c r="B21" s="5"/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242"/>
      <c r="J21" s="213" t="s">
        <v>178</v>
      </c>
      <c r="K21" s="5"/>
      <c r="L21" s="5"/>
      <c r="M21" s="243"/>
      <c r="N21" s="109"/>
      <c r="O21" s="78"/>
      <c r="P21" s="78"/>
      <c r="Q21" s="81"/>
      <c r="R21" s="5"/>
      <c r="S21" s="108"/>
      <c r="T21" s="74"/>
      <c r="U21" s="69"/>
      <c r="V21" s="15"/>
      <c r="W21" s="88"/>
      <c r="X21" s="15"/>
      <c r="Y21" s="15"/>
      <c r="Z21" s="65"/>
      <c r="AA21" s="15"/>
      <c r="AB21" s="108"/>
      <c r="AC21" s="74"/>
      <c r="AD21" s="74"/>
      <c r="AE21" s="74"/>
      <c r="AF21" s="69"/>
      <c r="AG21" s="5"/>
      <c r="AH21" s="5"/>
      <c r="AI21" s="86"/>
      <c r="AJ21" s="5"/>
    </row>
    <row r="22" spans="1:36" ht="18.5" x14ac:dyDescent="0.45">
      <c r="A22" s="5"/>
      <c r="B22" s="5"/>
      <c r="C22" s="85"/>
      <c r="D22" s="70" t="s">
        <v>63</v>
      </c>
      <c r="E22" s="69"/>
      <c r="F22" s="213" t="s">
        <v>178</v>
      </c>
      <c r="G22" s="5"/>
      <c r="H22" s="109"/>
      <c r="I22" s="242"/>
      <c r="J22" s="213" t="s">
        <v>178</v>
      </c>
      <c r="K22" s="5"/>
      <c r="L22" s="5"/>
      <c r="M22" s="243"/>
      <c r="N22" s="109"/>
      <c r="O22" s="78"/>
      <c r="P22" s="78"/>
      <c r="Q22" s="81"/>
      <c r="R22" s="5"/>
      <c r="S22" s="108"/>
      <c r="T22" s="74"/>
      <c r="U22" s="69"/>
      <c r="V22" s="15"/>
      <c r="W22" s="88"/>
      <c r="X22" s="15"/>
      <c r="Y22" s="15"/>
      <c r="Z22" s="65"/>
      <c r="AA22" s="15"/>
      <c r="AB22" s="108"/>
      <c r="AC22" s="74"/>
      <c r="AD22" s="74"/>
      <c r="AE22" s="74"/>
      <c r="AF22" s="69"/>
      <c r="AG22" s="5"/>
      <c r="AH22" s="5"/>
      <c r="AI22" s="86"/>
      <c r="AJ22" s="5"/>
    </row>
    <row r="23" spans="1:36" ht="18.5" x14ac:dyDescent="0.45">
      <c r="A23" s="5"/>
      <c r="B23" s="5"/>
      <c r="C23" s="85"/>
      <c r="D23" s="70" t="s">
        <v>64</v>
      </c>
      <c r="E23" s="69"/>
      <c r="F23" s="213" t="s">
        <v>178</v>
      </c>
      <c r="G23" s="5"/>
      <c r="H23" s="109"/>
      <c r="I23" s="243"/>
      <c r="J23" s="213" t="s">
        <v>178</v>
      </c>
      <c r="K23" s="5"/>
      <c r="L23" s="5"/>
      <c r="M23" s="243"/>
      <c r="N23" s="109"/>
      <c r="O23" s="78"/>
      <c r="P23" s="78"/>
      <c r="Q23" s="81"/>
      <c r="R23" s="5"/>
      <c r="S23" s="108"/>
      <c r="T23" s="74"/>
      <c r="U23" s="69"/>
      <c r="V23" s="15"/>
      <c r="W23" s="88"/>
      <c r="X23" s="15"/>
      <c r="Y23" s="15"/>
      <c r="Z23" s="65"/>
      <c r="AA23" s="15"/>
      <c r="AB23" s="108"/>
      <c r="AC23" s="74"/>
      <c r="AD23" s="74"/>
      <c r="AE23" s="74"/>
      <c r="AF23" s="69"/>
      <c r="AG23" s="5"/>
      <c r="AH23" s="5"/>
      <c r="AI23" s="86"/>
      <c r="AJ23" s="5"/>
    </row>
    <row r="24" spans="1:36" ht="18.5" x14ac:dyDescent="0.45">
      <c r="A24" s="5"/>
      <c r="B24" s="5"/>
      <c r="C24" s="92"/>
      <c r="D24" s="131" t="s">
        <v>84</v>
      </c>
      <c r="E24" s="91"/>
      <c r="F24" s="213" t="s">
        <v>178</v>
      </c>
      <c r="G24" s="11"/>
      <c r="H24" s="109"/>
      <c r="I24" s="243"/>
      <c r="J24" s="213" t="s">
        <v>178</v>
      </c>
      <c r="K24" s="11"/>
      <c r="L24" s="11"/>
      <c r="M24" s="243"/>
      <c r="N24" s="109"/>
      <c r="O24" s="78"/>
      <c r="P24" s="78"/>
      <c r="Q24" s="81"/>
      <c r="R24" s="5"/>
      <c r="S24" s="108"/>
      <c r="T24" s="74"/>
      <c r="U24" s="69"/>
      <c r="V24" s="15"/>
      <c r="W24" s="88"/>
      <c r="X24" s="15"/>
      <c r="Y24" s="15"/>
      <c r="Z24" s="65"/>
      <c r="AA24" s="15"/>
      <c r="AB24" s="108"/>
      <c r="AC24" s="74"/>
      <c r="AD24" s="74"/>
      <c r="AE24" s="74"/>
      <c r="AF24" s="69"/>
      <c r="AG24" s="5"/>
      <c r="AH24" s="5"/>
      <c r="AI24" s="86"/>
      <c r="AJ24" s="5"/>
    </row>
    <row r="25" spans="1:36" ht="18.5" x14ac:dyDescent="0.45">
      <c r="A25" s="5"/>
      <c r="B25" s="5"/>
      <c r="C25" s="92"/>
      <c r="D25" s="131" t="s">
        <v>85</v>
      </c>
      <c r="E25" s="91"/>
      <c r="F25" s="213" t="s">
        <v>178</v>
      </c>
      <c r="G25" s="11"/>
      <c r="H25" s="109"/>
      <c r="I25" s="243"/>
      <c r="J25" s="213" t="s">
        <v>178</v>
      </c>
      <c r="K25" s="11"/>
      <c r="L25" s="11"/>
      <c r="M25" s="243"/>
      <c r="N25" s="109"/>
      <c r="O25" s="78"/>
      <c r="P25" s="78"/>
      <c r="Q25" s="81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6"/>
      <c r="AJ25" s="5"/>
    </row>
    <row r="26" spans="1:36" ht="19" thickBot="1" x14ac:dyDescent="0.5">
      <c r="A26" s="5"/>
      <c r="B26" s="5"/>
      <c r="C26" s="92"/>
      <c r="D26" s="132" t="s">
        <v>86</v>
      </c>
      <c r="E26" s="64"/>
      <c r="F26" s="214" t="s">
        <v>178</v>
      </c>
      <c r="G26" s="5"/>
      <c r="H26" s="109"/>
      <c r="I26" s="243"/>
      <c r="J26" s="213" t="s">
        <v>178</v>
      </c>
      <c r="K26" s="5"/>
      <c r="L26" s="5"/>
      <c r="M26" s="243"/>
      <c r="N26" s="109"/>
      <c r="O26" s="78"/>
      <c r="P26" s="78"/>
      <c r="Q26" s="81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6"/>
      <c r="AJ26" s="5"/>
    </row>
    <row r="27" spans="1:36" ht="19" thickBot="1" x14ac:dyDescent="0.5">
      <c r="A27" s="5"/>
      <c r="B27" s="5"/>
      <c r="C27" s="92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214" t="s">
        <v>178</v>
      </c>
      <c r="K27" s="5"/>
      <c r="L27" s="5"/>
      <c r="M27" s="244"/>
      <c r="N27" s="110"/>
      <c r="O27" s="79"/>
      <c r="P27" s="79"/>
      <c r="Q27" s="80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6"/>
      <c r="AJ27" s="5"/>
    </row>
    <row r="28" spans="1:36" x14ac:dyDescent="0.35">
      <c r="A28" s="5"/>
      <c r="B28" s="5"/>
      <c r="C28" s="9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6"/>
      <c r="AJ28" s="5"/>
    </row>
    <row r="29" spans="1:36" x14ac:dyDescent="0.35">
      <c r="A29" s="5"/>
      <c r="B29" s="5"/>
      <c r="C29" s="9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6"/>
      <c r="AJ29" s="5"/>
    </row>
    <row r="30" spans="1:36" x14ac:dyDescent="0.35">
      <c r="A30" s="5"/>
      <c r="B30" s="5"/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6"/>
      <c r="AJ30" s="5"/>
    </row>
    <row r="31" spans="1:36" x14ac:dyDescent="0.35">
      <c r="A31" s="5"/>
      <c r="B31" s="5"/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6"/>
      <c r="AJ31" s="5"/>
    </row>
    <row r="32" spans="1:36" x14ac:dyDescent="0.35">
      <c r="A32" s="5"/>
      <c r="B32" s="5"/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6"/>
      <c r="AJ32" s="5"/>
    </row>
    <row r="33" spans="1:36" x14ac:dyDescent="0.35">
      <c r="A33" s="5"/>
      <c r="B33" s="5"/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6"/>
      <c r="AJ33" s="5"/>
    </row>
    <row r="34" spans="1:36" x14ac:dyDescent="0.35">
      <c r="A34" s="5"/>
      <c r="B34" s="5"/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6"/>
      <c r="AJ34" s="5"/>
    </row>
    <row r="35" spans="1:36" x14ac:dyDescent="0.35">
      <c r="A35" s="5"/>
      <c r="B35" s="5"/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6"/>
      <c r="AJ35" s="5"/>
    </row>
    <row r="36" spans="1:36" x14ac:dyDescent="0.35">
      <c r="A36" s="5"/>
      <c r="B36" s="5"/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6"/>
      <c r="AJ36" s="5"/>
    </row>
    <row r="37" spans="1:36" x14ac:dyDescent="0.35">
      <c r="A37" s="5"/>
      <c r="B37" s="5"/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6"/>
      <c r="AJ37" s="5"/>
    </row>
    <row r="38" spans="1:36" x14ac:dyDescent="0.35">
      <c r="A38" s="5"/>
      <c r="B38" s="5"/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6"/>
      <c r="AJ38" s="5"/>
    </row>
    <row r="39" spans="1:36" x14ac:dyDescent="0.35">
      <c r="A39" s="5"/>
      <c r="B39" s="5"/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6"/>
      <c r="AJ39" s="5"/>
    </row>
    <row r="40" spans="1:36" x14ac:dyDescent="0.35">
      <c r="A40" s="5"/>
      <c r="B40" s="5"/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6"/>
      <c r="AJ40" s="5"/>
    </row>
    <row r="41" spans="1:36" x14ac:dyDescent="0.35">
      <c r="A41" s="5"/>
      <c r="B41" s="5"/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6"/>
      <c r="AJ41" s="5"/>
    </row>
    <row r="42" spans="1:36" x14ac:dyDescent="0.35">
      <c r="A42" s="5"/>
      <c r="B42" s="5"/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6"/>
      <c r="AJ42" s="5"/>
    </row>
    <row r="43" spans="1:36" x14ac:dyDescent="0.35">
      <c r="A43" s="5"/>
      <c r="B43" s="5"/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6"/>
      <c r="AJ43" s="5"/>
    </row>
    <row r="44" spans="1:36" x14ac:dyDescent="0.35">
      <c r="A44" s="5"/>
      <c r="B44" s="5"/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6"/>
      <c r="AJ44" s="5"/>
    </row>
    <row r="45" spans="1:36" x14ac:dyDescent="0.35">
      <c r="A45" s="5"/>
      <c r="B45" s="5"/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6"/>
      <c r="AJ45" s="5"/>
    </row>
    <row r="46" spans="1:36" x14ac:dyDescent="0.35">
      <c r="A46" s="5"/>
      <c r="B46" s="5"/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6"/>
      <c r="AJ46" s="5"/>
    </row>
    <row r="47" spans="1:36" ht="18.5" x14ac:dyDescent="0.35">
      <c r="A47" s="5"/>
      <c r="B47" s="5"/>
      <c r="C47" s="85"/>
      <c r="D47" s="345"/>
      <c r="E47" s="345"/>
      <c r="F47" s="345"/>
      <c r="G47" s="345"/>
      <c r="H47" s="345"/>
      <c r="I47" s="345"/>
      <c r="J47" s="345"/>
      <c r="K47" s="345"/>
      <c r="L47" s="34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6"/>
      <c r="AJ47" s="5"/>
    </row>
    <row r="48" spans="1:36" ht="15.5" x14ac:dyDescent="0.35">
      <c r="A48" s="5"/>
      <c r="B48" s="5"/>
      <c r="C48" s="85"/>
      <c r="D48" s="96"/>
      <c r="E48" s="96"/>
      <c r="F48" s="96"/>
      <c r="G48" s="96"/>
      <c r="H48" s="96"/>
      <c r="I48" s="96"/>
      <c r="J48" s="96"/>
      <c r="K48" s="96"/>
      <c r="L48" s="9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6"/>
      <c r="AJ48" s="5"/>
    </row>
    <row r="49" spans="1:36" ht="15.5" x14ac:dyDescent="0.35">
      <c r="A49" s="5"/>
      <c r="B49" s="5"/>
      <c r="C49" s="85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6"/>
      <c r="AJ49" s="5"/>
    </row>
    <row r="50" spans="1:36" ht="15.5" x14ac:dyDescent="0.35">
      <c r="A50" s="5"/>
      <c r="B50" s="5"/>
      <c r="C50" s="85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6"/>
      <c r="AJ50" s="5"/>
    </row>
    <row r="51" spans="1:36" ht="15.5" x14ac:dyDescent="0.35">
      <c r="A51" s="5"/>
      <c r="B51" s="5"/>
      <c r="C51" s="85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6"/>
      <c r="AJ51" s="5"/>
    </row>
    <row r="52" spans="1:36" ht="15.5" x14ac:dyDescent="0.35">
      <c r="A52" s="5"/>
      <c r="B52" s="5"/>
      <c r="C52" s="85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6"/>
      <c r="AJ52" s="5"/>
    </row>
    <row r="53" spans="1:36" ht="15.5" x14ac:dyDescent="0.35">
      <c r="A53" s="5"/>
      <c r="B53" s="5"/>
      <c r="C53" s="85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6"/>
      <c r="AJ53" s="5"/>
    </row>
    <row r="54" spans="1:36" ht="15.5" x14ac:dyDescent="0.35">
      <c r="A54" s="5"/>
      <c r="B54" s="5"/>
      <c r="C54" s="85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6"/>
      <c r="AJ54" s="5"/>
    </row>
    <row r="55" spans="1:36" x14ac:dyDescent="0.35">
      <c r="A55" s="5"/>
      <c r="B55" s="5"/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6"/>
      <c r="AJ55" s="5"/>
    </row>
    <row r="56" spans="1:36" x14ac:dyDescent="0.35">
      <c r="A56" s="5"/>
      <c r="B56" s="5"/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6"/>
      <c r="AJ56" s="5"/>
    </row>
    <row r="57" spans="1:36" x14ac:dyDescent="0.35">
      <c r="A57" s="5"/>
      <c r="B57" s="5"/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6"/>
      <c r="AJ57" s="5"/>
    </row>
    <row r="58" spans="1:36" x14ac:dyDescent="0.35">
      <c r="A58" s="5"/>
      <c r="B58" s="5"/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6"/>
      <c r="AJ58" s="5"/>
    </row>
    <row r="59" spans="1:36" x14ac:dyDescent="0.35">
      <c r="A59" s="5"/>
      <c r="B59" s="5"/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6"/>
      <c r="AJ59" s="5"/>
    </row>
    <row r="60" spans="1:36" x14ac:dyDescent="0.35">
      <c r="A60" s="5"/>
      <c r="B60" s="5"/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6"/>
      <c r="AJ60" s="5"/>
    </row>
    <row r="61" spans="1:36" x14ac:dyDescent="0.35">
      <c r="A61" s="5"/>
      <c r="B61" s="5"/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6"/>
      <c r="AJ61" s="5"/>
    </row>
    <row r="62" spans="1:36" x14ac:dyDescent="0.35">
      <c r="A62" s="5"/>
      <c r="B62" s="5"/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6"/>
      <c r="AJ62" s="5"/>
    </row>
    <row r="63" spans="1:36" x14ac:dyDescent="0.35">
      <c r="A63" s="5"/>
      <c r="B63" s="5"/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6"/>
      <c r="AJ63" s="5"/>
    </row>
    <row r="64" spans="1:36" x14ac:dyDescent="0.35">
      <c r="A64" s="5"/>
      <c r="B64" s="5"/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6"/>
      <c r="AJ64" s="5"/>
    </row>
    <row r="65" spans="1:36" x14ac:dyDescent="0.35">
      <c r="A65" s="5"/>
      <c r="B65" s="5"/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6"/>
      <c r="AJ65" s="5"/>
    </row>
    <row r="66" spans="1:36" x14ac:dyDescent="0.35">
      <c r="A66" s="5"/>
      <c r="B66" s="5"/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6"/>
      <c r="AJ66" s="5"/>
    </row>
    <row r="67" spans="1:36" x14ac:dyDescent="0.35">
      <c r="A67" s="5"/>
      <c r="B67" s="5"/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6"/>
      <c r="AJ67" s="5"/>
    </row>
    <row r="68" spans="1:36" x14ac:dyDescent="0.35">
      <c r="A68" s="5"/>
      <c r="B68" s="5"/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6"/>
      <c r="AJ68" s="5"/>
    </row>
    <row r="69" spans="1:36" ht="15" thickBot="1" x14ac:dyDescent="0.4">
      <c r="A69" s="5"/>
      <c r="B69" s="5"/>
      <c r="C69" s="7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64"/>
      <c r="AJ69" s="5"/>
    </row>
    <row r="70" spans="1:36" x14ac:dyDescent="0.35">
      <c r="A70" s="5"/>
      <c r="B70" s="5"/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 T10:T27 I16:I27 N14:Q27 N12:Q12 AC10:AC27 AE10:AE27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P5" sqref="P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3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202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252" t="s">
        <v>73</v>
      </c>
      <c r="N10" s="249">
        <v>1E-4</v>
      </c>
      <c r="O10" s="178">
        <v>0.2</v>
      </c>
      <c r="P10" s="255"/>
      <c r="Q10" s="180"/>
      <c r="R10" s="113"/>
      <c r="S10" s="102">
        <v>2000</v>
      </c>
      <c r="T10" s="103" t="s">
        <v>196</v>
      </c>
      <c r="U10" s="104">
        <v>0.99</v>
      </c>
      <c r="V10" s="105"/>
      <c r="W10" s="137">
        <v>22</v>
      </c>
      <c r="X10" s="82">
        <v>2000</v>
      </c>
      <c r="Y10" s="138">
        <v>1000</v>
      </c>
      <c r="Z10" s="136"/>
      <c r="AA10" s="74"/>
      <c r="AB10" s="135" t="s">
        <v>12</v>
      </c>
      <c r="AC10" s="82" t="s">
        <v>14</v>
      </c>
      <c r="AD10" s="138" t="s">
        <v>12</v>
      </c>
      <c r="AE10" s="82" t="s">
        <v>173</v>
      </c>
      <c r="AF10" s="136">
        <v>10</v>
      </c>
      <c r="AG10" s="119"/>
      <c r="AH10" s="125" t="s">
        <v>173</v>
      </c>
      <c r="AI10" s="124">
        <v>1</v>
      </c>
      <c r="AJ10" s="126">
        <v>-1</v>
      </c>
      <c r="AK10" s="114"/>
      <c r="AL10" s="127">
        <v>1</v>
      </c>
      <c r="AM10" s="128" t="s">
        <v>173</v>
      </c>
      <c r="AN10" s="129">
        <v>0.95</v>
      </c>
      <c r="AO10" s="86"/>
    </row>
    <row r="11" spans="3:41" ht="19" thickBot="1" x14ac:dyDescent="0.5">
      <c r="C11" s="85"/>
      <c r="D11" s="68" t="s">
        <v>3</v>
      </c>
      <c r="E11" s="69">
        <v>210</v>
      </c>
      <c r="F11" s="213" t="s">
        <v>178</v>
      </c>
      <c r="G11" s="5"/>
      <c r="H11" s="68" t="s">
        <v>65</v>
      </c>
      <c r="I11" s="104">
        <v>2</v>
      </c>
      <c r="J11" s="213" t="s">
        <v>187</v>
      </c>
      <c r="K11" s="78"/>
      <c r="L11" s="78"/>
      <c r="M11" s="253" t="s">
        <v>74</v>
      </c>
      <c r="N11" s="250" t="s">
        <v>12</v>
      </c>
      <c r="O11" s="124" t="s">
        <v>12</v>
      </c>
      <c r="P11" s="256"/>
      <c r="Q11" s="257"/>
      <c r="R11" s="113"/>
      <c r="S11" s="102">
        <v>2000</v>
      </c>
      <c r="T11" s="103" t="s">
        <v>14</v>
      </c>
      <c r="U11" s="104">
        <v>5.0000000000000001E-3</v>
      </c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1</v>
      </c>
      <c r="AJ11" s="126">
        <v>0.15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246" t="s">
        <v>75</v>
      </c>
      <c r="N12" s="249" t="s">
        <v>171</v>
      </c>
      <c r="O12" s="249" t="s">
        <v>171</v>
      </c>
      <c r="P12" s="179"/>
      <c r="Q12" s="180"/>
      <c r="R12" s="113"/>
      <c r="S12" s="102">
        <v>2000</v>
      </c>
      <c r="T12" s="103" t="s">
        <v>176</v>
      </c>
      <c r="U12" s="104">
        <v>0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196</v>
      </c>
      <c r="AI12" s="124">
        <v>1</v>
      </c>
      <c r="AJ12" s="126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247"/>
      <c r="N13" s="251" t="s">
        <v>172</v>
      </c>
      <c r="O13" s="251" t="s">
        <v>172</v>
      </c>
      <c r="P13" s="74"/>
      <c r="Q13" s="69"/>
      <c r="R13" s="113"/>
      <c r="S13" s="102">
        <v>1000</v>
      </c>
      <c r="T13" s="103" t="s">
        <v>176</v>
      </c>
      <c r="U13" s="104">
        <v>1</v>
      </c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176</v>
      </c>
      <c r="AI13" s="105">
        <v>1</v>
      </c>
      <c r="AJ13" s="107">
        <v>0.65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248"/>
      <c r="N14" s="251" t="s">
        <v>173</v>
      </c>
      <c r="O14" s="251" t="s">
        <v>173</v>
      </c>
      <c r="P14" s="78"/>
      <c r="Q14" s="81"/>
      <c r="R14" s="113"/>
      <c r="S14" s="102">
        <v>1000</v>
      </c>
      <c r="T14" s="74" t="s">
        <v>196</v>
      </c>
      <c r="U14" s="104">
        <v>0</v>
      </c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248"/>
      <c r="N15" s="242" t="s">
        <v>169</v>
      </c>
      <c r="O15" s="242" t="s">
        <v>169</v>
      </c>
      <c r="P15" s="78"/>
      <c r="Q15" s="81"/>
      <c r="R15" s="113"/>
      <c r="S15" s="102"/>
      <c r="T15" s="74"/>
      <c r="U15" s="104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248"/>
      <c r="N16" s="243"/>
      <c r="O16" s="243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25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248"/>
      <c r="N17" s="243"/>
      <c r="O17" s="243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30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248"/>
      <c r="N18" s="243"/>
      <c r="O18" s="243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248"/>
      <c r="N19" s="243"/>
      <c r="O19" s="243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243"/>
      <c r="N20" s="243"/>
      <c r="O20" s="243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243"/>
      <c r="N21" s="243"/>
      <c r="O21" s="243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243"/>
      <c r="N22" s="243"/>
      <c r="O22" s="243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243"/>
      <c r="N23" s="243"/>
      <c r="O23" s="243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243"/>
      <c r="N24" s="243"/>
      <c r="O24" s="243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243"/>
      <c r="N25" s="243"/>
      <c r="O25" s="243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243"/>
      <c r="N26" s="243"/>
      <c r="O26" s="243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71"/>
      <c r="J27" s="214"/>
      <c r="K27" s="78"/>
      <c r="L27" s="78"/>
      <c r="M27" s="244"/>
      <c r="N27" s="244"/>
      <c r="O27" s="244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O12:Q12 O13:O27 P14:Q27 N12:N27 T10:T27 I16:I27 AH10:AH27 AC10:AC27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U6" zoomScale="70" zoomScaleNormal="70" workbookViewId="0">
      <selection activeCell="AM16" sqref="AM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73" t="s">
        <v>30</v>
      </c>
      <c r="I9" s="73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261" t="s">
        <v>203</v>
      </c>
      <c r="F10" s="213" t="s">
        <v>178</v>
      </c>
      <c r="G10" s="5"/>
      <c r="H10" s="68" t="s">
        <v>2</v>
      </c>
      <c r="I10" s="69"/>
      <c r="J10" s="216" t="s">
        <v>178</v>
      </c>
      <c r="K10" s="78"/>
      <c r="L10" s="78"/>
      <c r="M10" s="66" t="s">
        <v>73</v>
      </c>
      <c r="N10" s="178">
        <v>0.1</v>
      </c>
      <c r="O10" s="178">
        <v>0.1</v>
      </c>
      <c r="P10" s="179"/>
      <c r="Q10" s="180"/>
      <c r="R10" s="113"/>
      <c r="S10" s="125">
        <v>777</v>
      </c>
      <c r="T10" s="124" t="s">
        <v>175</v>
      </c>
      <c r="U10" s="126">
        <v>0.8</v>
      </c>
      <c r="V10" s="105"/>
      <c r="W10" s="137"/>
      <c r="X10" s="82">
        <v>777</v>
      </c>
      <c r="Y10" s="138">
        <v>1000</v>
      </c>
      <c r="Z10" s="30">
        <v>1100</v>
      </c>
      <c r="AA10" s="74"/>
      <c r="AB10" s="135"/>
      <c r="AC10" s="82"/>
      <c r="AD10" s="138"/>
      <c r="AE10" s="82"/>
      <c r="AF10" s="136"/>
      <c r="AG10" s="119"/>
      <c r="AH10" s="125" t="s">
        <v>173</v>
      </c>
      <c r="AI10" s="124">
        <v>2</v>
      </c>
      <c r="AJ10" s="126">
        <v>-1</v>
      </c>
      <c r="AK10" s="114"/>
      <c r="AL10" s="127">
        <v>2</v>
      </c>
      <c r="AM10" s="128" t="s">
        <v>173</v>
      </c>
      <c r="AN10" s="129">
        <v>0.99</v>
      </c>
      <c r="AO10" s="86"/>
    </row>
    <row r="11" spans="3:41" ht="18.5" x14ac:dyDescent="0.45">
      <c r="C11" s="85"/>
      <c r="D11" s="68" t="s">
        <v>3</v>
      </c>
      <c r="E11" s="69">
        <v>200</v>
      </c>
      <c r="F11" s="213" t="s">
        <v>178</v>
      </c>
      <c r="G11" s="5"/>
      <c r="H11" s="68" t="s">
        <v>65</v>
      </c>
      <c r="I11" s="104">
        <v>1</v>
      </c>
      <c r="J11" s="213" t="s">
        <v>187</v>
      </c>
      <c r="K11" s="78"/>
      <c r="L11" s="78"/>
      <c r="M11" s="75" t="s">
        <v>74</v>
      </c>
      <c r="N11" s="124" t="s">
        <v>12</v>
      </c>
      <c r="O11" s="124" t="s">
        <v>12</v>
      </c>
      <c r="P11" s="124"/>
      <c r="Q11" s="124"/>
      <c r="R11" s="113"/>
      <c r="S11" s="50">
        <v>1100</v>
      </c>
      <c r="T11" s="74" t="s">
        <v>175</v>
      </c>
      <c r="U11" s="30">
        <v>0.2</v>
      </c>
      <c r="V11" s="105"/>
      <c r="W11" s="108"/>
      <c r="Y11" s="105"/>
      <c r="Z11" s="30"/>
      <c r="AA11" s="74"/>
      <c r="AB11" s="106"/>
      <c r="AC11" s="74"/>
      <c r="AD11" s="105"/>
      <c r="AE11" s="74"/>
      <c r="AF11" s="107"/>
      <c r="AG11" s="119"/>
      <c r="AH11" s="125" t="s">
        <v>175</v>
      </c>
      <c r="AI11" s="124">
        <v>2</v>
      </c>
      <c r="AJ11" s="126">
        <v>0.25</v>
      </c>
      <c r="AK11" s="114"/>
      <c r="AL11" s="115">
        <v>3</v>
      </c>
      <c r="AM11" s="6" t="s">
        <v>172</v>
      </c>
      <c r="AN11" s="130">
        <v>0.5</v>
      </c>
      <c r="AO11" s="86"/>
    </row>
    <row r="12" spans="3:41" ht="18.5" x14ac:dyDescent="0.45">
      <c r="C12" s="85"/>
      <c r="D12" s="68" t="s">
        <v>40</v>
      </c>
      <c r="E12" s="259" t="s">
        <v>225</v>
      </c>
      <c r="F12" s="213" t="s">
        <v>178</v>
      </c>
      <c r="G12" s="5"/>
      <c r="H12" s="68" t="s">
        <v>66</v>
      </c>
      <c r="I12" s="104">
        <v>10</v>
      </c>
      <c r="J12" s="213" t="str">
        <f>J15</f>
        <v>t/h</v>
      </c>
      <c r="K12" s="78"/>
      <c r="L12" s="78"/>
      <c r="M12" s="75" t="s">
        <v>75</v>
      </c>
      <c r="N12" s="124" t="s">
        <v>173</v>
      </c>
      <c r="O12" s="124" t="s">
        <v>173</v>
      </c>
      <c r="P12" s="78"/>
      <c r="Q12" s="126"/>
      <c r="R12" s="113"/>
      <c r="S12" s="50">
        <v>1000</v>
      </c>
      <c r="T12" s="74" t="s">
        <v>176</v>
      </c>
      <c r="U12" s="30">
        <v>1</v>
      </c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25" t="s">
        <v>176</v>
      </c>
      <c r="AI12" s="124">
        <v>2</v>
      </c>
      <c r="AJ12" s="126">
        <v>0.75</v>
      </c>
      <c r="AK12" s="114"/>
      <c r="AL12" s="115">
        <v>4</v>
      </c>
      <c r="AM12" s="6" t="s">
        <v>171</v>
      </c>
      <c r="AN12" s="130">
        <v>0.6</v>
      </c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213" t="s">
        <v>178</v>
      </c>
      <c r="K13" s="78"/>
      <c r="L13" s="78"/>
      <c r="M13" s="75"/>
      <c r="N13" s="74" t="s">
        <v>171</v>
      </c>
      <c r="O13" s="74" t="s">
        <v>171</v>
      </c>
      <c r="P13" s="74"/>
      <c r="Q13" s="69"/>
      <c r="R13" s="113"/>
      <c r="S13" s="50"/>
      <c r="T13" s="74"/>
      <c r="U13" s="3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 t="s">
        <v>172</v>
      </c>
      <c r="AI13" s="105">
        <v>3</v>
      </c>
      <c r="AJ13" s="107">
        <v>-1</v>
      </c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213" t="s">
        <v>190</v>
      </c>
      <c r="K14" s="78"/>
      <c r="L14" s="78"/>
      <c r="M14" s="76"/>
      <c r="N14" s="74" t="s">
        <v>172</v>
      </c>
      <c r="O14" s="74" t="s">
        <v>172</v>
      </c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 t="s">
        <v>175</v>
      </c>
      <c r="AI14" s="105">
        <v>3</v>
      </c>
      <c r="AJ14" s="107">
        <v>0.25</v>
      </c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213" t="s">
        <v>188</v>
      </c>
      <c r="K15" s="78"/>
      <c r="L15" s="78"/>
      <c r="M15" s="76"/>
      <c r="N15" s="74" t="s">
        <v>169</v>
      </c>
      <c r="O15" s="74" t="s">
        <v>169</v>
      </c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 t="s">
        <v>176</v>
      </c>
      <c r="AI15" s="105">
        <v>3</v>
      </c>
      <c r="AJ15" s="107">
        <v>0.75</v>
      </c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67" t="s">
        <v>173</v>
      </c>
      <c r="J16" s="213" t="s">
        <v>178</v>
      </c>
      <c r="K16" s="78"/>
      <c r="L16" s="78"/>
      <c r="M16" s="76"/>
      <c r="N16" s="78"/>
      <c r="O16" s="20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 t="s">
        <v>171</v>
      </c>
      <c r="AI16" s="74">
        <v>4</v>
      </c>
      <c r="AJ16" s="107">
        <v>-1</v>
      </c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>
        <v>20</v>
      </c>
      <c r="F17" s="213" t="s">
        <v>182</v>
      </c>
      <c r="G17" s="5"/>
      <c r="H17" s="217"/>
      <c r="I17" s="69" t="s">
        <v>169</v>
      </c>
      <c r="J17" s="213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 t="s">
        <v>175</v>
      </c>
      <c r="AI17" s="74">
        <v>4</v>
      </c>
      <c r="AJ17" s="107">
        <v>0.25</v>
      </c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>
        <v>35</v>
      </c>
      <c r="F18" s="213" t="s">
        <v>182</v>
      </c>
      <c r="G18" s="5"/>
      <c r="H18" s="76"/>
      <c r="I18" s="69" t="s">
        <v>171</v>
      </c>
      <c r="J18" s="213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 t="s">
        <v>176</v>
      </c>
      <c r="AI18" s="74">
        <v>4</v>
      </c>
      <c r="AJ18" s="107">
        <v>0.75</v>
      </c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182</v>
      </c>
      <c r="G19" s="5"/>
      <c r="H19" s="76"/>
      <c r="I19" s="69" t="s">
        <v>172</v>
      </c>
      <c r="J19" s="213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182</v>
      </c>
      <c r="G20" s="5"/>
      <c r="H20" s="76"/>
      <c r="I20" s="69"/>
      <c r="J20" s="213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 t="s">
        <v>92</v>
      </c>
      <c r="F21" s="213" t="s">
        <v>178</v>
      </c>
      <c r="G21" s="5"/>
      <c r="H21" s="109"/>
      <c r="I21" s="69"/>
      <c r="J21" s="213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213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213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175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175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213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21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T10:T27 O12:Q12 AH10:AH27 N17:Q27 O13:O15 I16:I27 N12:N16 P14:Q16 AC10:AC27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16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17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/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204</v>
      </c>
      <c r="F10" s="213" t="s">
        <v>178</v>
      </c>
      <c r="G10" s="5"/>
      <c r="H10" s="66" t="s">
        <v>2</v>
      </c>
      <c r="I10" s="67"/>
      <c r="J10" s="95" t="s">
        <v>178</v>
      </c>
      <c r="K10" s="78"/>
      <c r="L10" s="78"/>
      <c r="M10" s="66" t="s">
        <v>73</v>
      </c>
      <c r="N10" s="178"/>
      <c r="O10" s="178"/>
      <c r="P10" s="179"/>
      <c r="Q10" s="180"/>
      <c r="R10" s="113"/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8.5" x14ac:dyDescent="0.45">
      <c r="C11" s="85"/>
      <c r="D11" s="68" t="s">
        <v>3</v>
      </c>
      <c r="E11" s="69">
        <v>300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78"/>
      <c r="L11" s="78"/>
      <c r="M11" s="75" t="s">
        <v>74</v>
      </c>
      <c r="N11" s="124"/>
      <c r="O11" s="124"/>
      <c r="P11" s="124"/>
      <c r="Q11" s="124"/>
      <c r="R11" s="113"/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161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78"/>
      <c r="L12" s="78"/>
      <c r="M12" s="75" t="s">
        <v>75</v>
      </c>
      <c r="N12" s="124"/>
      <c r="O12" s="124"/>
      <c r="P12" s="78"/>
      <c r="Q12" s="126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E13" s="3" t="s">
        <v>205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78"/>
      <c r="L13" s="78"/>
      <c r="M13" s="75" t="s">
        <v>191</v>
      </c>
      <c r="N13" s="74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78"/>
      <c r="L14" s="78"/>
      <c r="M14" s="76"/>
      <c r="N14" s="78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8.5" x14ac:dyDescent="0.4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78"/>
      <c r="L15" s="78"/>
      <c r="M15" s="76"/>
      <c r="N15" s="78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8.5" x14ac:dyDescent="0.45">
      <c r="C16" s="85"/>
      <c r="D16" s="68" t="s">
        <v>57</v>
      </c>
      <c r="E16" s="69">
        <v>1.44</v>
      </c>
      <c r="F16" s="213" t="s">
        <v>178</v>
      </c>
      <c r="G16" s="5"/>
      <c r="H16" s="75" t="s">
        <v>53</v>
      </c>
      <c r="I16" s="69" t="s">
        <v>175</v>
      </c>
      <c r="J16" s="86" t="s">
        <v>178</v>
      </c>
      <c r="K16" s="78"/>
      <c r="L16" s="78"/>
      <c r="M16" s="76"/>
      <c r="N16" s="78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 t="s">
        <v>191</v>
      </c>
      <c r="I17" s="69"/>
      <c r="J17" s="86" t="s">
        <v>178</v>
      </c>
      <c r="K17" s="78"/>
      <c r="L17" s="78"/>
      <c r="M17" s="76"/>
      <c r="N17" s="78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69"/>
      <c r="J18" s="86"/>
      <c r="K18" s="78"/>
      <c r="L18" s="78"/>
      <c r="M18" s="76"/>
      <c r="N18" s="78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69"/>
      <c r="J19" s="86"/>
      <c r="K19" s="78"/>
      <c r="L19" s="78"/>
      <c r="M19" s="76"/>
      <c r="N19" s="78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69"/>
      <c r="J20" s="86"/>
      <c r="K20" s="78"/>
      <c r="L20" s="78"/>
      <c r="M20" s="109"/>
      <c r="N20" s="78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0.57999999999999996</v>
      </c>
      <c r="F21" s="213" t="s">
        <v>178</v>
      </c>
      <c r="G21" s="5"/>
      <c r="H21" s="109"/>
      <c r="I21" s="69"/>
      <c r="J21" s="86"/>
      <c r="K21" s="78"/>
      <c r="L21" s="78"/>
      <c r="M21" s="109"/>
      <c r="N21" s="78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69"/>
      <c r="J22" s="86"/>
      <c r="K22" s="78"/>
      <c r="L22" s="78"/>
      <c r="M22" s="109"/>
      <c r="N22" s="78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81"/>
      <c r="J23" s="86"/>
      <c r="K23" s="78"/>
      <c r="L23" s="78"/>
      <c r="M23" s="109"/>
      <c r="N23" s="78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81"/>
      <c r="J24" s="91"/>
      <c r="K24" s="78"/>
      <c r="L24" s="78"/>
      <c r="M24" s="109"/>
      <c r="N24" s="78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81"/>
      <c r="J25" s="91"/>
      <c r="K25" s="78"/>
      <c r="L25" s="78"/>
      <c r="M25" s="109"/>
      <c r="N25" s="78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81"/>
      <c r="J26" s="86"/>
      <c r="K26" s="78"/>
      <c r="L26" s="78"/>
      <c r="M26" s="109"/>
      <c r="N26" s="78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227" t="s">
        <v>217</v>
      </c>
      <c r="E27" s="228">
        <f>Systemblatt!C11</f>
        <v>8000</v>
      </c>
      <c r="F27" s="229" t="s">
        <v>180</v>
      </c>
      <c r="G27" s="5"/>
      <c r="H27" s="110"/>
      <c r="I27" s="80"/>
      <c r="J27" s="64"/>
      <c r="K27" s="78"/>
      <c r="L27" s="78"/>
      <c r="M27" s="110"/>
      <c r="N27" s="79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9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94"/>
      <c r="AJ2" s="94"/>
      <c r="AK2" s="90"/>
      <c r="AL2" s="90"/>
      <c r="AM2" s="90"/>
      <c r="AN2" s="90"/>
      <c r="AO2" s="95"/>
    </row>
    <row r="3" spans="3:41" x14ac:dyDescent="0.35">
      <c r="C3" s="8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6"/>
    </row>
    <row r="4" spans="3:41" x14ac:dyDescent="0.35">
      <c r="C4" s="8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6"/>
    </row>
    <row r="5" spans="3:41" x14ac:dyDescent="0.35">
      <c r="C5" s="8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6"/>
    </row>
    <row r="6" spans="3:41" x14ac:dyDescent="0.35">
      <c r="C6" s="85"/>
      <c r="D6" s="366"/>
      <c r="E6" s="366"/>
      <c r="F6" s="5"/>
      <c r="G6" s="5"/>
      <c r="H6" s="366"/>
      <c r="I6" s="366"/>
      <c r="J6" s="15"/>
      <c r="K6" s="15"/>
      <c r="L6" s="5"/>
      <c r="M6" s="366"/>
      <c r="N6" s="366"/>
      <c r="O6" s="366"/>
      <c r="P6" s="366"/>
      <c r="Q6" s="5"/>
      <c r="R6" s="5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11"/>
      <c r="AH6" s="11"/>
      <c r="AI6" s="11"/>
      <c r="AJ6" s="11"/>
      <c r="AK6" s="11"/>
      <c r="AL6" s="11"/>
      <c r="AM6" s="11"/>
      <c r="AN6" s="11"/>
      <c r="AO6" s="86"/>
    </row>
    <row r="7" spans="3:41" ht="15" thickBot="1" x14ac:dyDescent="0.4">
      <c r="C7" s="8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6"/>
    </row>
    <row r="8" spans="3:41" ht="24" thickBot="1" x14ac:dyDescent="0.6">
      <c r="C8" s="85"/>
      <c r="D8" s="347" t="s">
        <v>50</v>
      </c>
      <c r="E8" s="348"/>
      <c r="F8" s="349"/>
      <c r="G8" s="5"/>
      <c r="H8" s="350" t="s">
        <v>51</v>
      </c>
      <c r="I8" s="351"/>
      <c r="J8" s="352"/>
      <c r="K8" s="5"/>
      <c r="L8" s="5"/>
      <c r="M8" s="360" t="s">
        <v>70</v>
      </c>
      <c r="N8" s="361"/>
      <c r="O8" s="361"/>
      <c r="P8" s="361"/>
      <c r="Q8" s="362"/>
      <c r="R8" s="5"/>
      <c r="S8" s="354" t="s">
        <v>76</v>
      </c>
      <c r="T8" s="355"/>
      <c r="U8" s="356"/>
      <c r="V8" s="12"/>
      <c r="W8" s="357" t="s">
        <v>106</v>
      </c>
      <c r="X8" s="358"/>
      <c r="Y8" s="358"/>
      <c r="Z8" s="359"/>
      <c r="AA8" s="11"/>
      <c r="AB8" s="357" t="s">
        <v>83</v>
      </c>
      <c r="AC8" s="358"/>
      <c r="AD8" s="358"/>
      <c r="AE8" s="358"/>
      <c r="AF8" s="359"/>
      <c r="AG8" s="11"/>
      <c r="AH8" s="363" t="s">
        <v>5</v>
      </c>
      <c r="AI8" s="364"/>
      <c r="AJ8" s="365"/>
      <c r="AK8" s="97"/>
      <c r="AL8" s="363" t="s">
        <v>6</v>
      </c>
      <c r="AM8" s="364"/>
      <c r="AN8" s="365"/>
      <c r="AO8" s="86"/>
    </row>
    <row r="9" spans="3:41" ht="21.5" thickBot="1" x14ac:dyDescent="0.55000000000000004">
      <c r="C9" s="85"/>
      <c r="D9" s="72" t="s">
        <v>30</v>
      </c>
      <c r="E9" s="212" t="s">
        <v>0</v>
      </c>
      <c r="F9" s="215" t="s">
        <v>177</v>
      </c>
      <c r="G9" s="5"/>
      <c r="H9" s="98" t="s">
        <v>30</v>
      </c>
      <c r="I9" s="98" t="s">
        <v>52</v>
      </c>
      <c r="J9" s="73" t="s">
        <v>177</v>
      </c>
      <c r="K9" s="5"/>
      <c r="L9" s="5"/>
      <c r="M9" s="99" t="s">
        <v>30</v>
      </c>
      <c r="N9" s="99" t="s">
        <v>18</v>
      </c>
      <c r="O9" s="99" t="s">
        <v>71</v>
      </c>
      <c r="P9" s="99" t="s">
        <v>72</v>
      </c>
      <c r="Q9" s="99" t="s">
        <v>114</v>
      </c>
      <c r="R9" s="5" t="s">
        <v>177</v>
      </c>
      <c r="S9" s="84" t="s">
        <v>77</v>
      </c>
      <c r="T9" s="84" t="s">
        <v>33</v>
      </c>
      <c r="U9" s="84" t="s">
        <v>78</v>
      </c>
      <c r="V9" s="13"/>
      <c r="W9" s="100" t="s">
        <v>102</v>
      </c>
      <c r="X9" s="202" t="s">
        <v>158</v>
      </c>
      <c r="Y9" s="202" t="s">
        <v>159</v>
      </c>
      <c r="Z9" s="200" t="s">
        <v>160</v>
      </c>
      <c r="AA9" s="11"/>
      <c r="AB9" s="100" t="s">
        <v>80</v>
      </c>
      <c r="AC9" s="100" t="s">
        <v>79</v>
      </c>
      <c r="AD9" s="100" t="s">
        <v>81</v>
      </c>
      <c r="AE9" s="100" t="s">
        <v>33</v>
      </c>
      <c r="AF9" s="100" t="s">
        <v>82</v>
      </c>
      <c r="AG9" s="11"/>
      <c r="AH9" s="141" t="s">
        <v>33</v>
      </c>
      <c r="AI9" s="141" t="s">
        <v>89</v>
      </c>
      <c r="AJ9" s="141" t="s">
        <v>0</v>
      </c>
      <c r="AK9" s="96"/>
      <c r="AL9" s="141" t="s">
        <v>89</v>
      </c>
      <c r="AM9" s="141" t="s">
        <v>90</v>
      </c>
      <c r="AN9" s="141" t="s">
        <v>91</v>
      </c>
      <c r="AO9" s="86"/>
    </row>
    <row r="10" spans="3:41" ht="18.5" x14ac:dyDescent="0.45">
      <c r="C10" s="85"/>
      <c r="D10" s="66" t="s">
        <v>1</v>
      </c>
      <c r="E10" s="67" t="s">
        <v>227</v>
      </c>
      <c r="F10" s="213" t="s">
        <v>178</v>
      </c>
      <c r="G10" s="5"/>
      <c r="H10" s="66" t="s">
        <v>2</v>
      </c>
      <c r="I10" s="67"/>
      <c r="J10" s="95" t="s">
        <v>178</v>
      </c>
      <c r="K10" s="5"/>
      <c r="L10" s="78"/>
      <c r="M10" s="66" t="s">
        <v>73</v>
      </c>
      <c r="N10" s="178"/>
      <c r="O10" s="178"/>
      <c r="P10" s="179"/>
      <c r="Q10" s="180"/>
      <c r="R10" s="5" t="s">
        <v>194</v>
      </c>
      <c r="S10" s="102"/>
      <c r="T10" s="103"/>
      <c r="U10" s="104"/>
      <c r="V10" s="105"/>
      <c r="W10" s="137"/>
      <c r="X10" s="82"/>
      <c r="Y10" s="138"/>
      <c r="Z10" s="136"/>
      <c r="AA10" s="74"/>
      <c r="AB10" s="135"/>
      <c r="AC10" s="82"/>
      <c r="AD10" s="138"/>
      <c r="AE10" s="82"/>
      <c r="AF10" s="136"/>
      <c r="AG10" s="119"/>
      <c r="AH10" s="125" t="s">
        <v>175</v>
      </c>
      <c r="AI10" s="124">
        <v>5</v>
      </c>
      <c r="AJ10" s="126">
        <v>-1</v>
      </c>
      <c r="AK10" s="114"/>
      <c r="AL10" s="127">
        <v>5</v>
      </c>
      <c r="AM10" s="128" t="s">
        <v>175</v>
      </c>
      <c r="AN10" s="129">
        <v>1</v>
      </c>
      <c r="AO10" s="86"/>
    </row>
    <row r="11" spans="3:41" ht="19" thickBot="1" x14ac:dyDescent="0.5">
      <c r="C11" s="85"/>
      <c r="D11" s="68" t="s">
        <v>3</v>
      </c>
      <c r="E11" s="69">
        <v>310</v>
      </c>
      <c r="F11" s="213" t="s">
        <v>178</v>
      </c>
      <c r="G11" s="5"/>
      <c r="H11" s="68" t="s">
        <v>65</v>
      </c>
      <c r="I11" s="104">
        <v>2</v>
      </c>
      <c r="J11" s="86" t="s">
        <v>187</v>
      </c>
      <c r="K11" s="5"/>
      <c r="L11" s="78"/>
      <c r="M11" s="75" t="s">
        <v>74</v>
      </c>
      <c r="N11" s="124"/>
      <c r="O11" s="124"/>
      <c r="P11" s="78"/>
      <c r="Q11" s="126"/>
      <c r="R11" s="5" t="s">
        <v>188</v>
      </c>
      <c r="S11" s="102"/>
      <c r="T11" s="103"/>
      <c r="U11" s="104"/>
      <c r="V11" s="105"/>
      <c r="W11" s="108"/>
      <c r="X11" s="74"/>
      <c r="Y11" s="105"/>
      <c r="Z11" s="107"/>
      <c r="AA11" s="74"/>
      <c r="AB11" s="106"/>
      <c r="AC11" s="74"/>
      <c r="AD11" s="105"/>
      <c r="AE11" s="74"/>
      <c r="AF11" s="107"/>
      <c r="AG11" s="119"/>
      <c r="AH11" s="125" t="s">
        <v>15</v>
      </c>
      <c r="AI11" s="124">
        <v>5</v>
      </c>
      <c r="AJ11" s="126">
        <v>0.8</v>
      </c>
      <c r="AK11" s="114"/>
      <c r="AL11" s="115"/>
      <c r="AM11" s="6"/>
      <c r="AN11" s="130"/>
      <c r="AO11" s="86"/>
    </row>
    <row r="12" spans="3:41" ht="18.5" x14ac:dyDescent="0.45">
      <c r="C12" s="85"/>
      <c r="D12" s="68" t="s">
        <v>40</v>
      </c>
      <c r="E12" s="204" t="s">
        <v>23</v>
      </c>
      <c r="F12" s="213" t="s">
        <v>178</v>
      </c>
      <c r="G12" s="5"/>
      <c r="H12" s="68" t="s">
        <v>66</v>
      </c>
      <c r="I12" s="104">
        <v>10</v>
      </c>
      <c r="J12" s="86" t="str">
        <f>J15</f>
        <v>t/h</v>
      </c>
      <c r="K12" s="5"/>
      <c r="L12" s="78"/>
      <c r="M12" s="246" t="s">
        <v>75</v>
      </c>
      <c r="N12" s="254"/>
      <c r="O12" s="178"/>
      <c r="P12" s="179"/>
      <c r="Q12" s="180"/>
      <c r="R12" s="113"/>
      <c r="S12" s="125"/>
      <c r="T12" s="124"/>
      <c r="U12" s="126"/>
      <c r="V12" s="105"/>
      <c r="W12" s="108"/>
      <c r="X12" s="74"/>
      <c r="Y12" s="43"/>
      <c r="Z12" s="30"/>
      <c r="AA12" s="43"/>
      <c r="AB12" s="50"/>
      <c r="AC12" s="74"/>
      <c r="AD12" s="43"/>
      <c r="AE12" s="74"/>
      <c r="AF12" s="107"/>
      <c r="AG12" s="119"/>
      <c r="AH12" s="106" t="s">
        <v>14</v>
      </c>
      <c r="AI12" s="124">
        <v>5</v>
      </c>
      <c r="AJ12" s="107">
        <v>0.2</v>
      </c>
      <c r="AK12" s="114"/>
      <c r="AL12" s="115"/>
      <c r="AM12" s="6"/>
      <c r="AN12" s="130"/>
      <c r="AO12" s="86"/>
    </row>
    <row r="13" spans="3:41" ht="18.5" x14ac:dyDescent="0.45">
      <c r="C13" s="85"/>
      <c r="D13" s="68" t="s">
        <v>54</v>
      </c>
      <c r="F13" s="213" t="s">
        <v>178</v>
      </c>
      <c r="G13" s="5"/>
      <c r="H13" s="68" t="s">
        <v>67</v>
      </c>
      <c r="I13" s="104">
        <v>0.1</v>
      </c>
      <c r="J13" s="86" t="s">
        <v>178</v>
      </c>
      <c r="K13" s="5"/>
      <c r="L13" s="78"/>
      <c r="M13" s="247"/>
      <c r="N13" s="125"/>
      <c r="O13" s="74"/>
      <c r="P13" s="74"/>
      <c r="Q13" s="69"/>
      <c r="R13" s="113"/>
      <c r="S13" s="118"/>
      <c r="T13" s="119"/>
      <c r="U13" s="120"/>
      <c r="V13" s="43"/>
      <c r="W13" s="108"/>
      <c r="X13" s="74"/>
      <c r="Y13" s="43"/>
      <c r="Z13" s="30"/>
      <c r="AA13" s="43"/>
      <c r="AB13" s="50"/>
      <c r="AC13" s="74"/>
      <c r="AD13" s="43"/>
      <c r="AE13" s="74"/>
      <c r="AF13" s="107"/>
      <c r="AG13" s="119"/>
      <c r="AH13" s="106"/>
      <c r="AI13" s="105"/>
      <c r="AJ13" s="107"/>
      <c r="AK13" s="114"/>
      <c r="AL13" s="116"/>
      <c r="AM13" s="6"/>
      <c r="AN13" s="117"/>
      <c r="AO13" s="86"/>
    </row>
    <row r="14" spans="3:41" ht="18.5" x14ac:dyDescent="0.45">
      <c r="C14" s="85"/>
      <c r="D14" s="68" t="s">
        <v>55</v>
      </c>
      <c r="E14" s="69">
        <v>25</v>
      </c>
      <c r="F14" s="213" t="s">
        <v>178</v>
      </c>
      <c r="G14" s="5"/>
      <c r="H14" s="68" t="s">
        <v>68</v>
      </c>
      <c r="I14" s="104">
        <v>2018</v>
      </c>
      <c r="J14" s="86" t="s">
        <v>190</v>
      </c>
      <c r="K14" s="5"/>
      <c r="L14" s="78"/>
      <c r="M14" s="248"/>
      <c r="N14" s="109"/>
      <c r="O14" s="78"/>
      <c r="P14" s="78"/>
      <c r="Q14" s="81"/>
      <c r="R14" s="113"/>
      <c r="S14" s="50"/>
      <c r="T14" s="74"/>
      <c r="U14" s="30"/>
      <c r="V14" s="43"/>
      <c r="W14" s="108"/>
      <c r="X14" s="74"/>
      <c r="Y14" s="43"/>
      <c r="Z14" s="30"/>
      <c r="AA14" s="43"/>
      <c r="AB14" s="50"/>
      <c r="AC14" s="74"/>
      <c r="AD14" s="43"/>
      <c r="AE14" s="74"/>
      <c r="AF14" s="107"/>
      <c r="AG14" s="119"/>
      <c r="AH14" s="106"/>
      <c r="AI14" s="105"/>
      <c r="AJ14" s="107"/>
      <c r="AK14" s="114"/>
      <c r="AL14" s="116"/>
      <c r="AM14" s="6"/>
      <c r="AN14" s="117"/>
      <c r="AO14" s="86"/>
    </row>
    <row r="15" spans="3:41" ht="19" thickBot="1" x14ac:dyDescent="0.5">
      <c r="C15" s="85"/>
      <c r="D15" s="68" t="s">
        <v>56</v>
      </c>
      <c r="E15" s="69">
        <v>2.6</v>
      </c>
      <c r="F15" s="213" t="s">
        <v>178</v>
      </c>
      <c r="G15" s="5"/>
      <c r="H15" s="75" t="s">
        <v>69</v>
      </c>
      <c r="I15" s="69" t="s">
        <v>12</v>
      </c>
      <c r="J15" s="86" t="s">
        <v>188</v>
      </c>
      <c r="K15" s="5"/>
      <c r="L15" s="78"/>
      <c r="M15" s="248"/>
      <c r="N15" s="109"/>
      <c r="O15" s="78"/>
      <c r="P15" s="78"/>
      <c r="Q15" s="81"/>
      <c r="R15" s="113"/>
      <c r="S15" s="50"/>
      <c r="T15" s="74"/>
      <c r="U15" s="30"/>
      <c r="V15" s="43"/>
      <c r="W15" s="88"/>
      <c r="X15" s="15"/>
      <c r="Y15" s="15"/>
      <c r="Z15" s="65"/>
      <c r="AA15" s="74"/>
      <c r="AB15" s="108"/>
      <c r="AC15" s="74"/>
      <c r="AD15" s="74"/>
      <c r="AE15" s="74"/>
      <c r="AF15" s="107"/>
      <c r="AG15" s="119"/>
      <c r="AH15" s="106"/>
      <c r="AI15" s="105"/>
      <c r="AJ15" s="107"/>
      <c r="AK15" s="114"/>
      <c r="AL15" s="116"/>
      <c r="AM15" s="6"/>
      <c r="AN15" s="117"/>
      <c r="AO15" s="86"/>
    </row>
    <row r="16" spans="3:41" ht="19" thickBot="1" x14ac:dyDescent="0.5">
      <c r="C16" s="85"/>
      <c r="D16" s="68" t="s">
        <v>57</v>
      </c>
      <c r="E16" s="69">
        <v>1.44</v>
      </c>
      <c r="F16" s="213" t="s">
        <v>178</v>
      </c>
      <c r="G16" s="5"/>
      <c r="H16" s="239" t="s">
        <v>53</v>
      </c>
      <c r="I16" s="241" t="s">
        <v>175</v>
      </c>
      <c r="J16" s="95" t="s">
        <v>178</v>
      </c>
      <c r="K16" s="5"/>
      <c r="L16" s="78"/>
      <c r="M16" s="248"/>
      <c r="N16" s="109"/>
      <c r="O16" s="78"/>
      <c r="P16" s="78"/>
      <c r="Q16" s="81"/>
      <c r="R16" s="113"/>
      <c r="S16" s="108"/>
      <c r="T16" s="74"/>
      <c r="U16" s="69"/>
      <c r="V16" s="74"/>
      <c r="W16" s="88"/>
      <c r="X16" s="15"/>
      <c r="Y16" s="15"/>
      <c r="Z16" s="65"/>
      <c r="AA16" s="74"/>
      <c r="AB16" s="108"/>
      <c r="AC16" s="74"/>
      <c r="AD16" s="74"/>
      <c r="AE16" s="74"/>
      <c r="AF16" s="69"/>
      <c r="AG16" s="119"/>
      <c r="AH16" s="106"/>
      <c r="AI16" s="74"/>
      <c r="AJ16" s="69"/>
      <c r="AK16" s="78"/>
      <c r="AL16" s="109"/>
      <c r="AM16" s="6"/>
      <c r="AN16" s="81"/>
      <c r="AO16" s="86"/>
    </row>
    <row r="17" spans="3:41" ht="18.5" x14ac:dyDescent="0.45">
      <c r="C17" s="85"/>
      <c r="D17" s="68" t="s">
        <v>58</v>
      </c>
      <c r="E17" s="69"/>
      <c r="F17" s="213" t="s">
        <v>193</v>
      </c>
      <c r="G17" s="5"/>
      <c r="H17" s="75"/>
      <c r="I17" s="242"/>
      <c r="J17" s="86" t="s">
        <v>178</v>
      </c>
      <c r="K17" s="5"/>
      <c r="L17" s="78"/>
      <c r="M17" s="248"/>
      <c r="N17" s="109"/>
      <c r="O17" s="78"/>
      <c r="P17" s="78"/>
      <c r="Q17" s="81"/>
      <c r="R17" s="113"/>
      <c r="S17" s="108"/>
      <c r="T17" s="74"/>
      <c r="U17" s="69"/>
      <c r="V17" s="74"/>
      <c r="W17" s="88"/>
      <c r="X17" s="15"/>
      <c r="Y17" s="15"/>
      <c r="Z17" s="65"/>
      <c r="AA17" s="74"/>
      <c r="AB17" s="108"/>
      <c r="AC17" s="74"/>
      <c r="AD17" s="74"/>
      <c r="AE17" s="74"/>
      <c r="AF17" s="69"/>
      <c r="AG17" s="119"/>
      <c r="AH17" s="106"/>
      <c r="AI17" s="74"/>
      <c r="AJ17" s="69"/>
      <c r="AK17" s="78"/>
      <c r="AL17" s="109"/>
      <c r="AM17" s="6"/>
      <c r="AN17" s="81"/>
      <c r="AO17" s="86"/>
    </row>
    <row r="18" spans="3:41" ht="18.5" x14ac:dyDescent="0.45">
      <c r="C18" s="85"/>
      <c r="D18" s="70" t="s">
        <v>59</v>
      </c>
      <c r="E18" s="69"/>
      <c r="F18" s="213" t="s">
        <v>193</v>
      </c>
      <c r="G18" s="5"/>
      <c r="H18" s="76"/>
      <c r="I18" s="242"/>
      <c r="J18" s="86" t="s">
        <v>178</v>
      </c>
      <c r="K18" s="5"/>
      <c r="L18" s="78"/>
      <c r="M18" s="248"/>
      <c r="N18" s="109"/>
      <c r="O18" s="78"/>
      <c r="P18" s="78"/>
      <c r="Q18" s="81"/>
      <c r="R18" s="113"/>
      <c r="S18" s="108"/>
      <c r="T18" s="74"/>
      <c r="U18" s="69"/>
      <c r="V18" s="74"/>
      <c r="W18" s="88"/>
      <c r="X18" s="15"/>
      <c r="Y18" s="15"/>
      <c r="Z18" s="65"/>
      <c r="AA18" s="74"/>
      <c r="AB18" s="108"/>
      <c r="AC18" s="74"/>
      <c r="AD18" s="74"/>
      <c r="AE18" s="74"/>
      <c r="AF18" s="69"/>
      <c r="AG18" s="119"/>
      <c r="AH18" s="106"/>
      <c r="AI18" s="74"/>
      <c r="AJ18" s="69"/>
      <c r="AK18" s="78"/>
      <c r="AL18" s="109"/>
      <c r="AM18" s="6"/>
      <c r="AN18" s="81"/>
      <c r="AO18" s="86"/>
    </row>
    <row r="19" spans="3:41" ht="18.5" x14ac:dyDescent="0.45">
      <c r="C19" s="85"/>
      <c r="D19" s="68" t="s">
        <v>60</v>
      </c>
      <c r="E19" s="69"/>
      <c r="F19" s="213" t="s">
        <v>193</v>
      </c>
      <c r="G19" s="5"/>
      <c r="H19" s="76"/>
      <c r="I19" s="242"/>
      <c r="J19" s="86" t="s">
        <v>178</v>
      </c>
      <c r="K19" s="5"/>
      <c r="L19" s="78"/>
      <c r="M19" s="248"/>
      <c r="N19" s="109"/>
      <c r="O19" s="78"/>
      <c r="P19" s="78"/>
      <c r="Q19" s="81"/>
      <c r="R19" s="113"/>
      <c r="S19" s="108"/>
      <c r="T19" s="74"/>
      <c r="U19" s="69"/>
      <c r="V19" s="74"/>
      <c r="W19" s="88"/>
      <c r="X19" s="15"/>
      <c r="Y19" s="15"/>
      <c r="Z19" s="65"/>
      <c r="AA19" s="74"/>
      <c r="AB19" s="108"/>
      <c r="AC19" s="74"/>
      <c r="AD19" s="74"/>
      <c r="AE19" s="74"/>
      <c r="AF19" s="69"/>
      <c r="AG19" s="119"/>
      <c r="AH19" s="106"/>
      <c r="AI19" s="74"/>
      <c r="AJ19" s="69"/>
      <c r="AK19" s="78"/>
      <c r="AL19" s="109"/>
      <c r="AM19" s="6"/>
      <c r="AN19" s="81"/>
      <c r="AO19" s="86"/>
    </row>
    <row r="20" spans="3:41" ht="18.5" x14ac:dyDescent="0.45">
      <c r="C20" s="85"/>
      <c r="D20" s="70" t="s">
        <v>61</v>
      </c>
      <c r="E20" s="69"/>
      <c r="F20" s="213" t="s">
        <v>193</v>
      </c>
      <c r="G20" s="5"/>
      <c r="H20" s="76"/>
      <c r="I20" s="242"/>
      <c r="J20" s="86" t="s">
        <v>178</v>
      </c>
      <c r="K20" s="5"/>
      <c r="L20" s="78"/>
      <c r="M20" s="243"/>
      <c r="N20" s="109"/>
      <c r="O20" s="78"/>
      <c r="P20" s="78"/>
      <c r="Q20" s="81"/>
      <c r="R20" s="113"/>
      <c r="S20" s="108"/>
      <c r="T20" s="74"/>
      <c r="U20" s="69"/>
      <c r="V20" s="74"/>
      <c r="W20" s="88"/>
      <c r="X20" s="15"/>
      <c r="Y20" s="15"/>
      <c r="Z20" s="65"/>
      <c r="AA20" s="74"/>
      <c r="AB20" s="108"/>
      <c r="AC20" s="74"/>
      <c r="AD20" s="74"/>
      <c r="AE20" s="74"/>
      <c r="AF20" s="69"/>
      <c r="AG20" s="119"/>
      <c r="AH20" s="106"/>
      <c r="AI20" s="74"/>
      <c r="AJ20" s="69"/>
      <c r="AK20" s="78"/>
      <c r="AL20" s="109"/>
      <c r="AM20" s="6"/>
      <c r="AN20" s="81"/>
      <c r="AO20" s="86"/>
    </row>
    <row r="21" spans="3:41" ht="18.5" x14ac:dyDescent="0.45">
      <c r="C21" s="85"/>
      <c r="D21" s="70" t="s">
        <v>62</v>
      </c>
      <c r="E21" s="142">
        <v>0.83</v>
      </c>
      <c r="F21" s="213" t="s">
        <v>178</v>
      </c>
      <c r="G21" s="5"/>
      <c r="H21" s="109"/>
      <c r="I21" s="242"/>
      <c r="J21" s="86" t="s">
        <v>178</v>
      </c>
      <c r="K21" s="5"/>
      <c r="L21" s="78"/>
      <c r="M21" s="243"/>
      <c r="N21" s="109"/>
      <c r="O21" s="78"/>
      <c r="P21" s="78"/>
      <c r="Q21" s="81"/>
      <c r="R21" s="113"/>
      <c r="S21" s="108"/>
      <c r="T21" s="74"/>
      <c r="U21" s="69"/>
      <c r="V21" s="74"/>
      <c r="W21" s="88"/>
      <c r="X21" s="15"/>
      <c r="Y21" s="15"/>
      <c r="Z21" s="65"/>
      <c r="AA21" s="74"/>
      <c r="AB21" s="108"/>
      <c r="AC21" s="74"/>
      <c r="AD21" s="74"/>
      <c r="AE21" s="74"/>
      <c r="AF21" s="69"/>
      <c r="AG21" s="119"/>
      <c r="AH21" s="106"/>
      <c r="AI21" s="74"/>
      <c r="AJ21" s="69"/>
      <c r="AK21" s="78"/>
      <c r="AL21" s="109"/>
      <c r="AM21" s="6"/>
      <c r="AN21" s="81"/>
      <c r="AO21" s="86"/>
    </row>
    <row r="22" spans="3:41" ht="18.5" x14ac:dyDescent="0.45">
      <c r="C22" s="85"/>
      <c r="D22" s="70" t="s">
        <v>63</v>
      </c>
      <c r="E22" s="69"/>
      <c r="F22" s="213" t="s">
        <v>178</v>
      </c>
      <c r="G22" s="5"/>
      <c r="H22" s="109"/>
      <c r="I22" s="242"/>
      <c r="J22" s="86" t="s">
        <v>178</v>
      </c>
      <c r="K22" s="5"/>
      <c r="L22" s="78"/>
      <c r="M22" s="243"/>
      <c r="N22" s="109"/>
      <c r="O22" s="78"/>
      <c r="P22" s="78"/>
      <c r="Q22" s="81"/>
      <c r="R22" s="113"/>
      <c r="S22" s="108"/>
      <c r="T22" s="74"/>
      <c r="U22" s="69"/>
      <c r="V22" s="74"/>
      <c r="W22" s="88"/>
      <c r="X22" s="15"/>
      <c r="Y22" s="15"/>
      <c r="Z22" s="65"/>
      <c r="AA22" s="74"/>
      <c r="AB22" s="108"/>
      <c r="AC22" s="74"/>
      <c r="AD22" s="74"/>
      <c r="AE22" s="74"/>
      <c r="AF22" s="69"/>
      <c r="AG22" s="119"/>
      <c r="AH22" s="106"/>
      <c r="AI22" s="74"/>
      <c r="AJ22" s="69"/>
      <c r="AK22" s="78"/>
      <c r="AL22" s="109"/>
      <c r="AM22" s="6"/>
      <c r="AN22" s="81"/>
      <c r="AO22" s="86"/>
    </row>
    <row r="23" spans="3:41" ht="18.5" x14ac:dyDescent="0.45">
      <c r="C23" s="85"/>
      <c r="D23" s="70" t="s">
        <v>64</v>
      </c>
      <c r="E23" s="69"/>
      <c r="F23" s="213" t="s">
        <v>178</v>
      </c>
      <c r="G23" s="5"/>
      <c r="H23" s="109"/>
      <c r="I23" s="243"/>
      <c r="J23" s="86" t="s">
        <v>178</v>
      </c>
      <c r="K23" s="5"/>
      <c r="L23" s="78"/>
      <c r="M23" s="243"/>
      <c r="N23" s="109"/>
      <c r="O23" s="78"/>
      <c r="P23" s="78"/>
      <c r="Q23" s="81"/>
      <c r="R23" s="113"/>
      <c r="S23" s="108"/>
      <c r="T23" s="74"/>
      <c r="U23" s="69"/>
      <c r="V23" s="74"/>
      <c r="W23" s="88"/>
      <c r="X23" s="15"/>
      <c r="Y23" s="15"/>
      <c r="Z23" s="65"/>
      <c r="AA23" s="74"/>
      <c r="AB23" s="108"/>
      <c r="AC23" s="74"/>
      <c r="AD23" s="74"/>
      <c r="AE23" s="74"/>
      <c r="AF23" s="69"/>
      <c r="AG23" s="119"/>
      <c r="AH23" s="106"/>
      <c r="AI23" s="74"/>
      <c r="AJ23" s="69"/>
      <c r="AK23" s="78"/>
      <c r="AL23" s="109"/>
      <c r="AM23" s="6"/>
      <c r="AN23" s="81"/>
      <c r="AO23" s="86"/>
    </row>
    <row r="24" spans="3:41" ht="18.5" x14ac:dyDescent="0.45">
      <c r="C24" s="85"/>
      <c r="D24" s="131" t="s">
        <v>84</v>
      </c>
      <c r="E24" s="91"/>
      <c r="F24" s="213" t="s">
        <v>178</v>
      </c>
      <c r="G24" s="11"/>
      <c r="H24" s="109"/>
      <c r="I24" s="243"/>
      <c r="J24" s="86" t="s">
        <v>178</v>
      </c>
      <c r="K24" s="5"/>
      <c r="L24" s="78"/>
      <c r="M24" s="243"/>
      <c r="N24" s="109"/>
      <c r="O24" s="78"/>
      <c r="P24" s="78"/>
      <c r="Q24" s="81"/>
      <c r="R24" s="113"/>
      <c r="S24" s="108"/>
      <c r="T24" s="74"/>
      <c r="U24" s="69"/>
      <c r="V24" s="74"/>
      <c r="W24" s="88"/>
      <c r="X24" s="15"/>
      <c r="Y24" s="15"/>
      <c r="Z24" s="65"/>
      <c r="AA24" s="74"/>
      <c r="AB24" s="108"/>
      <c r="AC24" s="74"/>
      <c r="AD24" s="74"/>
      <c r="AE24" s="74"/>
      <c r="AF24" s="69"/>
      <c r="AG24" s="119"/>
      <c r="AH24" s="106"/>
      <c r="AI24" s="74"/>
      <c r="AJ24" s="69"/>
      <c r="AK24" s="78"/>
      <c r="AL24" s="109"/>
      <c r="AM24" s="6"/>
      <c r="AN24" s="81"/>
      <c r="AO24" s="86"/>
    </row>
    <row r="25" spans="3:41" ht="18.5" x14ac:dyDescent="0.45">
      <c r="C25" s="85"/>
      <c r="D25" s="131" t="s">
        <v>85</v>
      </c>
      <c r="E25" s="91"/>
      <c r="F25" s="213" t="s">
        <v>178</v>
      </c>
      <c r="G25" s="11"/>
      <c r="H25" s="109"/>
      <c r="I25" s="243"/>
      <c r="J25" s="86" t="s">
        <v>178</v>
      </c>
      <c r="K25" s="5"/>
      <c r="L25" s="78"/>
      <c r="M25" s="243"/>
      <c r="N25" s="109"/>
      <c r="O25" s="78"/>
      <c r="P25" s="78"/>
      <c r="Q25" s="81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4"/>
      <c r="AJ25" s="69"/>
      <c r="AK25" s="78"/>
      <c r="AL25" s="109"/>
      <c r="AM25" s="6"/>
      <c r="AN25" s="81"/>
      <c r="AO25" s="86"/>
    </row>
    <row r="26" spans="3:41" ht="19" thickBot="1" x14ac:dyDescent="0.5">
      <c r="C26" s="85"/>
      <c r="D26" s="132" t="s">
        <v>86</v>
      </c>
      <c r="E26" s="64"/>
      <c r="F26" s="214" t="s">
        <v>178</v>
      </c>
      <c r="G26" s="5"/>
      <c r="H26" s="109"/>
      <c r="I26" s="243"/>
      <c r="J26" s="86" t="s">
        <v>178</v>
      </c>
      <c r="K26" s="5"/>
      <c r="L26" s="78"/>
      <c r="M26" s="243"/>
      <c r="N26" s="109"/>
      <c r="O26" s="78"/>
      <c r="P26" s="78"/>
      <c r="Q26" s="81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4"/>
      <c r="AJ26" s="69"/>
      <c r="AK26" s="78"/>
      <c r="AL26" s="109"/>
      <c r="AM26" s="6"/>
      <c r="AN26" s="81"/>
      <c r="AO26" s="86"/>
    </row>
    <row r="27" spans="3:41" ht="19" thickBot="1" x14ac:dyDescent="0.5">
      <c r="C27" s="85"/>
      <c r="D27" s="132" t="s">
        <v>107</v>
      </c>
      <c r="E27" s="71">
        <f>Systemblatt!C11</f>
        <v>8000</v>
      </c>
      <c r="F27" s="214" t="s">
        <v>180</v>
      </c>
      <c r="G27" s="5"/>
      <c r="H27" s="110"/>
      <c r="I27" s="244"/>
      <c r="J27" s="64" t="s">
        <v>178</v>
      </c>
      <c r="K27" s="5"/>
      <c r="L27" s="78"/>
      <c r="M27" s="244"/>
      <c r="N27" s="110"/>
      <c r="O27" s="79"/>
      <c r="P27" s="79"/>
      <c r="Q27" s="80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1"/>
      <c r="AK27" s="78"/>
      <c r="AL27" s="110"/>
      <c r="AM27" s="134"/>
      <c r="AN27" s="80"/>
      <c r="AO27" s="86"/>
    </row>
    <row r="28" spans="3:41" ht="15.5" x14ac:dyDescent="0.35">
      <c r="C28" s="8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6"/>
    </row>
    <row r="29" spans="3:41" ht="15.5" x14ac:dyDescent="0.35">
      <c r="C29" s="8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6"/>
    </row>
    <row r="30" spans="3:41" ht="15.5" x14ac:dyDescent="0.35">
      <c r="C30" s="8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6"/>
    </row>
    <row r="31" spans="3:41" x14ac:dyDescent="0.35">
      <c r="C31" s="8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6"/>
    </row>
    <row r="32" spans="3:41" x14ac:dyDescent="0.35">
      <c r="C32" s="8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6"/>
    </row>
    <row r="33" spans="3:41" x14ac:dyDescent="0.35">
      <c r="C33" s="8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6"/>
    </row>
    <row r="34" spans="3:41" x14ac:dyDescent="0.35">
      <c r="C34" s="8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6"/>
    </row>
    <row r="35" spans="3:41" x14ac:dyDescent="0.35">
      <c r="C35" s="8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6"/>
    </row>
    <row r="36" spans="3:41" x14ac:dyDescent="0.35">
      <c r="C36" s="8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6"/>
    </row>
    <row r="37" spans="3:41" x14ac:dyDescent="0.35">
      <c r="C37" s="8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6"/>
    </row>
    <row r="38" spans="3:41" x14ac:dyDescent="0.35">
      <c r="C38" s="8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6"/>
    </row>
    <row r="39" spans="3:41" x14ac:dyDescent="0.35">
      <c r="C39" s="8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6"/>
    </row>
    <row r="40" spans="3:41" x14ac:dyDescent="0.35">
      <c r="C40" s="8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6"/>
    </row>
    <row r="41" spans="3:41" x14ac:dyDescent="0.35">
      <c r="C41" s="8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6"/>
    </row>
    <row r="42" spans="3:41" x14ac:dyDescent="0.35">
      <c r="C42" s="8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6"/>
    </row>
    <row r="43" spans="3:41" x14ac:dyDescent="0.35">
      <c r="C43" s="8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6"/>
    </row>
    <row r="44" spans="3:41" x14ac:dyDescent="0.35">
      <c r="C44" s="8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6"/>
    </row>
    <row r="45" spans="3:41" x14ac:dyDescent="0.35">
      <c r="C45" s="8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6"/>
    </row>
    <row r="46" spans="3:41" x14ac:dyDescent="0.35">
      <c r="C46" s="8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6"/>
    </row>
    <row r="47" spans="3:41" ht="15.5" x14ac:dyDescent="0.35">
      <c r="C47" s="8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6"/>
    </row>
    <row r="48" spans="3:41" x14ac:dyDescent="0.35">
      <c r="C48" s="8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6"/>
    </row>
    <row r="49" spans="3:41" x14ac:dyDescent="0.35">
      <c r="C49" s="8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6"/>
    </row>
    <row r="50" spans="3:41" x14ac:dyDescent="0.35">
      <c r="C50" s="8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6"/>
    </row>
    <row r="51" spans="3:41" x14ac:dyDescent="0.35">
      <c r="C51" s="8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6"/>
    </row>
    <row r="52" spans="3:41" x14ac:dyDescent="0.35">
      <c r="C52" s="8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6"/>
    </row>
    <row r="53" spans="3:41" x14ac:dyDescent="0.35">
      <c r="C53" s="8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6"/>
    </row>
    <row r="54" spans="3:41" x14ac:dyDescent="0.35">
      <c r="C54" s="8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6"/>
    </row>
    <row r="55" spans="3:41" x14ac:dyDescent="0.35">
      <c r="C55" s="8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6"/>
    </row>
    <row r="56" spans="3:41" x14ac:dyDescent="0.35">
      <c r="C56" s="8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6"/>
    </row>
    <row r="57" spans="3:41" x14ac:dyDescent="0.35">
      <c r="C57" s="8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6"/>
    </row>
    <row r="58" spans="3:41" x14ac:dyDescent="0.35">
      <c r="C58" s="8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6"/>
    </row>
    <row r="59" spans="3:41" x14ac:dyDescent="0.35">
      <c r="C59" s="8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6"/>
    </row>
    <row r="60" spans="3:41" x14ac:dyDescent="0.35">
      <c r="C60" s="8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6"/>
    </row>
    <row r="61" spans="3:41" x14ac:dyDescent="0.35">
      <c r="C61" s="8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6"/>
    </row>
    <row r="62" spans="3:41" x14ac:dyDescent="0.35">
      <c r="C62" s="8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6"/>
    </row>
    <row r="63" spans="3:41" x14ac:dyDescent="0.35">
      <c r="C63" s="8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6"/>
    </row>
    <row r="64" spans="3:41" x14ac:dyDescent="0.35">
      <c r="C64" s="8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6"/>
    </row>
    <row r="65" spans="3:41" x14ac:dyDescent="0.35">
      <c r="C65" s="8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6"/>
    </row>
    <row r="66" spans="3:41" x14ac:dyDescent="0.35">
      <c r="C66" s="8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6"/>
    </row>
    <row r="67" spans="3:41" x14ac:dyDescent="0.35">
      <c r="C67" s="8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6"/>
    </row>
    <row r="68" spans="3:41" x14ac:dyDescent="0.35">
      <c r="C68" s="8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6"/>
    </row>
    <row r="69" spans="3:41" x14ac:dyDescent="0.35">
      <c r="C69" s="8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6"/>
    </row>
    <row r="70" spans="3:41" ht="15" thickBot="1" x14ac:dyDescent="0.4">
      <c r="C70" s="7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87"/>
      <c r="AL70" s="87"/>
      <c r="AM70" s="87"/>
      <c r="AN70" s="87"/>
      <c r="AO70" s="64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testYield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2023-11-08T13:16:19Z</dcterms:modified>
</cp:coreProperties>
</file>