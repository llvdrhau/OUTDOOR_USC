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"/>
    </mc:Choice>
  </mc:AlternateContent>
  <xr:revisionPtr revIDLastSave="0" documentId="13_ncr:1_{BE097C1A-FAF8-402F-8307-158A8875641C}" xr6:coauthVersionLast="47" xr6:coauthVersionMax="47" xr10:uidLastSave="{00000000-0000-0000-0000-000000000000}"/>
  <bookViews>
    <workbookView xWindow="57480" yWindow="-1680" windowWidth="29040" windowHeight="15720" tabRatio="609" activeTab="11" xr2:uid="{F0922C42-4112-4628-95FA-9F15DE1E480B}"/>
  </bookViews>
  <sheets>
    <sheet name="Systemblatt" sheetId="14" r:id="rId1"/>
    <sheet name="Template_PhysicalProcess" sheetId="83" state="hidden" r:id="rId2"/>
    <sheet name="Template_StoichReactor" sheetId="90" state="hidden" r:id="rId3"/>
    <sheet name="Template_YieldReactor" sheetId="103" state="hidden" r:id="rId4"/>
    <sheet name="Template_ElGenerator" sheetId="120" state="hidden" r:id="rId5"/>
    <sheet name="Template_SteamGenerator" sheetId="121" state="hidden" r:id="rId6"/>
    <sheet name="DataBank" sheetId="12" r:id="rId7"/>
    <sheet name="Pools" sheetId="114" r:id="rId8"/>
    <sheet name="Sources" sheetId="115" r:id="rId9"/>
    <sheet name="Uncertainty_test_idea" sheetId="136" state="hidden" r:id="rId10"/>
    <sheet name="Distributor" sheetId="119" r:id="rId11"/>
    <sheet name="Uncertainty" sheetId="138" r:id="rId12"/>
    <sheet name="testYield" sheetId="139" r:id="rId13"/>
    <sheet name="preprocessing" sheetId="124" r:id="rId14"/>
    <sheet name="help_unit" sheetId="129" r:id="rId15"/>
    <sheet name="Microwave assisted extraction" sheetId="125" r:id="rId16"/>
    <sheet name="Solvent recovery" sheetId="132" r:id="rId17"/>
    <sheet name="ultra sound assisted extraction" sheetId="133" r:id="rId18"/>
    <sheet name="Solvent Recovery 2" sheetId="134" r:id="rId19"/>
    <sheet name="Yeast Fermentation" sheetId="127" r:id="rId20"/>
    <sheet name="Anaerobic Digestor" sheetId="126" r:id="rId21"/>
    <sheet name="elek Generator" sheetId="128" r:id="rId22"/>
    <sheet name="steam generator" sheetId="131" r:id="rId23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39" l="1"/>
  <c r="J12" i="139"/>
  <c r="D14" i="136"/>
  <c r="D13" i="136"/>
  <c r="D12" i="136"/>
  <c r="D11" i="136"/>
  <c r="D10" i="136"/>
  <c r="D9" i="136"/>
  <c r="D8" i="136"/>
  <c r="D7" i="136"/>
  <c r="E27" i="134"/>
  <c r="J12" i="134"/>
  <c r="E27" i="133"/>
  <c r="J12" i="133"/>
  <c r="E27" i="132"/>
  <c r="J12" i="132"/>
  <c r="E27" i="131"/>
  <c r="J12" i="131"/>
  <c r="E27" i="128"/>
  <c r="E27" i="126"/>
  <c r="E27" i="127"/>
  <c r="E27" i="125"/>
  <c r="E27" i="129"/>
  <c r="E27" i="124"/>
  <c r="E27" i="121"/>
  <c r="E27" i="103"/>
  <c r="E27" i="120"/>
  <c r="E27" i="90"/>
  <c r="E27" i="83"/>
  <c r="J12" i="129"/>
  <c r="J12" i="128"/>
  <c r="J12" i="127"/>
  <c r="J12" i="126"/>
  <c r="J12" i="125"/>
  <c r="J12" i="124"/>
  <c r="J12" i="121"/>
  <c r="J12" i="120"/>
  <c r="J12" i="103"/>
  <c r="J12" i="90"/>
  <c r="J12" i="83"/>
  <c r="F13" i="115"/>
  <c r="G13" i="115"/>
  <c r="H13" i="115"/>
  <c r="I13" i="115"/>
  <c r="J13" i="115"/>
  <c r="K13" i="115"/>
  <c r="L13" i="115"/>
  <c r="M13" i="115"/>
  <c r="N13" i="115"/>
  <c r="O13" i="115"/>
  <c r="E13" i="115"/>
</calcChain>
</file>

<file path=xl/sharedStrings.xml><?xml version="1.0" encoding="utf-8"?>
<sst xmlns="http://schemas.openxmlformats.org/spreadsheetml/2006/main" count="2100" uniqueCount="304">
  <si>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</si>
  <si>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</si>
  <si>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</si>
  <si>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</si>
  <si>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</si>
  <si>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</si>
  <si>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</si>
  <si>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</si>
  <si>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</si>
  <si>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</si>
  <si>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</si>
  <si>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</si>
  <si>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</si>
  <si>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</si>
  <si>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</si>
  <si>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</si>
  <si>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</si>
  <si>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</si>
  <si>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Productload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</si>
  <si>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</si>
  <si>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</si>
  <si>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</si>
  <si>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</si>
  <si>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</si>
  <si>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</si>
  <si>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</si>
  <si>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</si>
  <si>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b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</si>
  <si>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</si>
  <si>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</si>
  <si>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</si>
  <si>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</si>
  <si>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</si>
  <si>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</si>
  <si>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</si>
  <si>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</si>
  <si>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</si>
  <si>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</si>
  <si>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</si>
  <si>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</si>
  <si>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</si>
  <si>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</si>
  <si>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</si>
  <si>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</si>
  <si>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</si>
  <si>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</si>
  <si>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</si>
  <si>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</si>
  <si>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</si>
  <si>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</si>
  <si>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</si>
  <si>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</si>
  <si>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</si>
  <si>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</si>
  <si>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</si>
  <si>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</si>
  <si>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</si>
  <si>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</si>
  <si>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</si>
  <si>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</si>
  <si>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</si>
  <si>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</si>
  <si>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</si>
  <si>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</si>
  <si>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</si>
  <si>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</si>
  <si>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</si>
  <si>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</si>
  <si>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</si>
  <si>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</si>
  <si>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</si>
  <si>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</si>
  <si>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</si>
  <si>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</si>
  <si>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</si>
  <si>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</si>
  <si>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</si>
  <si>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</si>
  <si>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</si>
  <si>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</si>
  <si>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</si>
  <si>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</si>
  <si>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</si>
  <si>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</si>
  <si>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</si>
  <si>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</si>
  <si>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</si>
  <si>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</si>
  <si>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</si>
  <si>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</si>
  <si>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</si>
  <si>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</si>
  <si>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</si>
  <si>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</si>
  <si>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</si>
  <si>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</si>
  <si>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</si>
  <si>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</si>
  <si>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</si>
  <si>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</si>
  <si>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</si>
  <si>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</si>
  <si>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</si>
  <si>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</si>
  <si>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</si>
  <si>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</si>
  <si>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</si>
  <si>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</si>
  <si>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</si>
  <si>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</si>
  <si>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</si>
  <si>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</si>
  <si>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</si>
  <si>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</si>
  <si>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</si>
  <si>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</si>
  <si>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MinProduction</t>
  </si>
  <si>
    <t>MaxProduction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</si>
  <si>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</si>
  <si>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</si>
  <si>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</si>
  <si>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</si>
  <si>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</si>
  <si>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</si>
  <si>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</si>
  <si>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</si>
  <si>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</si>
  <si>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source_costs</t>
  </si>
  <si>
    <t>heating_demand</t>
  </si>
  <si>
    <t>component_concentration</t>
  </si>
  <si>
    <t>capital_costs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</si>
  <si>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</si>
  <si>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</si>
  <si>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</si>
  <si>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</si>
  <si>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</si>
  <si>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</si>
  <si>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</si>
  <si>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</si>
  <si>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</si>
  <si>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</si>
  <si>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</si>
  <si>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</si>
  <si>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</si>
  <si>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</si>
  <si>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</si>
  <si>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</si>
  <si>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</si>
  <si>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</si>
  <si>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</si>
  <si>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</si>
  <si>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</si>
  <si>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</si>
  <si>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</si>
  <si>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</si>
  <si>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</si>
  <si>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</si>
  <si>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</si>
  <si>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</si>
  <si>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</si>
  <si>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</si>
  <si>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</si>
  <si>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</si>
  <si>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</si>
  <si>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</si>
  <si>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</si>
  <si>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opex</t>
  </si>
  <si>
    <t>simple_capex</t>
  </si>
  <si>
    <t>product_price</t>
  </si>
  <si>
    <t>O&amp;M Factor</t>
  </si>
  <si>
    <t>Operating Hours</t>
  </si>
  <si>
    <t>EBIT</t>
  </si>
  <si>
    <t>agri_test</t>
  </si>
  <si>
    <t>Phenolics</t>
  </si>
  <si>
    <t>PotatoPeels</t>
  </si>
  <si>
    <t xml:space="preserve">proteins 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</si>
  <si>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</si>
  <si>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</si>
  <si>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</si>
  <si>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</si>
  <si>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</si>
  <si>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</si>
  <si>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</si>
  <si>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</si>
  <si>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</si>
  <si>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</si>
  <si>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</si>
  <si>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</si>
  <si>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</si>
  <si>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</si>
  <si>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</si>
  <si>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</si>
  <si>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</si>
  <si>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</si>
  <si>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</si>
  <si>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Source list</t>
  </si>
  <si>
    <t>Ethanol</t>
  </si>
  <si>
    <t>K or C</t>
  </si>
  <si>
    <t>MWh/{unit specific}</t>
  </si>
  <si>
    <t>Sugar - Yeast fermentation</t>
  </si>
  <si>
    <t>EthOH</t>
  </si>
  <si>
    <t>BioMass</t>
  </si>
  <si>
    <t>AD - sugars</t>
  </si>
  <si>
    <t>AD- lipids</t>
  </si>
  <si>
    <t>AD-proteins</t>
  </si>
  <si>
    <t>Methane combustion</t>
  </si>
  <si>
    <t>Yeast Ferm.</t>
  </si>
  <si>
    <t>AD</t>
  </si>
  <si>
    <t>Elect Generator</t>
  </si>
  <si>
    <t>generator</t>
  </si>
  <si>
    <t>Price (€/t)</t>
  </si>
  <si>
    <t>units</t>
  </si>
  <si>
    <t>€/t</t>
  </si>
  <si>
    <t>Fresh-water-factor</t>
  </si>
  <si>
    <t>Lower-Limit</t>
  </si>
  <si>
    <t>Upper-Limit</t>
  </si>
  <si>
    <t>MAE</t>
  </si>
  <si>
    <t>grinding</t>
  </si>
  <si>
    <t>passthrough</t>
  </si>
  <si>
    <t>Passthrough</t>
  </si>
  <si>
    <t>PP splitter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</si>
  <si>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</si>
  <si>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</si>
  <si>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</si>
  <si>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</si>
  <si>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</si>
  <si>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</si>
  <si>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</si>
  <si>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</si>
  <si>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</si>
  <si>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</si>
  <si>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steam gen.</t>
  </si>
  <si>
    <t>Methane</t>
  </si>
  <si>
    <t>Solvent</t>
  </si>
  <si>
    <t>DES</t>
  </si>
  <si>
    <t>DES recovery</t>
  </si>
  <si>
    <t>gas splitter</t>
  </si>
  <si>
    <t>UAE</t>
  </si>
  <si>
    <t>Solvent recov2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</si>
  <si>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</si>
  <si>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</si>
  <si>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</si>
  <si>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</si>
  <si>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</si>
  <si>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</si>
  <si>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</si>
  <si>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</si>
  <si>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</si>
  <si>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</si>
  <si>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</si>
  <si>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</si>
  <si>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</si>
  <si>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</si>
  <si>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</si>
  <si>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</si>
  <si>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</si>
  <si>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</si>
  <si>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</si>
  <si>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</si>
  <si>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</si>
  <si>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</si>
  <si>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</si>
  <si>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</si>
  <si>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</si>
  <si>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</si>
  <si>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</si>
  <si>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Equal </t>
  </si>
  <si>
    <t xml:space="preserve">Manual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</si>
  <si>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</si>
  <si>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</si>
  <si>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</si>
  <si>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</si>
  <si>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</si>
  <si>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</si>
  <si>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</si>
  <si>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</si>
  <si>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</si>
  <si>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…</t>
  </si>
  <si>
    <t>Correlation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</si>
  <si>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</si>
  <si>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</si>
  <si>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</si>
  <si>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</si>
  <si>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</si>
  <si>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</si>
  <si>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</si>
  <si>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</si>
  <si>
    <t>Split factors (myu)</t>
  </si>
  <si>
    <t>Stoichiometric factor (gamma)</t>
  </si>
  <si>
    <t>Feed Composition (phi)</t>
  </si>
  <si>
    <t>Conversion factor (theta)</t>
  </si>
  <si>
    <t>testY</t>
  </si>
  <si>
    <t>PLA</t>
  </si>
  <si>
    <t>Bio-Plastic</t>
  </si>
  <si>
    <t>SOURCE price</t>
  </si>
  <si>
    <t>POOL price</t>
  </si>
  <si>
    <t>materialcosts</t>
  </si>
  <si>
    <t>ProductPrice</t>
  </si>
  <si>
    <t xml:space="preserve">Level </t>
  </si>
  <si>
    <t>custom</t>
  </si>
  <si>
    <t>[1, 0, -1]</t>
  </si>
  <si>
    <t>[1, -1]</t>
  </si>
  <si>
    <t>Custom Level set</t>
  </si>
  <si>
    <t>interval of the levels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</si>
</sst>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rgb="FF000000"/>
      <name val="Calibri"/>
    </font>
    <font>
      <b/>
      <sz val="20"/>
      <color rgb="FF000000"/>
      <name val="Calibri"/>
    </font>
  </fonts>
  <fills count="18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8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</cellStyleXfs>
  <cellXfs count="389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14" fillId="5" borderId="0" xfId="1" applyFont="1" applyFill="1" applyAlignment="1" applyProtection="1">
      <alignment vertic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164" fontId="15" fillId="5" borderId="0" xfId="1" applyNumberFormat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left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left"/>
      <protection locked="0"/>
    </xf>
    <xf numFmtId="0" fontId="15" fillId="5" borderId="12" xfId="1" applyFont="1" applyFill="1" applyBorder="1" applyAlignment="1" applyProtection="1">
      <alignment horizontal="left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1" xfId="0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15" fillId="5" borderId="3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7" fillId="5" borderId="18" xfId="4" applyFont="1" applyFill="1" applyBorder="1" applyAlignment="1" applyProtection="1">
      <alignment horizontal="center"/>
      <protection locked="0"/>
    </xf>
    <xf numFmtId="0" fontId="17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7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5" fillId="5" borderId="3" xfId="0" applyFont="1" applyFill="1" applyBorder="1" applyAlignment="1">
      <alignment horizontal="center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0" xfId="3" applyFont="1" applyFill="1" applyBorder="1" applyAlignment="1">
      <alignment horizontal="left" vertical="center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5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 vertical="center"/>
      <protection locked="0"/>
    </xf>
    <xf numFmtId="0" fontId="9" fillId="5" borderId="0" xfId="1" applyFont="1" applyFill="1" applyAlignment="1" applyProtection="1">
      <alignment vertic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1" fillId="5" borderId="10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19" fillId="5" borderId="12" xfId="1" applyFont="1" applyFill="1" applyBorder="1" applyAlignment="1">
      <alignment horizontal="left"/>
    </xf>
    <xf numFmtId="0" fontId="0" fillId="0" borderId="12" xfId="0" applyBorder="1" applyProtection="1">
      <protection locked="0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18" fillId="5" borderId="18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18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20" xfId="0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1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5" fillId="5" borderId="0" xfId="0" applyFont="1" applyFill="1" applyAlignment="1">
      <alignment vertical="center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5" fillId="5" borderId="18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15" fillId="5" borderId="10" xfId="0" applyFont="1" applyFill="1" applyBorder="1" applyProtection="1">
      <protection locked="0"/>
    </xf>
    <xf numFmtId="0" fontId="15" fillId="5" borderId="14" xfId="0" applyFont="1" applyFill="1" applyBorder="1" applyAlignment="1">
      <alignment horizontal="center" vertical="center"/>
    </xf>
    <xf numFmtId="0" fontId="15" fillId="5" borderId="15" xfId="0" applyFont="1" applyFill="1" applyBorder="1" applyAlignment="1">
      <alignment horizontal="center" vertical="center"/>
    </xf>
    <xf numFmtId="0" fontId="22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0" fillId="15" borderId="0" xfId="0" applyFill="1" applyProtection="1">
      <protection locked="0"/>
    </xf>
    <xf numFmtId="0" fontId="15" fillId="16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5" fillId="0" borderId="0" xfId="0" applyFont="1" applyAlignment="1" applyProtection="1">
      <alignment horizontal="center"/>
      <protection locked="0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7" borderId="5" xfId="0" applyFill="1" applyBorder="1" applyAlignment="1">
      <alignment horizontal="center"/>
    </xf>
    <xf numFmtId="0" fontId="0" fillId="17" borderId="3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7" borderId="12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0" borderId="7" xfId="0" applyBorder="1"/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Alignment="1">
      <alignment horizontal="left"/>
    </xf>
    <xf numFmtId="0" fontId="23" fillId="5" borderId="0" xfId="0" applyFont="1" applyFill="1"/>
    <xf numFmtId="0" fontId="23" fillId="5" borderId="0" xfId="0" applyFont="1" applyFill="1" applyAlignment="1">
      <alignment horizontal="left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4" fillId="7" borderId="10" xfId="1" applyFont="1" applyFill="1" applyBorder="1" applyAlignment="1" applyProtection="1">
      <alignment horizontal="center" vertical="center"/>
      <protection locked="0"/>
    </xf>
    <xf numFmtId="0" fontId="14" fillId="7" borderId="3" xfId="1" applyFont="1" applyFill="1" applyBorder="1" applyAlignment="1" applyProtection="1">
      <alignment horizontal="center" vertical="center"/>
      <protection locked="0"/>
    </xf>
    <xf numFmtId="0" fontId="14" fillId="7" borderId="11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4" fillId="12" borderId="10" xfId="0" applyFont="1" applyFill="1" applyBorder="1" applyAlignment="1">
      <alignment horizontal="center"/>
    </xf>
    <xf numFmtId="0" fontId="14" fillId="12" borderId="3" xfId="0" applyFont="1" applyFill="1" applyBorder="1" applyAlignment="1">
      <alignment horizontal="center"/>
    </xf>
    <xf numFmtId="0" fontId="14" fillId="12" borderId="11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0" fillId="5" borderId="7" xfId="0" applyFill="1" applyBorder="1" applyAlignment="1">
      <alignment horizontal="left" vertical="top"/>
    </xf>
    <xf numFmtId="0" fontId="0" fillId="5" borderId="0" xfId="0" applyFill="1" applyBorder="1" applyAlignment="1">
      <alignment horizontal="center" vertical="center"/>
    </xf>
    <xf numFmtId="0" fontId="0" fillId="5" borderId="0" xfId="0" applyFill="1" applyBorder="1" applyAlignment="1">
      <alignment horizontal="center"/>
    </xf>
    <xf numFmtId="0" fontId="0" fillId="0" borderId="0" xfId="0" applyBorder="1" applyAlignment="1"/>
    <xf numFmtId="0" fontId="0" fillId="5" borderId="0" xfId="0" applyFill="1" applyBorder="1"/>
    <xf numFmtId="0" fontId="0" fillId="5" borderId="11" xfId="0" applyFill="1" applyBorder="1" applyAlignment="1">
      <alignment horizontal="right"/>
    </xf>
    <xf numFmtId="0" fontId="0" fillId="5" borderId="5" xfId="0" applyFill="1" applyBorder="1"/>
  </cellXfs>
  <cellStyles count="8"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809626</xdr:colOff>
      <xdr:row>30</xdr:row>
      <xdr:rowOff>142876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184150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s-E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107950</xdr:rowOff>
        </xdr:from>
        <xdr:to>
          <xdr:col>2</xdr:col>
          <xdr:colOff>869950</xdr:colOff>
          <xdr:row>37</xdr:row>
          <xdr:rowOff>146050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1365250</xdr:colOff>
          <xdr:row>39</xdr:row>
          <xdr:rowOff>107950</xdr:rowOff>
        </xdr:from>
        <xdr:to>
          <xdr:col>2</xdr:col>
          <xdr:colOff>850900</xdr:colOff>
          <xdr:row>42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850900</xdr:colOff>
          <xdr:row>47</xdr:row>
          <xdr:rowOff>50800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755650</xdr:colOff>
          <xdr:row>51</xdr:row>
          <xdr:rowOff>107950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zoomScale="70" zoomScaleNormal="70" workbookViewId="0">
      <selection activeCell="E24" sqref="E24"/>
    </sheetView>
  </sheetViews>
  <sheetFormatPr baseColWidth="10" defaultColWidth="10.81640625" defaultRowHeight="15.5" x14ac:dyDescent="0.35"/>
  <cols>
    <col min="1" max="1" width="19.453125" style="2" customWidth="1"/>
    <col min="2" max="2" width="41.26953125" style="2" customWidth="1"/>
    <col min="3" max="3" width="19.453125" style="2" bestFit="1" customWidth="1"/>
    <col min="4" max="4" width="13.81640625" style="2" customWidth="1"/>
    <col min="5" max="6" width="21.26953125" style="2" customWidth="1"/>
    <col min="7" max="7" width="17.7265625" style="2" customWidth="1"/>
    <col min="8" max="8" width="22.7265625" style="2" bestFit="1" customWidth="1"/>
    <col min="9" max="9" width="21.81640625" style="2" bestFit="1" customWidth="1"/>
    <col min="10" max="10" width="21" style="2" bestFit="1" customWidth="1"/>
    <col min="11" max="11" width="19.26953125" style="2" customWidth="1"/>
    <col min="12" max="13" width="20.1796875" style="2" customWidth="1"/>
    <col min="14" max="14" width="28.81640625" style="2" bestFit="1" customWidth="1"/>
    <col min="15" max="15" width="32.54296875" style="2" bestFit="1" customWidth="1"/>
    <col min="16" max="16" width="19.1796875" style="2" bestFit="1" customWidth="1"/>
    <col min="17" max="17" width="16" style="2" bestFit="1" customWidth="1"/>
    <col min="18" max="18" width="22.81640625" style="2" bestFit="1" customWidth="1"/>
    <col min="19" max="19" width="23.81640625" style="2" bestFit="1" customWidth="1"/>
    <col min="20" max="20" width="19.81640625" style="2" bestFit="1" customWidth="1"/>
    <col min="21" max="21" width="19.26953125" style="2" customWidth="1"/>
    <col min="22" max="22" width="23.26953125" style="2" bestFit="1" customWidth="1"/>
    <col min="23" max="23" width="20.1796875" style="2" bestFit="1" customWidth="1"/>
    <col min="24" max="24" width="10.81640625" style="2"/>
    <col min="25" max="25" width="10.81640625" style="2" customWidth="1"/>
    <col min="26" max="16384" width="10.81640625" style="2"/>
  </cols>
  <sheetData>
    <row r="1" spans="1:29" ht="21.5" thickBot="1" x14ac:dyDescent="0.55000000000000004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6" thickBot="1" x14ac:dyDescent="0.4">
      <c r="A2" s="59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6"/>
      <c r="AA2" s="14"/>
      <c r="AB2" s="14"/>
      <c r="AC2" s="14"/>
    </row>
    <row r="3" spans="1:29" ht="27" customHeight="1" thickBot="1" x14ac:dyDescent="0.4">
      <c r="A3" s="38"/>
      <c r="B3" s="322" t="s">
        <v>31</v>
      </c>
      <c r="C3" s="323"/>
      <c r="D3" s="324"/>
      <c r="E3" s="337" t="s">
        <v>34</v>
      </c>
      <c r="F3" s="338"/>
      <c r="G3" s="338"/>
      <c r="H3" s="338"/>
      <c r="I3" s="338"/>
      <c r="J3" s="339"/>
      <c r="K3" s="33"/>
      <c r="L3" s="14"/>
      <c r="M3" s="14"/>
      <c r="N3" s="328" t="s">
        <v>37</v>
      </c>
      <c r="O3" s="329"/>
      <c r="P3" s="330"/>
      <c r="Q3" s="14"/>
      <c r="R3" s="14"/>
      <c r="S3" s="331" t="s">
        <v>41</v>
      </c>
      <c r="T3" s="332"/>
      <c r="U3" s="332"/>
      <c r="V3" s="333"/>
      <c r="W3" s="14"/>
      <c r="X3" s="14"/>
      <c r="Y3" s="14"/>
      <c r="Z3" s="37"/>
      <c r="AA3" s="14"/>
      <c r="AB3" s="14"/>
      <c r="AC3" s="14"/>
    </row>
    <row r="4" spans="1:29" ht="107.15" customHeight="1" thickBot="1" x14ac:dyDescent="0.4">
      <c r="A4" s="38"/>
      <c r="B4" s="189" t="s">
        <v>32</v>
      </c>
      <c r="C4" s="190" t="s">
        <v>0</v>
      </c>
      <c r="D4" s="235" t="s">
        <v>181</v>
      </c>
      <c r="E4" s="185" t="s">
        <v>35</v>
      </c>
      <c r="F4" s="186" t="s">
        <v>190</v>
      </c>
      <c r="G4" s="186" t="s">
        <v>188</v>
      </c>
      <c r="H4" s="186" t="s">
        <v>189</v>
      </c>
      <c r="I4" s="187" t="s">
        <v>36</v>
      </c>
      <c r="J4" s="188"/>
      <c r="K4" s="14"/>
      <c r="L4" s="32"/>
      <c r="M4" s="32"/>
      <c r="N4" s="47" t="s">
        <v>38</v>
      </c>
      <c r="O4" s="48" t="s">
        <v>40</v>
      </c>
      <c r="P4" s="47" t="s">
        <v>39</v>
      </c>
      <c r="Q4" s="14"/>
      <c r="R4" s="14"/>
      <c r="S4" s="166" t="s">
        <v>50</v>
      </c>
      <c r="T4" s="166" t="s">
        <v>49</v>
      </c>
      <c r="U4" s="167" t="s">
        <v>51</v>
      </c>
      <c r="V4" s="167" t="s">
        <v>119</v>
      </c>
      <c r="W4" s="14"/>
      <c r="X4" s="14"/>
      <c r="Z4" s="37"/>
      <c r="AA4" s="14"/>
      <c r="AB4" s="14"/>
      <c r="AC4" s="14"/>
    </row>
    <row r="5" spans="1:29" ht="18.5" x14ac:dyDescent="0.45">
      <c r="A5" s="63"/>
      <c r="B5" s="26" t="s">
        <v>29</v>
      </c>
      <c r="C5" s="28" t="s">
        <v>172</v>
      </c>
      <c r="D5" s="236" t="s">
        <v>182</v>
      </c>
      <c r="E5" s="24" t="s">
        <v>175</v>
      </c>
      <c r="F5" s="44"/>
      <c r="G5" s="45">
        <v>2</v>
      </c>
      <c r="H5" s="44">
        <v>1000</v>
      </c>
      <c r="I5" s="44">
        <v>0</v>
      </c>
      <c r="J5" s="37"/>
      <c r="K5" s="14"/>
      <c r="L5" s="14"/>
      <c r="M5" s="14"/>
      <c r="N5" s="49">
        <v>1</v>
      </c>
      <c r="O5" s="50" t="s">
        <v>199</v>
      </c>
      <c r="P5" s="28" t="s">
        <v>177</v>
      </c>
      <c r="Q5" s="14"/>
      <c r="R5" s="14"/>
      <c r="S5" s="20" t="s">
        <v>19</v>
      </c>
      <c r="T5" s="43">
        <v>87</v>
      </c>
      <c r="U5" s="43">
        <v>1.4E-2</v>
      </c>
      <c r="V5" s="168"/>
      <c r="W5" s="14"/>
      <c r="X5" s="14"/>
      <c r="Y5" s="14"/>
      <c r="Z5" s="37"/>
      <c r="AA5" s="14"/>
      <c r="AB5" s="14"/>
      <c r="AC5" s="14"/>
    </row>
    <row r="6" spans="1:29" ht="18.5" x14ac:dyDescent="0.45">
      <c r="A6" s="38"/>
      <c r="B6" s="24" t="s">
        <v>30</v>
      </c>
      <c r="C6" s="30" t="s">
        <v>171</v>
      </c>
      <c r="D6" s="237" t="s">
        <v>182</v>
      </c>
      <c r="E6" s="24" t="s">
        <v>176</v>
      </c>
      <c r="F6" s="44"/>
      <c r="G6" s="45">
        <v>2</v>
      </c>
      <c r="H6" s="44">
        <v>445</v>
      </c>
      <c r="I6" s="44">
        <v>0</v>
      </c>
      <c r="J6" s="37"/>
      <c r="K6" s="14"/>
      <c r="L6" s="14"/>
      <c r="M6" s="14"/>
      <c r="N6" s="51">
        <v>2</v>
      </c>
      <c r="O6" s="52" t="s">
        <v>202</v>
      </c>
      <c r="P6" s="30" t="s">
        <v>177</v>
      </c>
      <c r="Q6" s="14"/>
      <c r="R6" s="14"/>
      <c r="S6" s="24" t="s">
        <v>20</v>
      </c>
      <c r="T6" s="44"/>
      <c r="U6" s="44">
        <v>0.248</v>
      </c>
      <c r="V6" s="54"/>
      <c r="W6" s="14"/>
      <c r="X6" s="14"/>
      <c r="Y6" s="14"/>
      <c r="Z6" s="37"/>
      <c r="AA6" s="14"/>
      <c r="AB6" s="14"/>
      <c r="AC6" s="14"/>
    </row>
    <row r="7" spans="1:29" ht="19" thickBot="1" x14ac:dyDescent="0.5">
      <c r="A7" s="38"/>
      <c r="B7" s="191" t="s">
        <v>134</v>
      </c>
      <c r="C7" s="192" t="s">
        <v>239</v>
      </c>
      <c r="D7" s="237" t="s">
        <v>182</v>
      </c>
      <c r="E7" s="24" t="s">
        <v>177</v>
      </c>
      <c r="F7" s="44"/>
      <c r="G7" s="45">
        <v>2</v>
      </c>
      <c r="H7" s="44">
        <v>180</v>
      </c>
      <c r="I7" s="44">
        <v>0</v>
      </c>
      <c r="J7" s="37"/>
      <c r="K7" s="14"/>
      <c r="L7" s="14"/>
      <c r="M7" s="14"/>
      <c r="N7" s="51">
        <v>3</v>
      </c>
      <c r="O7" s="52" t="s">
        <v>203</v>
      </c>
      <c r="P7" s="30" t="s">
        <v>176</v>
      </c>
      <c r="Q7" s="14"/>
      <c r="R7" s="14"/>
      <c r="S7" s="25" t="s">
        <v>118</v>
      </c>
      <c r="T7" s="46">
        <v>35</v>
      </c>
      <c r="U7" s="46">
        <v>0.1</v>
      </c>
      <c r="V7" s="56"/>
      <c r="W7" s="14"/>
      <c r="X7" s="14"/>
      <c r="Y7" s="14"/>
      <c r="Z7" s="37"/>
      <c r="AA7" s="14"/>
      <c r="AB7" s="14"/>
      <c r="AC7" s="14"/>
    </row>
    <row r="8" spans="1:29" ht="18.5" x14ac:dyDescent="0.45">
      <c r="A8" s="38"/>
      <c r="B8" s="233" t="s">
        <v>226</v>
      </c>
      <c r="C8" s="234" t="s">
        <v>225</v>
      </c>
      <c r="D8" s="237" t="s">
        <v>182</v>
      </c>
      <c r="E8" s="24" t="s">
        <v>173</v>
      </c>
      <c r="F8" s="44"/>
      <c r="G8" s="45">
        <v>2</v>
      </c>
      <c r="H8" s="44">
        <v>100</v>
      </c>
      <c r="I8" s="44">
        <v>0</v>
      </c>
      <c r="J8" s="37"/>
      <c r="K8" s="14"/>
      <c r="L8" s="14"/>
      <c r="M8" s="14"/>
      <c r="N8" s="51">
        <v>4</v>
      </c>
      <c r="O8" s="52" t="s">
        <v>204</v>
      </c>
      <c r="P8" s="30" t="s">
        <v>175</v>
      </c>
      <c r="Q8" s="14"/>
      <c r="R8" s="14"/>
      <c r="S8" s="59"/>
      <c r="T8" s="35"/>
      <c r="U8" s="35"/>
      <c r="V8" s="168"/>
      <c r="W8" s="14"/>
      <c r="X8" s="14"/>
      <c r="Y8" s="14"/>
      <c r="Z8" s="37"/>
      <c r="AA8" s="14"/>
      <c r="AB8" s="14"/>
      <c r="AC8" s="14"/>
    </row>
    <row r="9" spans="1:29" ht="18.5" x14ac:dyDescent="0.45">
      <c r="A9" s="38"/>
      <c r="B9" s="21" t="s">
        <v>11</v>
      </c>
      <c r="C9" s="30"/>
      <c r="D9" s="237" t="s">
        <v>182</v>
      </c>
      <c r="E9" s="24" t="s">
        <v>179</v>
      </c>
      <c r="F9" s="44">
        <v>5</v>
      </c>
      <c r="G9" s="45">
        <v>2</v>
      </c>
      <c r="H9" s="44">
        <v>20</v>
      </c>
      <c r="I9" s="44">
        <v>10</v>
      </c>
      <c r="J9" s="37"/>
      <c r="K9" s="14"/>
      <c r="L9" s="14"/>
      <c r="M9" s="14"/>
      <c r="N9" s="51">
        <v>5</v>
      </c>
      <c r="O9" s="19" t="s">
        <v>205</v>
      </c>
      <c r="P9" s="30" t="s">
        <v>179</v>
      </c>
      <c r="Q9" s="14"/>
      <c r="R9" s="14"/>
      <c r="S9" s="24"/>
      <c r="T9" s="19"/>
      <c r="U9" s="19"/>
      <c r="V9" s="54"/>
      <c r="W9" s="14"/>
      <c r="X9" s="14"/>
      <c r="Y9" s="14"/>
      <c r="Z9" s="37"/>
      <c r="AA9" s="14"/>
      <c r="AB9" s="14"/>
      <c r="AC9" s="14"/>
    </row>
    <row r="10" spans="1:29" ht="19" thickBot="1" x14ac:dyDescent="0.5">
      <c r="A10" s="38"/>
      <c r="B10" s="27" t="s">
        <v>18</v>
      </c>
      <c r="C10" s="29"/>
      <c r="D10" s="237" t="s">
        <v>183</v>
      </c>
      <c r="E10" s="24" t="s">
        <v>15</v>
      </c>
      <c r="F10" s="44"/>
      <c r="G10" s="45">
        <v>2</v>
      </c>
      <c r="H10" s="44">
        <v>44</v>
      </c>
      <c r="I10" s="44">
        <v>1</v>
      </c>
      <c r="J10" s="37"/>
      <c r="K10" s="14"/>
      <c r="L10" s="14"/>
      <c r="M10" s="14"/>
      <c r="N10" s="53"/>
      <c r="O10" s="19"/>
      <c r="P10" s="54"/>
      <c r="Q10" s="14"/>
      <c r="R10" s="14"/>
      <c r="S10" s="24"/>
      <c r="T10" s="19"/>
      <c r="U10" s="19"/>
      <c r="V10" s="54"/>
      <c r="W10" s="14"/>
      <c r="X10" s="14"/>
      <c r="Y10" s="14"/>
      <c r="Z10" s="37"/>
      <c r="AA10" s="14"/>
      <c r="AB10" s="14"/>
      <c r="AC10" s="14"/>
    </row>
    <row r="11" spans="1:29" ht="18.5" x14ac:dyDescent="0.45">
      <c r="A11" s="38"/>
      <c r="B11" s="20" t="s">
        <v>170</v>
      </c>
      <c r="C11" s="28">
        <v>8000</v>
      </c>
      <c r="D11" s="237" t="s">
        <v>184</v>
      </c>
      <c r="E11" s="24" t="s">
        <v>14</v>
      </c>
      <c r="F11" s="44"/>
      <c r="G11" s="45">
        <v>4</v>
      </c>
      <c r="H11" s="44">
        <v>18</v>
      </c>
      <c r="I11" s="44">
        <v>0</v>
      </c>
      <c r="J11" s="37"/>
      <c r="K11" s="14"/>
      <c r="L11" s="14"/>
      <c r="M11" s="14"/>
      <c r="N11" s="53"/>
      <c r="O11" s="19"/>
      <c r="P11" s="54"/>
      <c r="Q11" s="14"/>
      <c r="R11" s="14"/>
      <c r="S11" s="38"/>
      <c r="T11" s="14"/>
      <c r="U11" s="14"/>
      <c r="V11" s="37"/>
      <c r="W11" s="14"/>
      <c r="X11" s="14"/>
      <c r="Y11" s="14"/>
      <c r="Z11" s="37"/>
      <c r="AA11" s="14"/>
      <c r="AB11" s="14"/>
      <c r="AC11" s="14"/>
    </row>
    <row r="12" spans="1:29" ht="19" thickBot="1" x14ac:dyDescent="0.5">
      <c r="A12" s="38"/>
      <c r="B12" s="21" t="s">
        <v>33</v>
      </c>
      <c r="C12" s="30">
        <v>2018</v>
      </c>
      <c r="D12" s="238"/>
      <c r="E12" s="24" t="s">
        <v>4</v>
      </c>
      <c r="F12" s="44"/>
      <c r="G12" s="45">
        <v>2</v>
      </c>
      <c r="H12" s="44">
        <v>32</v>
      </c>
      <c r="I12" s="44">
        <v>0</v>
      </c>
      <c r="J12" s="37"/>
      <c r="K12" s="14"/>
      <c r="L12" s="14"/>
      <c r="M12" s="14"/>
      <c r="N12" s="53"/>
      <c r="O12" s="19"/>
      <c r="P12" s="54"/>
      <c r="Q12" s="14"/>
      <c r="R12" s="14"/>
      <c r="S12" s="39"/>
      <c r="T12" s="40"/>
      <c r="U12" s="40"/>
      <c r="V12" s="41"/>
      <c r="W12" s="14"/>
      <c r="X12" s="14"/>
      <c r="Y12" s="14"/>
      <c r="Z12" s="37"/>
      <c r="AA12" s="14"/>
      <c r="AB12" s="14"/>
      <c r="AC12" s="14"/>
    </row>
    <row r="13" spans="1:29" ht="18.649999999999999" customHeight="1" thickBot="1" x14ac:dyDescent="0.5">
      <c r="A13" s="38"/>
      <c r="B13" s="21" t="s">
        <v>135</v>
      </c>
      <c r="C13" s="30">
        <v>0.05</v>
      </c>
      <c r="D13" s="238"/>
      <c r="E13" s="24" t="s">
        <v>180</v>
      </c>
      <c r="F13" s="44"/>
      <c r="G13" s="45">
        <v>4</v>
      </c>
      <c r="H13" s="44">
        <v>200</v>
      </c>
      <c r="I13" s="44">
        <v>0</v>
      </c>
      <c r="J13" s="37"/>
      <c r="K13" s="14"/>
      <c r="L13" s="14"/>
      <c r="M13" s="14"/>
      <c r="N13" s="53"/>
      <c r="O13" s="19"/>
      <c r="P13" s="54"/>
      <c r="Q13" s="14"/>
      <c r="R13" s="14"/>
      <c r="S13" s="60" t="s">
        <v>42</v>
      </c>
      <c r="T13" s="61" t="s">
        <v>48</v>
      </c>
      <c r="U13" s="62" t="s">
        <v>49</v>
      </c>
      <c r="V13" s="60"/>
      <c r="W13" s="14"/>
      <c r="X13" s="14"/>
      <c r="Y13" s="14"/>
      <c r="Z13" s="37"/>
      <c r="AA13" s="14"/>
      <c r="AB13" s="14"/>
      <c r="AC13" s="14"/>
    </row>
    <row r="14" spans="1:29" ht="18.5" x14ac:dyDescent="0.45">
      <c r="A14" s="38"/>
      <c r="B14" s="23" t="s">
        <v>136</v>
      </c>
      <c r="C14" s="30" t="s">
        <v>120</v>
      </c>
      <c r="D14" s="238"/>
      <c r="E14" s="24" t="s">
        <v>200</v>
      </c>
      <c r="F14" s="44"/>
      <c r="G14" s="45">
        <v>2.4</v>
      </c>
      <c r="H14" s="44">
        <v>62.08</v>
      </c>
      <c r="I14" s="44">
        <v>0</v>
      </c>
      <c r="J14" s="37"/>
      <c r="K14" s="14"/>
      <c r="L14" s="14"/>
      <c r="M14" s="14"/>
      <c r="N14" s="53"/>
      <c r="O14" s="19"/>
      <c r="P14" s="54"/>
      <c r="Q14" s="14"/>
      <c r="R14" s="14"/>
      <c r="S14" s="26" t="s">
        <v>43</v>
      </c>
      <c r="T14" s="43">
        <v>600</v>
      </c>
      <c r="U14" s="28">
        <v>34</v>
      </c>
      <c r="V14" s="168"/>
      <c r="W14" s="14"/>
      <c r="X14" s="14"/>
      <c r="Y14" s="14"/>
      <c r="Z14" s="37"/>
      <c r="AA14" s="14"/>
      <c r="AB14" s="14"/>
      <c r="AC14" s="14"/>
    </row>
    <row r="15" spans="1:29" ht="19" thickBot="1" x14ac:dyDescent="0.5">
      <c r="A15" s="38"/>
      <c r="B15" s="27" t="s">
        <v>169</v>
      </c>
      <c r="C15" s="29">
        <v>0.04</v>
      </c>
      <c r="D15" s="238"/>
      <c r="E15" s="24" t="s">
        <v>17</v>
      </c>
      <c r="F15" s="44"/>
      <c r="G15" s="45">
        <v>1</v>
      </c>
      <c r="H15" s="44">
        <v>28</v>
      </c>
      <c r="I15" s="44">
        <v>0</v>
      </c>
      <c r="J15" s="37"/>
      <c r="K15" s="14"/>
      <c r="L15" s="14"/>
      <c r="M15" s="14"/>
      <c r="N15" s="53"/>
      <c r="O15" s="19"/>
      <c r="P15" s="54"/>
      <c r="Q15" s="14"/>
      <c r="R15" s="14"/>
      <c r="S15" s="24" t="s">
        <v>44</v>
      </c>
      <c r="T15" s="44">
        <v>330</v>
      </c>
      <c r="U15" s="30">
        <v>32</v>
      </c>
      <c r="V15" s="54"/>
      <c r="W15" s="14"/>
      <c r="X15" s="14"/>
      <c r="Y15" s="14"/>
      <c r="Z15" s="37"/>
      <c r="AA15" s="14"/>
      <c r="AB15" s="14"/>
      <c r="AC15" s="14"/>
    </row>
    <row r="16" spans="1:29" ht="18.5" x14ac:dyDescent="0.45">
      <c r="A16" s="38"/>
      <c r="B16" s="26" t="s">
        <v>95</v>
      </c>
      <c r="C16" s="28" t="s">
        <v>96</v>
      </c>
      <c r="D16" s="238"/>
      <c r="E16" s="24" t="s">
        <v>234</v>
      </c>
      <c r="F16" s="44"/>
      <c r="G16" s="45">
        <v>1</v>
      </c>
      <c r="H16" s="44">
        <v>100</v>
      </c>
      <c r="I16" s="44">
        <v>0</v>
      </c>
      <c r="J16" s="37"/>
      <c r="K16" s="14"/>
      <c r="L16" s="14"/>
      <c r="M16" s="14"/>
      <c r="N16" s="53"/>
      <c r="O16" s="19"/>
      <c r="P16" s="54"/>
      <c r="Q16" s="14"/>
      <c r="R16" s="14"/>
      <c r="S16" s="24" t="s">
        <v>45</v>
      </c>
      <c r="T16" s="44">
        <v>220</v>
      </c>
      <c r="U16" s="30">
        <v>30</v>
      </c>
      <c r="V16" s="54"/>
      <c r="W16" s="14"/>
      <c r="X16" s="14"/>
      <c r="Y16" s="14"/>
      <c r="Z16" s="37"/>
      <c r="AA16" s="14"/>
      <c r="AB16" s="14"/>
      <c r="AC16" s="14"/>
    </row>
    <row r="17" spans="1:29" ht="18.5" x14ac:dyDescent="0.45">
      <c r="A17" s="64"/>
      <c r="B17" s="144" t="s">
        <v>97</v>
      </c>
      <c r="C17" s="145">
        <v>2.5</v>
      </c>
      <c r="D17" s="238"/>
      <c r="E17" s="24" t="s">
        <v>292</v>
      </c>
      <c r="F17" s="44"/>
      <c r="G17" s="45">
        <v>1</v>
      </c>
      <c r="H17" s="44">
        <v>100</v>
      </c>
      <c r="I17" s="44">
        <v>0</v>
      </c>
      <c r="J17" s="37"/>
      <c r="K17" s="14"/>
      <c r="L17" s="14"/>
      <c r="M17" s="14"/>
      <c r="N17" s="53"/>
      <c r="O17" s="19"/>
      <c r="P17" s="54"/>
      <c r="Q17" s="14"/>
      <c r="R17" s="14"/>
      <c r="S17" s="24" t="s">
        <v>46</v>
      </c>
      <c r="T17" s="44">
        <v>130</v>
      </c>
      <c r="U17" s="30">
        <v>29</v>
      </c>
      <c r="V17" s="54"/>
      <c r="W17" s="8"/>
      <c r="X17" s="8"/>
      <c r="Y17" s="8"/>
      <c r="Z17" s="22"/>
      <c r="AA17" s="14"/>
      <c r="AB17" s="14"/>
      <c r="AC17" s="14"/>
    </row>
    <row r="18" spans="1:29" ht="19" thickBot="1" x14ac:dyDescent="0.5">
      <c r="A18" s="38"/>
      <c r="B18" s="24" t="s">
        <v>98</v>
      </c>
      <c r="C18" s="30">
        <v>450</v>
      </c>
      <c r="D18" s="238"/>
      <c r="E18" s="24"/>
      <c r="F18" s="44"/>
      <c r="G18" s="45"/>
      <c r="H18" s="44"/>
      <c r="I18" s="44"/>
      <c r="J18" s="165"/>
      <c r="K18" s="14"/>
      <c r="L18" s="14"/>
      <c r="M18" s="14"/>
      <c r="N18" s="25"/>
      <c r="O18" s="55"/>
      <c r="P18" s="56"/>
      <c r="Q18" s="8"/>
      <c r="R18" s="57"/>
      <c r="S18" s="25" t="s">
        <v>47</v>
      </c>
      <c r="T18" s="46">
        <v>15</v>
      </c>
      <c r="U18" s="29">
        <v>0.22</v>
      </c>
      <c r="V18" s="56"/>
      <c r="W18" s="340"/>
      <c r="X18" s="340"/>
      <c r="Y18" s="340"/>
      <c r="Z18" s="341"/>
      <c r="AA18" s="14"/>
      <c r="AB18" s="14"/>
      <c r="AC18" s="14"/>
    </row>
    <row r="19" spans="1:29" ht="18.5" x14ac:dyDescent="0.45">
      <c r="A19" s="38"/>
      <c r="B19" s="24" t="s">
        <v>57</v>
      </c>
      <c r="C19" s="30">
        <v>15</v>
      </c>
      <c r="D19" s="237" t="s">
        <v>185</v>
      </c>
      <c r="E19" s="24"/>
      <c r="F19" s="44"/>
      <c r="G19" s="45"/>
      <c r="H19" s="44"/>
      <c r="I19" s="44"/>
      <c r="J19" s="30"/>
      <c r="K19" s="14"/>
      <c r="L19" s="14"/>
      <c r="M19" s="14"/>
      <c r="N19" s="14"/>
      <c r="O19" s="14"/>
      <c r="P19" s="14"/>
      <c r="Q19" s="8"/>
      <c r="R19" s="58"/>
      <c r="S19" s="14"/>
      <c r="T19" s="14"/>
      <c r="U19" s="14"/>
      <c r="V19" s="14"/>
      <c r="W19" s="58"/>
      <c r="X19" s="10"/>
      <c r="Y19" s="335"/>
      <c r="Z19" s="336"/>
      <c r="AA19" s="14"/>
      <c r="AB19" s="14"/>
      <c r="AC19" s="14"/>
    </row>
    <row r="20" spans="1:29" ht="18.5" x14ac:dyDescent="0.45">
      <c r="A20" s="38"/>
      <c r="B20" s="24" t="s">
        <v>99</v>
      </c>
      <c r="C20" s="30">
        <v>20</v>
      </c>
      <c r="D20" s="237" t="s">
        <v>187</v>
      </c>
      <c r="E20" s="24"/>
      <c r="F20" s="44"/>
      <c r="G20" s="44"/>
      <c r="H20" s="44"/>
      <c r="I20" s="44"/>
      <c r="J20" s="30"/>
      <c r="K20" s="14"/>
      <c r="L20" s="14"/>
      <c r="M20" s="14"/>
      <c r="N20" s="14"/>
      <c r="O20" s="14"/>
      <c r="P20" s="14"/>
      <c r="Q20" s="8"/>
      <c r="R20" s="9"/>
      <c r="S20" s="14"/>
      <c r="T20" s="14"/>
      <c r="U20" s="14"/>
      <c r="V20" s="14"/>
      <c r="W20" s="9"/>
      <c r="X20" s="10"/>
      <c r="Y20" s="335"/>
      <c r="Z20" s="336"/>
      <c r="AA20" s="14"/>
      <c r="AB20" s="14"/>
      <c r="AC20" s="14"/>
    </row>
    <row r="21" spans="1:29" ht="19" thickBot="1" x14ac:dyDescent="0.5">
      <c r="A21" s="38"/>
      <c r="B21" s="25" t="s">
        <v>100</v>
      </c>
      <c r="C21" s="29">
        <v>35</v>
      </c>
      <c r="D21" s="239" t="s">
        <v>187</v>
      </c>
      <c r="E21" s="24"/>
      <c r="F21" s="44"/>
      <c r="G21" s="44"/>
      <c r="H21" s="44"/>
      <c r="I21" s="44"/>
      <c r="J21" s="30"/>
      <c r="K21" s="14"/>
      <c r="L21" s="14"/>
      <c r="M21" s="14"/>
      <c r="N21" s="14"/>
      <c r="O21" s="14"/>
      <c r="P21" s="14"/>
      <c r="Q21" s="8"/>
      <c r="R21" s="9"/>
      <c r="S21" s="14"/>
      <c r="T21" s="14"/>
      <c r="U21" s="14"/>
      <c r="V21" s="14"/>
      <c r="W21" s="9"/>
      <c r="X21" s="10"/>
      <c r="Y21" s="335"/>
      <c r="Z21" s="336"/>
      <c r="AA21" s="14"/>
      <c r="AB21" s="14"/>
      <c r="AC21" s="14"/>
    </row>
    <row r="22" spans="1:29" ht="18.5" x14ac:dyDescent="0.45">
      <c r="A22" s="38"/>
      <c r="E22" s="24"/>
      <c r="F22" s="44"/>
      <c r="G22" s="44"/>
      <c r="H22" s="44"/>
      <c r="I22" s="44"/>
      <c r="J22" s="30"/>
      <c r="K22" s="14"/>
      <c r="L22" s="14"/>
      <c r="M22" s="14"/>
      <c r="N22" s="14"/>
      <c r="O22" s="14"/>
      <c r="P22" s="14"/>
      <c r="Q22" s="8"/>
      <c r="R22" s="9"/>
      <c r="S22" s="14"/>
      <c r="T22" s="14"/>
      <c r="U22" s="14"/>
      <c r="V22" s="14"/>
      <c r="W22" s="9"/>
      <c r="X22" s="10"/>
      <c r="Y22" s="335"/>
      <c r="Z22" s="336"/>
      <c r="AA22" s="14"/>
      <c r="AB22" s="14"/>
      <c r="AC22" s="14"/>
    </row>
    <row r="23" spans="1:29" ht="18.5" x14ac:dyDescent="0.45">
      <c r="A23" s="38"/>
      <c r="B23" s="14"/>
      <c r="C23" s="14"/>
      <c r="D23" s="14"/>
      <c r="E23" s="24"/>
      <c r="F23" s="44"/>
      <c r="G23" s="44"/>
      <c r="H23" s="44"/>
      <c r="I23" s="44"/>
      <c r="J23" s="30"/>
      <c r="K23" s="14"/>
      <c r="L23" s="14"/>
      <c r="M23" s="14"/>
      <c r="N23" s="14"/>
      <c r="O23" s="14"/>
      <c r="P23" s="14"/>
      <c r="Q23" s="8"/>
      <c r="R23" s="9"/>
      <c r="S23" s="9"/>
      <c r="T23" s="334"/>
      <c r="U23" s="334"/>
      <c r="V23" s="8"/>
      <c r="W23" s="8"/>
      <c r="X23" s="8"/>
      <c r="Y23" s="8"/>
      <c r="Z23" s="22"/>
      <c r="AA23" s="14"/>
      <c r="AB23" s="14"/>
      <c r="AC23" s="14"/>
    </row>
    <row r="24" spans="1:29" ht="18.5" x14ac:dyDescent="0.45">
      <c r="A24" s="38"/>
      <c r="B24" s="14"/>
      <c r="C24" s="14"/>
      <c r="D24" s="14"/>
      <c r="E24" s="24"/>
      <c r="F24" s="44"/>
      <c r="G24" s="44"/>
      <c r="H24" s="44"/>
      <c r="I24" s="44"/>
      <c r="J24" s="30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.5" x14ac:dyDescent="0.45">
      <c r="A25" s="38"/>
      <c r="B25" s="14"/>
      <c r="C25" s="14"/>
      <c r="D25" s="14"/>
      <c r="E25" s="24"/>
      <c r="F25" s="44"/>
      <c r="G25" s="44"/>
      <c r="H25" s="44"/>
      <c r="I25" s="44"/>
      <c r="J25" s="30"/>
      <c r="K25" s="14"/>
      <c r="L25" s="14"/>
      <c r="M25" s="14"/>
      <c r="N25" s="14"/>
      <c r="O25" s="42"/>
      <c r="P25" s="42"/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x14ac:dyDescent="0.35">
      <c r="A26" s="38"/>
      <c r="B26" s="14"/>
      <c r="C26" s="14"/>
      <c r="D26" s="14"/>
      <c r="E26" s="38"/>
      <c r="F26" s="14"/>
      <c r="G26" s="14"/>
      <c r="H26" s="14"/>
      <c r="I26" s="14"/>
      <c r="J26" s="37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x14ac:dyDescent="0.35">
      <c r="A27" s="38"/>
      <c r="B27" s="14"/>
      <c r="C27" s="14"/>
      <c r="D27" s="14"/>
      <c r="E27" s="38"/>
      <c r="F27" s="14"/>
      <c r="G27" s="14"/>
      <c r="H27" s="14"/>
      <c r="I27" s="14"/>
      <c r="J27" s="37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x14ac:dyDescent="0.35">
      <c r="A28" s="38"/>
      <c r="B28" s="14"/>
      <c r="C28" s="14"/>
      <c r="D28" s="14"/>
      <c r="E28" s="38"/>
      <c r="F28" s="14"/>
      <c r="G28" s="14"/>
      <c r="H28" s="14"/>
      <c r="I28" s="14"/>
      <c r="J28" s="37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37"/>
      <c r="AA28" s="14"/>
      <c r="AB28" s="14"/>
      <c r="AC28" s="14"/>
    </row>
    <row r="29" spans="1:29" ht="16" thickBot="1" x14ac:dyDescent="0.4">
      <c r="A29" s="38"/>
      <c r="B29" s="14"/>
      <c r="C29" s="14"/>
      <c r="D29" s="14"/>
      <c r="E29" s="38"/>
      <c r="F29" s="14"/>
      <c r="G29" s="14"/>
      <c r="H29" s="14"/>
      <c r="I29" s="14"/>
      <c r="J29" s="37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37"/>
      <c r="AA29" s="14"/>
      <c r="AB29" s="14"/>
      <c r="AC29" s="14"/>
    </row>
    <row r="30" spans="1:29" ht="21.5" thickBot="1" x14ac:dyDescent="0.55000000000000004">
      <c r="A30" s="38"/>
      <c r="B30" s="14"/>
      <c r="C30" s="14"/>
      <c r="D30" s="14"/>
      <c r="E30" s="38"/>
      <c r="F30" s="14"/>
      <c r="G30" s="14"/>
      <c r="H30" s="14"/>
      <c r="I30" s="14"/>
      <c r="J30" s="37"/>
      <c r="K30" s="14"/>
      <c r="L30" s="14"/>
      <c r="M30" s="14"/>
      <c r="N30" s="325" t="s">
        <v>137</v>
      </c>
      <c r="O30" s="326"/>
      <c r="P30" s="327"/>
      <c r="Q30" s="14"/>
      <c r="R30" s="14"/>
      <c r="S30" s="14"/>
      <c r="T30" s="14"/>
      <c r="U30" s="14"/>
      <c r="V30" s="14"/>
      <c r="W30" s="14"/>
      <c r="X30" s="14"/>
      <c r="Y30" s="14"/>
      <c r="Z30" s="37"/>
      <c r="AA30" s="14"/>
      <c r="AB30" s="14"/>
      <c r="AC30" s="14"/>
    </row>
    <row r="31" spans="1:29" ht="21.5" thickBot="1" x14ac:dyDescent="0.55000000000000004">
      <c r="A31" s="38"/>
      <c r="B31" s="14"/>
      <c r="C31" s="14"/>
      <c r="D31" s="14"/>
      <c r="E31" s="38"/>
      <c r="F31" s="14"/>
      <c r="G31" s="14"/>
      <c r="H31" s="14"/>
      <c r="I31" s="14"/>
      <c r="J31" s="37"/>
      <c r="K31" s="14"/>
      <c r="L31" s="14"/>
      <c r="M31" s="14"/>
      <c r="N31" s="196" t="s">
        <v>138</v>
      </c>
      <c r="O31" s="196" t="s">
        <v>139</v>
      </c>
      <c r="P31" s="196" t="s">
        <v>140</v>
      </c>
      <c r="Q31" s="14"/>
      <c r="R31" s="14"/>
      <c r="S31" s="325" t="s">
        <v>144</v>
      </c>
      <c r="T31" s="326"/>
      <c r="U31" s="326"/>
      <c r="V31" s="326"/>
      <c r="W31" s="327"/>
      <c r="X31" s="14"/>
      <c r="Y31" s="14"/>
      <c r="Z31" s="37"/>
      <c r="AA31" s="14"/>
      <c r="AB31" s="14"/>
      <c r="AC31" s="14"/>
    </row>
    <row r="32" spans="1:29" ht="21.5" thickBot="1" x14ac:dyDescent="0.55000000000000004">
      <c r="A32" s="38"/>
      <c r="B32" s="14"/>
      <c r="C32" s="14"/>
      <c r="D32" s="14"/>
      <c r="E32" s="38"/>
      <c r="F32" s="14"/>
      <c r="G32" s="14"/>
      <c r="H32" s="14"/>
      <c r="I32" s="14"/>
      <c r="J32" s="37"/>
      <c r="K32" s="14"/>
      <c r="L32" s="14"/>
      <c r="M32" s="14"/>
      <c r="N32" s="26" t="s">
        <v>90</v>
      </c>
      <c r="O32" s="197">
        <v>0.55000000000000004</v>
      </c>
      <c r="P32" s="168">
        <v>325</v>
      </c>
      <c r="Q32" s="14"/>
      <c r="R32" s="14"/>
      <c r="S32" s="198" t="s">
        <v>145</v>
      </c>
      <c r="T32" s="198" t="s">
        <v>146</v>
      </c>
      <c r="U32" s="198" t="s">
        <v>147</v>
      </c>
      <c r="V32" s="198" t="s">
        <v>148</v>
      </c>
      <c r="W32" s="199" t="s">
        <v>149</v>
      </c>
      <c r="X32" s="14"/>
      <c r="Y32" s="14"/>
      <c r="Z32" s="37"/>
      <c r="AA32" s="14"/>
      <c r="AB32" s="14"/>
      <c r="AC32" s="14"/>
    </row>
    <row r="33" spans="1:29" ht="18.5" x14ac:dyDescent="0.45">
      <c r="A33" s="38"/>
      <c r="B33" s="14"/>
      <c r="C33" s="14"/>
      <c r="D33" s="14"/>
      <c r="E33" s="38"/>
      <c r="F33" s="14"/>
      <c r="G33" s="14"/>
      <c r="H33" s="14"/>
      <c r="I33" s="14"/>
      <c r="J33" s="37"/>
      <c r="K33" s="14"/>
      <c r="L33" s="14"/>
      <c r="M33" s="14"/>
      <c r="N33" s="24" t="s">
        <v>152</v>
      </c>
      <c r="O33" s="19">
        <v>0.27</v>
      </c>
      <c r="P33" s="54">
        <v>0.58599999999999997</v>
      </c>
      <c r="Q33" s="14"/>
      <c r="R33" s="14"/>
      <c r="S33" s="26" t="s">
        <v>168</v>
      </c>
      <c r="T33" s="206">
        <v>5000</v>
      </c>
      <c r="U33" s="197">
        <v>10</v>
      </c>
      <c r="V33" s="197">
        <v>50</v>
      </c>
      <c r="W33" s="168">
        <v>3</v>
      </c>
      <c r="X33" s="14"/>
      <c r="Y33" s="14"/>
      <c r="Z33" s="37"/>
      <c r="AA33" s="14"/>
      <c r="AB33" s="14"/>
      <c r="AC33" s="14"/>
    </row>
    <row r="34" spans="1:29" ht="19" thickBot="1" x14ac:dyDescent="0.5">
      <c r="A34" s="38"/>
      <c r="B34" s="14"/>
      <c r="C34" s="14"/>
      <c r="D34" s="14"/>
      <c r="E34" s="38"/>
      <c r="F34" s="14"/>
      <c r="G34" s="14"/>
      <c r="H34" s="14"/>
      <c r="I34" s="34"/>
      <c r="J34" s="37"/>
      <c r="K34" s="14"/>
      <c r="L34" s="14"/>
      <c r="M34" s="14"/>
      <c r="N34" s="25" t="s">
        <v>141</v>
      </c>
      <c r="O34" s="55">
        <v>0.18</v>
      </c>
      <c r="P34" s="56">
        <v>4.2699999999999996</v>
      </c>
      <c r="Q34" s="14"/>
      <c r="R34" s="14"/>
      <c r="S34" s="24"/>
      <c r="T34" s="19"/>
      <c r="U34" s="19"/>
      <c r="V34" s="19"/>
      <c r="W34" s="54"/>
      <c r="X34" s="14"/>
      <c r="Y34" s="14"/>
      <c r="Z34" s="37"/>
      <c r="AA34" s="14"/>
      <c r="AB34" s="14"/>
      <c r="AC34" s="14"/>
    </row>
    <row r="35" spans="1:29" ht="18.5" x14ac:dyDescent="0.45">
      <c r="A35" s="38"/>
      <c r="B35" s="14"/>
      <c r="C35" s="14"/>
      <c r="D35" s="14"/>
      <c r="E35" s="38"/>
      <c r="F35" s="14"/>
      <c r="G35" s="14"/>
      <c r="H35" s="14"/>
      <c r="I35" s="34"/>
      <c r="J35" s="37"/>
      <c r="K35" s="14"/>
      <c r="L35" s="14"/>
      <c r="M35" s="14"/>
      <c r="N35" s="14"/>
      <c r="O35" s="14"/>
      <c r="P35" s="14"/>
      <c r="Q35" s="14"/>
      <c r="R35" s="14"/>
      <c r="S35" s="24"/>
      <c r="T35" s="19"/>
      <c r="U35" s="19"/>
      <c r="V35" s="19"/>
      <c r="W35" s="54"/>
      <c r="X35" s="14"/>
      <c r="Y35" s="14"/>
      <c r="Z35" s="37"/>
      <c r="AA35" s="14"/>
      <c r="AB35" s="14"/>
      <c r="AC35" s="14"/>
    </row>
    <row r="36" spans="1:29" ht="21" x14ac:dyDescent="0.5">
      <c r="A36" s="38"/>
      <c r="B36" s="14"/>
      <c r="C36" s="14"/>
      <c r="D36" s="14"/>
      <c r="E36" s="38"/>
      <c r="F36" s="14"/>
      <c r="G36" s="14"/>
      <c r="H36" s="14"/>
      <c r="I36" s="34"/>
      <c r="J36" s="37"/>
      <c r="K36" s="14"/>
      <c r="L36" s="14"/>
      <c r="M36" s="14"/>
      <c r="N36" s="193"/>
      <c r="O36" s="195"/>
      <c r="P36" s="194"/>
      <c r="Q36" s="195"/>
      <c r="R36" s="195"/>
      <c r="S36" s="24"/>
      <c r="T36" s="19"/>
      <c r="U36" s="19"/>
      <c r="V36" s="19"/>
      <c r="W36" s="54"/>
      <c r="X36" s="14"/>
      <c r="Y36" s="14"/>
      <c r="Z36" s="37"/>
      <c r="AA36" s="14"/>
      <c r="AB36" s="14"/>
      <c r="AC36" s="14"/>
    </row>
    <row r="37" spans="1:29" ht="18.5" x14ac:dyDescent="0.45">
      <c r="A37" s="38"/>
      <c r="B37" s="14"/>
      <c r="C37" s="14"/>
      <c r="D37" s="14"/>
      <c r="E37" s="38"/>
      <c r="F37" s="14"/>
      <c r="G37" s="14"/>
      <c r="H37" s="14"/>
      <c r="I37" s="34"/>
      <c r="J37" s="37"/>
      <c r="K37" s="14"/>
      <c r="L37" s="14"/>
      <c r="M37" s="14"/>
      <c r="N37" s="44"/>
      <c r="O37" s="19"/>
      <c r="P37" s="19"/>
      <c r="Q37" s="19"/>
      <c r="R37" s="19"/>
      <c r="S37" s="24"/>
      <c r="T37" s="19"/>
      <c r="U37" s="19"/>
      <c r="V37" s="19"/>
      <c r="W37" s="54"/>
      <c r="X37" s="14"/>
      <c r="Y37" s="14"/>
      <c r="Z37" s="37"/>
      <c r="AA37" s="14"/>
      <c r="AB37" s="14"/>
      <c r="AC37" s="14"/>
    </row>
    <row r="38" spans="1:29" ht="19" thickBot="1" x14ac:dyDescent="0.5">
      <c r="A38" s="38"/>
      <c r="B38" s="14"/>
      <c r="C38" s="14"/>
      <c r="D38" s="14"/>
      <c r="E38" s="240"/>
      <c r="F38" s="40"/>
      <c r="G38" s="40"/>
      <c r="H38" s="40"/>
      <c r="I38" s="40"/>
      <c r="J38" s="41"/>
      <c r="K38" s="14"/>
      <c r="L38" s="14"/>
      <c r="M38" s="14"/>
      <c r="N38" s="44"/>
      <c r="O38" s="19"/>
      <c r="P38" s="19"/>
      <c r="Q38" s="19"/>
      <c r="R38" s="19"/>
      <c r="S38" s="24"/>
      <c r="T38" s="19"/>
      <c r="U38" s="19"/>
      <c r="V38" s="19"/>
      <c r="W38" s="54"/>
      <c r="X38" s="14"/>
      <c r="Y38" s="14"/>
      <c r="Z38" s="37"/>
      <c r="AA38" s="14"/>
      <c r="AB38" s="207" t="s">
        <v>23</v>
      </c>
      <c r="AC38" s="14"/>
    </row>
    <row r="39" spans="1:29" ht="18.5" x14ac:dyDescent="0.45">
      <c r="A39" s="38"/>
      <c r="B39" s="14"/>
      <c r="C39" s="14"/>
      <c r="D39" s="14"/>
      <c r="E39" s="14"/>
      <c r="F39" s="14"/>
      <c r="G39" s="14"/>
      <c r="H39" s="14"/>
      <c r="I39" s="34"/>
      <c r="J39" s="14"/>
      <c r="K39" s="14"/>
      <c r="L39" s="14"/>
      <c r="M39" s="14"/>
      <c r="N39" s="44"/>
      <c r="O39" s="19"/>
      <c r="P39" s="19"/>
      <c r="Q39" s="19"/>
      <c r="R39" s="19"/>
      <c r="S39" s="24"/>
      <c r="T39" s="19"/>
      <c r="U39" s="19"/>
      <c r="V39" s="19"/>
      <c r="W39" s="54"/>
      <c r="X39" s="14"/>
      <c r="Y39" s="14"/>
      <c r="Z39" s="37"/>
      <c r="AA39" s="14"/>
      <c r="AB39" s="14"/>
      <c r="AC39" s="14"/>
    </row>
    <row r="40" spans="1:29" ht="18.5" x14ac:dyDescent="0.45">
      <c r="A40" s="38"/>
      <c r="B40" s="14"/>
      <c r="C40" s="14"/>
      <c r="D40" s="14"/>
      <c r="E40" s="14"/>
      <c r="F40" s="14"/>
      <c r="G40" s="14"/>
      <c r="H40" s="14"/>
      <c r="I40" s="34"/>
      <c r="J40" s="14"/>
      <c r="K40" s="14"/>
      <c r="L40" s="14"/>
      <c r="M40" s="14"/>
      <c r="N40" s="44"/>
      <c r="O40" s="183"/>
      <c r="P40" s="19"/>
      <c r="Q40" s="19"/>
      <c r="R40" s="19"/>
      <c r="S40" s="24"/>
      <c r="T40" s="19"/>
      <c r="U40" s="19"/>
      <c r="V40" s="19"/>
      <c r="W40" s="54"/>
      <c r="X40" s="14"/>
      <c r="Y40" s="14"/>
      <c r="Z40" s="37"/>
      <c r="AA40" s="14"/>
      <c r="AB40" s="14"/>
      <c r="AC40" s="14"/>
    </row>
    <row r="41" spans="1:29" ht="19" thickBot="1" x14ac:dyDescent="0.5">
      <c r="A41" s="38"/>
      <c r="B41" s="14"/>
      <c r="C41" s="14"/>
      <c r="D41" s="14"/>
      <c r="E41" s="14"/>
      <c r="F41" s="14"/>
      <c r="G41" s="14"/>
      <c r="H41" s="14"/>
      <c r="I41" s="14"/>
      <c r="J41" s="8"/>
      <c r="K41" s="8"/>
      <c r="L41" s="8"/>
      <c r="M41" s="8"/>
      <c r="N41" s="44"/>
      <c r="O41" s="19"/>
      <c r="P41" s="19"/>
      <c r="Q41" s="19"/>
      <c r="R41" s="19"/>
      <c r="S41" s="25"/>
      <c r="T41" s="55"/>
      <c r="U41" s="55"/>
      <c r="V41" s="55"/>
      <c r="W41" s="56"/>
      <c r="X41" s="14"/>
      <c r="Y41" s="14"/>
      <c r="Z41" s="37"/>
      <c r="AA41" s="14"/>
      <c r="AB41" s="14"/>
      <c r="AC41" s="14"/>
    </row>
    <row r="42" spans="1:29" ht="18.5" x14ac:dyDescent="0.45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4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.5" x14ac:dyDescent="0.45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4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.5" x14ac:dyDescent="0.45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4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.5" x14ac:dyDescent="0.45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4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.5" x14ac:dyDescent="0.45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4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.5" x14ac:dyDescent="0.45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.5" x14ac:dyDescent="0.45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.5" x14ac:dyDescent="0.45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.5" x14ac:dyDescent="0.45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.5" x14ac:dyDescent="0.4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.5" x14ac:dyDescent="0.4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x14ac:dyDescent="0.3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x14ac:dyDescent="0.3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x14ac:dyDescent="0.3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x14ac:dyDescent="0.3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207" t="s">
        <v>23</v>
      </c>
      <c r="W56" s="14"/>
      <c r="X56" s="14"/>
      <c r="Y56" s="14"/>
      <c r="Z56" s="14"/>
      <c r="AA56" s="14"/>
      <c r="AB56" s="14"/>
      <c r="AC56" s="14"/>
    </row>
    <row r="57" spans="1:29" x14ac:dyDescent="0.3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x14ac:dyDescent="0.3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x14ac:dyDescent="0.35">
      <c r="A59" s="14"/>
      <c r="B59" s="14"/>
      <c r="C59" s="14"/>
      <c r="D59" s="14"/>
      <c r="E59" s="14"/>
      <c r="F59" s="14"/>
      <c r="G59" s="14"/>
      <c r="H59" s="14" t="s">
        <v>27</v>
      </c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x14ac:dyDescent="0.3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x14ac:dyDescent="0.3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x14ac:dyDescent="0.3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x14ac:dyDescent="0.3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x14ac:dyDescent="0.3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x14ac:dyDescent="0.3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72" spans="1:29" x14ac:dyDescent="0.35">
      <c r="A72" s="2" t="s">
        <v>23</v>
      </c>
    </row>
    <row r="79" spans="1:29" x14ac:dyDescent="0.35">
      <c r="V79" s="2" t="s">
        <v>23</v>
      </c>
    </row>
  </sheetData>
  <mergeCells count="12">
    <mergeCell ref="Y20:Z20"/>
    <mergeCell ref="Y21:Z21"/>
    <mergeCell ref="Y22:Z22"/>
    <mergeCell ref="E3:J3"/>
    <mergeCell ref="W18:Z18"/>
    <mergeCell ref="Y19:Z19"/>
    <mergeCell ref="B3:D3"/>
    <mergeCell ref="N30:P30"/>
    <mergeCell ref="S31:W31"/>
    <mergeCell ref="N3:P3"/>
    <mergeCell ref="S3:V3"/>
    <mergeCell ref="T23:U23"/>
  </mergeCells>
  <dataValidations count="2">
    <dataValidation type="list" allowBlank="1" showInputMessage="1" showErrorMessage="1" sqref="R20:R23" xr:uid="{86CC2793-592D-4474-AA48-3DA67A610F94}">
      <formula1>$E$5:$E$24</formula1>
    </dataValidation>
    <dataValidation type="list" allowBlank="1" showInputMessage="1" showErrorMessage="1" sqref="P5:P18" xr:uid="{0A85A7D6-6D96-144D-9013-D857906AD3C7}">
      <formula1>$E$5:$E$38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107950</xdr:rowOff>
                  </from>
                  <to>
                    <xdr:col>2</xdr:col>
                    <xdr:colOff>869950</xdr:colOff>
                    <xdr:row>37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1365250</xdr:colOff>
                    <xdr:row>39</xdr:row>
                    <xdr:rowOff>107950</xdr:rowOff>
                  </from>
                  <to>
                    <xdr:col>2</xdr:col>
                    <xdr:colOff>850900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850900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755650</xdr:colOff>
                    <xdr:row>51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06EBC3A9-FAFA-9C46-9878-BBE020AC0862}">
          <x14:formula1>
            <xm:f>DataBank!$I$2:$I$6</xm:f>
          </x14:formula1>
          <xm:sqref>C7</xm:sqref>
        </x14:dataValidation>
        <x14:dataValidation type="list" allowBlank="1" showInputMessage="1" showErrorMessage="1" xr:uid="{E223C2DA-E032-3C4A-B898-D2391B4B4BFA}">
          <x14:formula1>
            <xm:f>DataBank!$L$2:$L$10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982ADF77-772D-DE45-81AF-C4B379E4B3FF}">
          <x14:formula1>
            <xm:f>DataBank!$I$9:$I$12</xm:f>
          </x14:formula1>
          <xm:sqref>C6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A9" zoomScale="75" zoomScaleNormal="47" workbookViewId="0">
      <selection activeCell="E15" sqref="E1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6"/>
      <c r="AJ2" s="5"/>
    </row>
    <row r="3" spans="1:36" x14ac:dyDescent="0.35">
      <c r="A3" s="5"/>
      <c r="B3" s="5"/>
      <c r="C3" s="86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7"/>
      <c r="AJ3" s="5"/>
    </row>
    <row r="4" spans="1:36" x14ac:dyDescent="0.35">
      <c r="A4" s="5"/>
      <c r="B4" s="5"/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7"/>
      <c r="AJ4" s="5"/>
    </row>
    <row r="5" spans="1:36" x14ac:dyDescent="0.35">
      <c r="A5" s="5"/>
      <c r="B5" s="5"/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7"/>
      <c r="AJ5" s="5"/>
    </row>
    <row r="6" spans="1:36" x14ac:dyDescent="0.35">
      <c r="A6" s="5"/>
      <c r="B6" s="5"/>
      <c r="C6" s="86"/>
      <c r="D6" s="343"/>
      <c r="E6" s="343"/>
      <c r="F6" s="5"/>
      <c r="G6" s="5"/>
      <c r="H6" s="343"/>
      <c r="I6" s="343"/>
      <c r="J6" s="15"/>
      <c r="K6" s="15"/>
      <c r="L6" s="5"/>
      <c r="M6" s="343"/>
      <c r="N6" s="343"/>
      <c r="O6" s="343"/>
      <c r="P6" s="343"/>
      <c r="Q6" s="5"/>
      <c r="R6" s="5"/>
      <c r="S6" s="350"/>
      <c r="T6" s="350"/>
      <c r="U6" s="350"/>
      <c r="V6" s="350"/>
      <c r="W6" s="350"/>
      <c r="X6" s="350"/>
      <c r="Y6" s="350"/>
      <c r="Z6" s="350"/>
      <c r="AA6" s="350"/>
      <c r="AB6" s="350"/>
      <c r="AC6" s="350"/>
      <c r="AD6" s="350"/>
      <c r="AE6" s="350"/>
      <c r="AF6" s="350"/>
      <c r="AG6" s="5"/>
      <c r="AH6" s="5"/>
      <c r="AI6" s="87"/>
      <c r="AJ6" s="5"/>
    </row>
    <row r="7" spans="1:36" ht="15" thickBot="1" x14ac:dyDescent="0.4">
      <c r="A7" s="5"/>
      <c r="B7" s="5"/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7"/>
      <c r="AJ7" s="5"/>
    </row>
    <row r="8" spans="1:36" ht="24" thickBot="1" x14ac:dyDescent="0.6">
      <c r="A8" s="5"/>
      <c r="B8" s="5"/>
      <c r="C8" s="86"/>
      <c r="D8" s="344" t="s">
        <v>52</v>
      </c>
      <c r="E8" s="345"/>
      <c r="F8" s="346"/>
      <c r="G8" s="5"/>
      <c r="H8" s="347" t="s">
        <v>53</v>
      </c>
      <c r="I8" s="348"/>
      <c r="J8" s="349"/>
      <c r="K8" s="16"/>
      <c r="L8" s="5"/>
      <c r="M8" s="357" t="s">
        <v>72</v>
      </c>
      <c r="N8" s="358"/>
      <c r="O8" s="358"/>
      <c r="P8" s="358"/>
      <c r="Q8" s="359"/>
      <c r="R8" s="5"/>
      <c r="S8" s="351" t="s">
        <v>78</v>
      </c>
      <c r="T8" s="352"/>
      <c r="U8" s="353"/>
      <c r="V8" s="12"/>
      <c r="W8" s="354" t="s">
        <v>108</v>
      </c>
      <c r="X8" s="355"/>
      <c r="Y8" s="355"/>
      <c r="Z8" s="356"/>
      <c r="AA8" s="11"/>
      <c r="AB8" s="354" t="s">
        <v>85</v>
      </c>
      <c r="AC8" s="355"/>
      <c r="AD8" s="355"/>
      <c r="AE8" s="355"/>
      <c r="AF8" s="356"/>
      <c r="AG8" s="5"/>
      <c r="AH8" s="5"/>
      <c r="AI8" s="87"/>
      <c r="AJ8" s="5"/>
    </row>
    <row r="9" spans="1:36" ht="21.5" thickBot="1" x14ac:dyDescent="0.55000000000000004">
      <c r="A9" s="5"/>
      <c r="B9" s="5"/>
      <c r="C9" s="86"/>
      <c r="D9" s="73" t="s">
        <v>32</v>
      </c>
      <c r="E9" s="213" t="s">
        <v>0</v>
      </c>
      <c r="F9" s="216" t="s">
        <v>181</v>
      </c>
      <c r="G9" s="5"/>
      <c r="H9" s="74" t="s">
        <v>32</v>
      </c>
      <c r="I9" s="74" t="s">
        <v>54</v>
      </c>
      <c r="J9" s="74" t="s">
        <v>181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 t="s">
        <v>181</v>
      </c>
      <c r="S9" s="85" t="s">
        <v>79</v>
      </c>
      <c r="T9" s="85" t="s">
        <v>35</v>
      </c>
      <c r="U9" s="85" t="s">
        <v>80</v>
      </c>
      <c r="V9" s="13"/>
      <c r="W9" s="85" t="s">
        <v>104</v>
      </c>
      <c r="X9" s="200" t="s">
        <v>162</v>
      </c>
      <c r="Y9" s="200" t="s">
        <v>163</v>
      </c>
      <c r="Z9" s="201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5"/>
      <c r="AH9" s="5"/>
      <c r="AI9" s="87"/>
      <c r="AJ9" s="5"/>
    </row>
    <row r="10" spans="1:36" ht="18.5" x14ac:dyDescent="0.45">
      <c r="A10" s="5"/>
      <c r="B10" s="5"/>
      <c r="C10" s="86"/>
      <c r="D10" s="67" t="s">
        <v>1</v>
      </c>
      <c r="E10" s="68"/>
      <c r="F10" s="214" t="s">
        <v>182</v>
      </c>
      <c r="G10" s="5"/>
      <c r="H10" s="67" t="s">
        <v>2</v>
      </c>
      <c r="I10" s="68"/>
      <c r="J10" s="217" t="s">
        <v>182</v>
      </c>
      <c r="K10" s="5"/>
      <c r="L10" s="5"/>
      <c r="M10" s="67" t="s">
        <v>75</v>
      </c>
      <c r="N10" s="179"/>
      <c r="O10" s="179"/>
      <c r="P10" s="180"/>
      <c r="Q10" s="181"/>
      <c r="R10" s="5" t="s">
        <v>198</v>
      </c>
      <c r="S10" s="103"/>
      <c r="T10" s="104"/>
      <c r="U10" s="105"/>
      <c r="V10" s="84"/>
      <c r="W10" s="138"/>
      <c r="X10" s="83"/>
      <c r="Y10" s="139"/>
      <c r="Z10" s="137"/>
      <c r="AA10" s="15"/>
      <c r="AB10" s="136"/>
      <c r="AC10" s="83"/>
      <c r="AD10" s="139"/>
      <c r="AE10" s="83"/>
      <c r="AF10" s="137"/>
      <c r="AG10" s="5"/>
      <c r="AH10" s="5"/>
      <c r="AI10" s="87"/>
      <c r="AJ10" s="5"/>
    </row>
    <row r="11" spans="1:36" ht="19" thickBot="1" x14ac:dyDescent="0.5">
      <c r="A11" s="5"/>
      <c r="B11" s="5"/>
      <c r="C11" s="86"/>
      <c r="D11" s="69" t="s">
        <v>3</v>
      </c>
      <c r="E11" s="70"/>
      <c r="F11" s="214" t="s">
        <v>182</v>
      </c>
      <c r="G11" s="5"/>
      <c r="H11" s="69" t="s">
        <v>67</v>
      </c>
      <c r="I11" s="105"/>
      <c r="J11" s="214" t="s">
        <v>191</v>
      </c>
      <c r="K11" s="5"/>
      <c r="L11" s="5"/>
      <c r="M11" s="76" t="s">
        <v>76</v>
      </c>
      <c r="N11" s="125"/>
      <c r="O11" s="125"/>
      <c r="P11" s="79"/>
      <c r="Q11" s="127"/>
      <c r="R11" s="5" t="s">
        <v>192</v>
      </c>
      <c r="S11" s="103"/>
      <c r="T11" s="104"/>
      <c r="U11" s="105"/>
      <c r="V11" s="84"/>
      <c r="W11" s="109"/>
      <c r="X11" s="75"/>
      <c r="Y11" s="106"/>
      <c r="Z11" s="108"/>
      <c r="AA11" s="15"/>
      <c r="AB11" s="107"/>
      <c r="AC11" s="75"/>
      <c r="AD11" s="106"/>
      <c r="AE11" s="75"/>
      <c r="AF11" s="108"/>
      <c r="AG11" s="5"/>
      <c r="AH11" s="5"/>
      <c r="AI11" s="87"/>
      <c r="AJ11" s="5"/>
    </row>
    <row r="12" spans="1:36" ht="18.5" x14ac:dyDescent="0.45">
      <c r="A12" s="5"/>
      <c r="B12" s="5"/>
      <c r="C12" s="86"/>
      <c r="D12" s="69" t="s">
        <v>42</v>
      </c>
      <c r="E12" s="202"/>
      <c r="F12" s="214" t="s">
        <v>182</v>
      </c>
      <c r="G12" s="5"/>
      <c r="H12" s="69" t="s">
        <v>68</v>
      </c>
      <c r="I12" s="105"/>
      <c r="J12" s="214" t="str">
        <f>J15</f>
        <v>t/h</v>
      </c>
      <c r="K12" s="5"/>
      <c r="L12" s="5"/>
      <c r="M12" s="248" t="s">
        <v>77</v>
      </c>
      <c r="N12" s="256"/>
      <c r="O12" s="179"/>
      <c r="P12" s="180"/>
      <c r="Q12" s="181"/>
      <c r="R12" s="5"/>
      <c r="S12" s="126"/>
      <c r="T12" s="125"/>
      <c r="U12" s="127"/>
      <c r="V12" s="84"/>
      <c r="W12" s="109"/>
      <c r="X12" s="75"/>
      <c r="Y12" s="44"/>
      <c r="Z12" s="30"/>
      <c r="AA12" s="42"/>
      <c r="AB12" s="51"/>
      <c r="AC12" s="75"/>
      <c r="AD12" s="44"/>
      <c r="AE12" s="75"/>
      <c r="AF12" s="108"/>
      <c r="AG12" s="5"/>
      <c r="AH12" s="5"/>
      <c r="AI12" s="87"/>
      <c r="AJ12" s="5"/>
    </row>
    <row r="13" spans="1:36" ht="18.5" x14ac:dyDescent="0.45">
      <c r="A13" s="5"/>
      <c r="B13" s="5"/>
      <c r="C13" s="86"/>
      <c r="D13" s="69" t="s">
        <v>56</v>
      </c>
      <c r="F13" s="214" t="s">
        <v>182</v>
      </c>
      <c r="G13" s="5"/>
      <c r="H13" s="69" t="s">
        <v>69</v>
      </c>
      <c r="I13" s="105"/>
      <c r="J13" s="214" t="s">
        <v>182</v>
      </c>
      <c r="K13" s="5"/>
      <c r="L13" s="5"/>
      <c r="M13" s="249"/>
      <c r="N13" s="126"/>
      <c r="O13" s="75"/>
      <c r="P13" s="75"/>
      <c r="Q13" s="70"/>
      <c r="R13" s="5"/>
      <c r="S13" s="119"/>
      <c r="T13" s="120"/>
      <c r="U13" s="121"/>
      <c r="V13" s="42"/>
      <c r="W13" s="109"/>
      <c r="X13" s="75"/>
      <c r="Y13" s="44"/>
      <c r="Z13" s="30"/>
      <c r="AA13" s="42"/>
      <c r="AB13" s="51"/>
      <c r="AC13" s="75"/>
      <c r="AD13" s="44"/>
      <c r="AE13" s="75"/>
      <c r="AF13" s="108"/>
      <c r="AG13" s="5"/>
      <c r="AH13" s="5"/>
      <c r="AI13" s="87"/>
      <c r="AJ13" s="5"/>
    </row>
    <row r="14" spans="1:36" ht="18.5" x14ac:dyDescent="0.45">
      <c r="A14" s="5"/>
      <c r="B14" s="5"/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/>
      <c r="J14" s="214" t="s">
        <v>194</v>
      </c>
      <c r="K14" s="5"/>
      <c r="L14" s="5"/>
      <c r="M14" s="250"/>
      <c r="N14" s="110"/>
      <c r="O14" s="79"/>
      <c r="P14" s="79"/>
      <c r="Q14" s="82"/>
      <c r="R14" s="5"/>
      <c r="S14" s="51"/>
      <c r="T14" s="75"/>
      <c r="U14" s="30"/>
      <c r="V14" s="42"/>
      <c r="W14" s="109"/>
      <c r="X14" s="75"/>
      <c r="Y14" s="44"/>
      <c r="Z14" s="30"/>
      <c r="AA14" s="42"/>
      <c r="AB14" s="51"/>
      <c r="AC14" s="75"/>
      <c r="AD14" s="44"/>
      <c r="AE14" s="75"/>
      <c r="AF14" s="108"/>
      <c r="AG14" s="5"/>
      <c r="AH14" s="5"/>
      <c r="AI14" s="87"/>
      <c r="AJ14" s="5"/>
    </row>
    <row r="15" spans="1:36" ht="19" thickBot="1" x14ac:dyDescent="0.5">
      <c r="A15" s="5"/>
      <c r="B15" s="5"/>
      <c r="C15" s="86"/>
      <c r="D15" s="69" t="s">
        <v>58</v>
      </c>
      <c r="E15" s="70">
        <v>2.6</v>
      </c>
      <c r="F15" s="214" t="s">
        <v>182</v>
      </c>
      <c r="G15" s="5"/>
      <c r="H15" s="260" t="s">
        <v>71</v>
      </c>
      <c r="I15" s="70" t="s">
        <v>12</v>
      </c>
      <c r="J15" s="214" t="s">
        <v>192</v>
      </c>
      <c r="K15" s="5"/>
      <c r="L15" s="5"/>
      <c r="M15" s="250"/>
      <c r="N15" s="110"/>
      <c r="O15" s="79"/>
      <c r="P15" s="79"/>
      <c r="Q15" s="82"/>
      <c r="R15" s="5"/>
      <c r="S15" s="51"/>
      <c r="T15" s="75"/>
      <c r="U15" s="30"/>
      <c r="V15" s="42"/>
      <c r="W15" s="89"/>
      <c r="X15" s="15"/>
      <c r="Y15" s="15"/>
      <c r="Z15" s="66"/>
      <c r="AA15" s="15"/>
      <c r="AB15" s="109"/>
      <c r="AC15" s="75"/>
      <c r="AD15" s="75"/>
      <c r="AE15" s="75"/>
      <c r="AF15" s="108"/>
      <c r="AG15" s="5"/>
      <c r="AH15" s="5"/>
      <c r="AI15" s="87"/>
      <c r="AJ15" s="5"/>
    </row>
    <row r="16" spans="1:36" ht="19" thickBot="1" x14ac:dyDescent="0.5">
      <c r="A16" s="5"/>
      <c r="B16" s="5"/>
      <c r="C16" s="86"/>
      <c r="D16" s="69" t="s">
        <v>59</v>
      </c>
      <c r="E16" s="70">
        <v>1.44</v>
      </c>
      <c r="F16" s="214" t="s">
        <v>182</v>
      </c>
      <c r="G16" s="5"/>
      <c r="H16" s="242" t="s">
        <v>55</v>
      </c>
      <c r="I16" s="243"/>
      <c r="J16" s="217" t="s">
        <v>182</v>
      </c>
      <c r="K16" s="5"/>
      <c r="L16" s="5"/>
      <c r="M16" s="250"/>
      <c r="N16" s="110"/>
      <c r="O16" s="79"/>
      <c r="P16" s="79"/>
      <c r="Q16" s="82"/>
      <c r="R16" s="5"/>
      <c r="S16" s="109"/>
      <c r="T16" s="75"/>
      <c r="U16" s="70"/>
      <c r="V16" s="15"/>
      <c r="W16" s="89"/>
      <c r="X16" s="15"/>
      <c r="Y16" s="15"/>
      <c r="Z16" s="66"/>
      <c r="AA16" s="15"/>
      <c r="AB16" s="109"/>
      <c r="AC16" s="75"/>
      <c r="AD16" s="75"/>
      <c r="AE16" s="75"/>
      <c r="AF16" s="70"/>
      <c r="AG16" s="5"/>
      <c r="AH16" s="5"/>
      <c r="AI16" s="87"/>
      <c r="AJ16" s="5"/>
    </row>
    <row r="17" spans="1:36" ht="18.5" x14ac:dyDescent="0.45">
      <c r="A17" s="5"/>
      <c r="B17" s="5"/>
      <c r="C17" s="86"/>
      <c r="D17" s="69" t="s">
        <v>60</v>
      </c>
      <c r="E17" s="70"/>
      <c r="F17" s="214" t="s">
        <v>197</v>
      </c>
      <c r="G17" s="5"/>
      <c r="H17" s="76"/>
      <c r="I17" s="244"/>
      <c r="J17" s="214" t="s">
        <v>182</v>
      </c>
      <c r="K17" s="5"/>
      <c r="L17" s="5"/>
      <c r="M17" s="250"/>
      <c r="N17" s="110"/>
      <c r="O17" s="79"/>
      <c r="P17" s="79"/>
      <c r="Q17" s="82"/>
      <c r="R17" s="5"/>
      <c r="S17" s="109"/>
      <c r="T17" s="75"/>
      <c r="U17" s="70"/>
      <c r="V17" s="15"/>
      <c r="W17" s="89"/>
      <c r="X17" s="15"/>
      <c r="Y17" s="15"/>
      <c r="Z17" s="66"/>
      <c r="AA17" s="15"/>
      <c r="AB17" s="109"/>
      <c r="AC17" s="75"/>
      <c r="AD17" s="75"/>
      <c r="AE17" s="75"/>
      <c r="AF17" s="70"/>
      <c r="AG17" s="5"/>
      <c r="AH17" s="5"/>
      <c r="AI17" s="87"/>
      <c r="AJ17" s="5"/>
    </row>
    <row r="18" spans="1:36" ht="18.5" x14ac:dyDescent="0.45">
      <c r="A18" s="5"/>
      <c r="B18" s="5"/>
      <c r="C18" s="86"/>
      <c r="D18" s="71" t="s">
        <v>61</v>
      </c>
      <c r="E18" s="70"/>
      <c r="F18" s="214" t="s">
        <v>197</v>
      </c>
      <c r="G18" s="5"/>
      <c r="H18" s="77"/>
      <c r="I18" s="244"/>
      <c r="J18" s="214" t="s">
        <v>182</v>
      </c>
      <c r="K18" s="5"/>
      <c r="L18" s="5"/>
      <c r="M18" s="250"/>
      <c r="N18" s="110"/>
      <c r="O18" s="79"/>
      <c r="P18" s="79"/>
      <c r="Q18" s="82"/>
      <c r="R18" s="5"/>
      <c r="S18" s="109"/>
      <c r="T18" s="75"/>
      <c r="U18" s="70"/>
      <c r="V18" s="15"/>
      <c r="W18" s="89"/>
      <c r="X18" s="15"/>
      <c r="Y18" s="15"/>
      <c r="Z18" s="66"/>
      <c r="AA18" s="15"/>
      <c r="AB18" s="109"/>
      <c r="AC18" s="75"/>
      <c r="AD18" s="75"/>
      <c r="AE18" s="75"/>
      <c r="AF18" s="70"/>
      <c r="AG18" s="5"/>
      <c r="AH18" s="5"/>
      <c r="AI18" s="87"/>
      <c r="AJ18" s="5"/>
    </row>
    <row r="19" spans="1:36" ht="18.5" x14ac:dyDescent="0.45">
      <c r="A19" s="5"/>
      <c r="B19" s="5"/>
      <c r="C19" s="86"/>
      <c r="D19" s="69" t="s">
        <v>62</v>
      </c>
      <c r="E19" s="70"/>
      <c r="F19" s="214" t="s">
        <v>197</v>
      </c>
      <c r="G19" s="5"/>
      <c r="H19" s="77"/>
      <c r="I19" s="244"/>
      <c r="J19" s="214" t="s">
        <v>182</v>
      </c>
      <c r="K19" s="5"/>
      <c r="L19" s="5"/>
      <c r="M19" s="250"/>
      <c r="N19" s="110"/>
      <c r="O19" s="79"/>
      <c r="P19" s="79"/>
      <c r="Q19" s="82"/>
      <c r="R19" s="5"/>
      <c r="S19" s="109"/>
      <c r="T19" s="75"/>
      <c r="U19" s="70"/>
      <c r="V19" s="15"/>
      <c r="W19" s="89"/>
      <c r="X19" s="15"/>
      <c r="Y19" s="15"/>
      <c r="Z19" s="66"/>
      <c r="AA19" s="15"/>
      <c r="AB19" s="109"/>
      <c r="AC19" s="75"/>
      <c r="AD19" s="75"/>
      <c r="AE19" s="75"/>
      <c r="AF19" s="70"/>
      <c r="AG19" s="5"/>
      <c r="AH19" s="5"/>
      <c r="AI19" s="87"/>
      <c r="AJ19" s="5"/>
    </row>
    <row r="20" spans="1:36" ht="18.5" x14ac:dyDescent="0.45">
      <c r="A20" s="5"/>
      <c r="B20" s="5"/>
      <c r="C20" s="86"/>
      <c r="D20" s="71" t="s">
        <v>63</v>
      </c>
      <c r="E20" s="70"/>
      <c r="F20" s="214" t="s">
        <v>197</v>
      </c>
      <c r="G20" s="5"/>
      <c r="H20" s="77"/>
      <c r="I20" s="244"/>
      <c r="J20" s="214" t="s">
        <v>182</v>
      </c>
      <c r="K20" s="5"/>
      <c r="L20" s="5"/>
      <c r="M20" s="245"/>
      <c r="N20" s="110"/>
      <c r="O20" s="79"/>
      <c r="P20" s="79"/>
      <c r="Q20" s="82"/>
      <c r="R20" s="5"/>
      <c r="S20" s="109"/>
      <c r="T20" s="75"/>
      <c r="U20" s="70"/>
      <c r="V20" s="15"/>
      <c r="W20" s="89"/>
      <c r="X20" s="15"/>
      <c r="Y20" s="15"/>
      <c r="Z20" s="66"/>
      <c r="AA20" s="15"/>
      <c r="AB20" s="109"/>
      <c r="AC20" s="75"/>
      <c r="AD20" s="75"/>
      <c r="AE20" s="75"/>
      <c r="AF20" s="70"/>
      <c r="AG20" s="5"/>
      <c r="AH20" s="5"/>
      <c r="AI20" s="87"/>
      <c r="AJ20" s="5"/>
    </row>
    <row r="21" spans="1:36" ht="18.5" x14ac:dyDescent="0.45">
      <c r="A21" s="5"/>
      <c r="B21" s="5"/>
      <c r="C21" s="86"/>
      <c r="D21" s="71" t="s">
        <v>64</v>
      </c>
      <c r="E21" s="143" t="s">
        <v>94</v>
      </c>
      <c r="F21" s="214" t="s">
        <v>182</v>
      </c>
      <c r="G21" s="5"/>
      <c r="H21" s="110"/>
      <c r="I21" s="244"/>
      <c r="J21" s="214" t="s">
        <v>182</v>
      </c>
      <c r="K21" s="5"/>
      <c r="L21" s="5"/>
      <c r="M21" s="245"/>
      <c r="N21" s="110"/>
      <c r="O21" s="79"/>
      <c r="P21" s="79"/>
      <c r="Q21" s="82"/>
      <c r="R21" s="5"/>
      <c r="S21" s="109"/>
      <c r="T21" s="75"/>
      <c r="U21" s="70"/>
      <c r="V21" s="15"/>
      <c r="W21" s="89"/>
      <c r="X21" s="15"/>
      <c r="Y21" s="15"/>
      <c r="Z21" s="66"/>
      <c r="AA21" s="15"/>
      <c r="AB21" s="109"/>
      <c r="AC21" s="75"/>
      <c r="AD21" s="75"/>
      <c r="AE21" s="75"/>
      <c r="AF21" s="70"/>
      <c r="AG21" s="5"/>
      <c r="AH21" s="5"/>
      <c r="AI21" s="87"/>
      <c r="AJ21" s="5"/>
    </row>
    <row r="22" spans="1:36" ht="18.5" x14ac:dyDescent="0.45">
      <c r="A22" s="5"/>
      <c r="B22" s="5"/>
      <c r="C22" s="86"/>
      <c r="D22" s="71" t="s">
        <v>65</v>
      </c>
      <c r="E22" s="70"/>
      <c r="F22" s="214" t="s">
        <v>182</v>
      </c>
      <c r="G22" s="5"/>
      <c r="H22" s="110"/>
      <c r="I22" s="244"/>
      <c r="J22" s="214" t="s">
        <v>182</v>
      </c>
      <c r="K22" s="5"/>
      <c r="L22" s="5"/>
      <c r="M22" s="245"/>
      <c r="N22" s="110"/>
      <c r="O22" s="79"/>
      <c r="P22" s="79"/>
      <c r="Q22" s="82"/>
      <c r="R22" s="5"/>
      <c r="S22" s="109"/>
      <c r="T22" s="75"/>
      <c r="U22" s="70"/>
      <c r="V22" s="15"/>
      <c r="W22" s="89"/>
      <c r="X22" s="15"/>
      <c r="Y22" s="15"/>
      <c r="Z22" s="66"/>
      <c r="AA22" s="15"/>
      <c r="AB22" s="109"/>
      <c r="AC22" s="75"/>
      <c r="AD22" s="75"/>
      <c r="AE22" s="75"/>
      <c r="AF22" s="70"/>
      <c r="AG22" s="5"/>
      <c r="AH22" s="5"/>
      <c r="AI22" s="87"/>
      <c r="AJ22" s="5"/>
    </row>
    <row r="23" spans="1:36" ht="18.5" x14ac:dyDescent="0.45">
      <c r="A23" s="5"/>
      <c r="B23" s="5"/>
      <c r="C23" s="86"/>
      <c r="D23" s="71" t="s">
        <v>66</v>
      </c>
      <c r="E23" s="70"/>
      <c r="F23" s="214" t="s">
        <v>182</v>
      </c>
      <c r="G23" s="5"/>
      <c r="H23" s="110"/>
      <c r="I23" s="245"/>
      <c r="J23" s="214" t="s">
        <v>182</v>
      </c>
      <c r="K23" s="5"/>
      <c r="L23" s="5"/>
      <c r="M23" s="245"/>
      <c r="N23" s="110"/>
      <c r="O23" s="79"/>
      <c r="P23" s="79"/>
      <c r="Q23" s="82"/>
      <c r="R23" s="5"/>
      <c r="S23" s="109"/>
      <c r="T23" s="75"/>
      <c r="U23" s="70"/>
      <c r="V23" s="15"/>
      <c r="W23" s="89"/>
      <c r="X23" s="15"/>
      <c r="Y23" s="15"/>
      <c r="Z23" s="66"/>
      <c r="AA23" s="15"/>
      <c r="AB23" s="109"/>
      <c r="AC23" s="75"/>
      <c r="AD23" s="75"/>
      <c r="AE23" s="75"/>
      <c r="AF23" s="70"/>
      <c r="AG23" s="5"/>
      <c r="AH23" s="5"/>
      <c r="AI23" s="87"/>
      <c r="AJ23" s="5"/>
    </row>
    <row r="24" spans="1:36" ht="18.5" x14ac:dyDescent="0.45">
      <c r="A24" s="5"/>
      <c r="B24" s="5"/>
      <c r="C24" s="93"/>
      <c r="D24" s="132" t="s">
        <v>86</v>
      </c>
      <c r="E24" s="92"/>
      <c r="F24" s="214" t="s">
        <v>182</v>
      </c>
      <c r="G24" s="11"/>
      <c r="H24" s="110"/>
      <c r="I24" s="245"/>
      <c r="J24" s="214" t="s">
        <v>182</v>
      </c>
      <c r="K24" s="11"/>
      <c r="L24" s="11"/>
      <c r="M24" s="245"/>
      <c r="N24" s="110"/>
      <c r="O24" s="79"/>
      <c r="P24" s="79"/>
      <c r="Q24" s="82"/>
      <c r="R24" s="5"/>
      <c r="S24" s="109"/>
      <c r="T24" s="75"/>
      <c r="U24" s="70"/>
      <c r="V24" s="15"/>
      <c r="W24" s="89"/>
      <c r="X24" s="15"/>
      <c r="Y24" s="15"/>
      <c r="Z24" s="66"/>
      <c r="AA24" s="15"/>
      <c r="AB24" s="109"/>
      <c r="AC24" s="75"/>
      <c r="AD24" s="75"/>
      <c r="AE24" s="75"/>
      <c r="AF24" s="70"/>
      <c r="AG24" s="5"/>
      <c r="AH24" s="5"/>
      <c r="AI24" s="87"/>
      <c r="AJ24" s="5"/>
    </row>
    <row r="25" spans="1:36" ht="18.5" x14ac:dyDescent="0.45">
      <c r="A25" s="5"/>
      <c r="B25" s="5"/>
      <c r="C25" s="93"/>
      <c r="D25" s="132" t="s">
        <v>87</v>
      </c>
      <c r="E25" s="92"/>
      <c r="F25" s="214" t="s">
        <v>182</v>
      </c>
      <c r="G25" s="11"/>
      <c r="H25" s="110"/>
      <c r="I25" s="245"/>
      <c r="J25" s="214" t="s">
        <v>182</v>
      </c>
      <c r="K25" s="11"/>
      <c r="L25" s="11"/>
      <c r="M25" s="245"/>
      <c r="N25" s="110"/>
      <c r="O25" s="79"/>
      <c r="P25" s="79"/>
      <c r="Q25" s="82"/>
      <c r="R25" s="5"/>
      <c r="S25" s="119"/>
      <c r="T25" s="120"/>
      <c r="U25" s="121"/>
      <c r="V25" s="5"/>
      <c r="W25" s="119"/>
      <c r="X25" s="120"/>
      <c r="Y25" s="120"/>
      <c r="Z25" s="121"/>
      <c r="AA25" s="5"/>
      <c r="AB25" s="119"/>
      <c r="AC25" s="120"/>
      <c r="AD25" s="120"/>
      <c r="AE25" s="120"/>
      <c r="AF25" s="121"/>
      <c r="AG25" s="5"/>
      <c r="AH25" s="5"/>
      <c r="AI25" s="87"/>
      <c r="AJ25" s="5"/>
    </row>
    <row r="26" spans="1:36" ht="19" thickBot="1" x14ac:dyDescent="0.5">
      <c r="A26" s="5"/>
      <c r="B26" s="5"/>
      <c r="C26" s="93"/>
      <c r="D26" s="133" t="s">
        <v>88</v>
      </c>
      <c r="E26" s="65"/>
      <c r="F26" s="215" t="s">
        <v>182</v>
      </c>
      <c r="G26" s="5"/>
      <c r="H26" s="110"/>
      <c r="I26" s="245"/>
      <c r="J26" s="214" t="s">
        <v>182</v>
      </c>
      <c r="K26" s="5"/>
      <c r="L26" s="5"/>
      <c r="M26" s="245"/>
      <c r="N26" s="110"/>
      <c r="O26" s="79"/>
      <c r="P26" s="79"/>
      <c r="Q26" s="82"/>
      <c r="R26" s="5"/>
      <c r="S26" s="119"/>
      <c r="T26" s="120"/>
      <c r="U26" s="121"/>
      <c r="V26" s="5"/>
      <c r="W26" s="119"/>
      <c r="X26" s="120"/>
      <c r="Y26" s="120"/>
      <c r="Z26" s="121"/>
      <c r="AA26" s="5"/>
      <c r="AB26" s="119"/>
      <c r="AC26" s="120"/>
      <c r="AD26" s="120"/>
      <c r="AE26" s="120"/>
      <c r="AF26" s="121"/>
      <c r="AG26" s="5"/>
      <c r="AH26" s="5"/>
      <c r="AI26" s="87"/>
      <c r="AJ26" s="5"/>
    </row>
    <row r="27" spans="1:36" ht="19" thickBot="1" x14ac:dyDescent="0.5">
      <c r="A27" s="5"/>
      <c r="B27" s="5"/>
      <c r="C27" s="93"/>
      <c r="D27" s="133" t="s">
        <v>109</v>
      </c>
      <c r="E27" s="72">
        <f>Systemblatt!C11</f>
        <v>8000</v>
      </c>
      <c r="F27" s="215" t="s">
        <v>184</v>
      </c>
      <c r="G27" s="5"/>
      <c r="H27" s="111"/>
      <c r="I27" s="246"/>
      <c r="J27" s="215" t="s">
        <v>182</v>
      </c>
      <c r="K27" s="5"/>
      <c r="L27" s="5"/>
      <c r="M27" s="246"/>
      <c r="N27" s="111"/>
      <c r="O27" s="80"/>
      <c r="P27" s="80"/>
      <c r="Q27" s="81"/>
      <c r="R27" s="5"/>
      <c r="S27" s="122"/>
      <c r="T27" s="123"/>
      <c r="U27" s="124"/>
      <c r="V27" s="5"/>
      <c r="W27" s="122"/>
      <c r="X27" s="123"/>
      <c r="Y27" s="123"/>
      <c r="Z27" s="124"/>
      <c r="AA27" s="5"/>
      <c r="AB27" s="122"/>
      <c r="AC27" s="123"/>
      <c r="AD27" s="123"/>
      <c r="AE27" s="123"/>
      <c r="AF27" s="124"/>
      <c r="AG27" s="5"/>
      <c r="AH27" s="5"/>
      <c r="AI27" s="87"/>
      <c r="AJ27" s="5"/>
    </row>
    <row r="28" spans="1:36" x14ac:dyDescent="0.35">
      <c r="A28" s="5"/>
      <c r="B28" s="5"/>
      <c r="C28" s="93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7"/>
      <c r="AJ28" s="5"/>
    </row>
    <row r="29" spans="1:36" x14ac:dyDescent="0.35">
      <c r="A29" s="5"/>
      <c r="B29" s="5"/>
      <c r="C29" s="93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7"/>
      <c r="AJ29" s="5"/>
    </row>
    <row r="30" spans="1:36" x14ac:dyDescent="0.35">
      <c r="A30" s="5"/>
      <c r="B30" s="5"/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7"/>
      <c r="AJ30" s="5"/>
    </row>
    <row r="31" spans="1:36" x14ac:dyDescent="0.35">
      <c r="A31" s="5"/>
      <c r="B31" s="5"/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7"/>
      <c r="AJ31" s="5"/>
    </row>
    <row r="32" spans="1:36" x14ac:dyDescent="0.35">
      <c r="A32" s="5"/>
      <c r="B32" s="5"/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7"/>
      <c r="AJ32" s="5"/>
    </row>
    <row r="33" spans="1:36" x14ac:dyDescent="0.35">
      <c r="A33" s="5"/>
      <c r="B33" s="5"/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7"/>
      <c r="AJ33" s="5"/>
    </row>
    <row r="34" spans="1:36" x14ac:dyDescent="0.35">
      <c r="A34" s="5"/>
      <c r="B34" s="5"/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7"/>
      <c r="AJ34" s="5"/>
    </row>
    <row r="35" spans="1:36" x14ac:dyDescent="0.35">
      <c r="A35" s="5"/>
      <c r="B35" s="5"/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7"/>
      <c r="AJ35" s="5"/>
    </row>
    <row r="36" spans="1:36" x14ac:dyDescent="0.35">
      <c r="A36" s="5"/>
      <c r="B36" s="5"/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7"/>
      <c r="AJ36" s="5"/>
    </row>
    <row r="37" spans="1:36" x14ac:dyDescent="0.35">
      <c r="A37" s="5"/>
      <c r="B37" s="5"/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7"/>
      <c r="AJ37" s="5"/>
    </row>
    <row r="38" spans="1:36" x14ac:dyDescent="0.35">
      <c r="A38" s="5"/>
      <c r="B38" s="5"/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7"/>
      <c r="AJ38" s="5"/>
    </row>
    <row r="39" spans="1:36" x14ac:dyDescent="0.35">
      <c r="A39" s="5"/>
      <c r="B39" s="5"/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7"/>
      <c r="AJ39" s="5"/>
    </row>
    <row r="40" spans="1:36" x14ac:dyDescent="0.35">
      <c r="A40" s="5"/>
      <c r="B40" s="5"/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7"/>
      <c r="AJ40" s="5"/>
    </row>
    <row r="41" spans="1:36" x14ac:dyDescent="0.35">
      <c r="A41" s="5"/>
      <c r="B41" s="5"/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7"/>
      <c r="AJ41" s="5"/>
    </row>
    <row r="42" spans="1:36" x14ac:dyDescent="0.35">
      <c r="A42" s="5"/>
      <c r="B42" s="5"/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7"/>
      <c r="AJ42" s="5"/>
    </row>
    <row r="43" spans="1:36" x14ac:dyDescent="0.35">
      <c r="A43" s="5"/>
      <c r="B43" s="5"/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7"/>
      <c r="AJ43" s="5"/>
    </row>
    <row r="44" spans="1:36" x14ac:dyDescent="0.35">
      <c r="A44" s="5"/>
      <c r="B44" s="5"/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7"/>
      <c r="AJ44" s="5"/>
    </row>
    <row r="45" spans="1:36" x14ac:dyDescent="0.35">
      <c r="A45" s="5"/>
      <c r="B45" s="5"/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7"/>
      <c r="AJ45" s="5"/>
    </row>
    <row r="46" spans="1:36" x14ac:dyDescent="0.35">
      <c r="A46" s="5"/>
      <c r="B46" s="5"/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7"/>
      <c r="AJ46" s="5"/>
    </row>
    <row r="47" spans="1:36" ht="18.5" x14ac:dyDescent="0.35">
      <c r="A47" s="5"/>
      <c r="B47" s="5"/>
      <c r="C47" s="86"/>
      <c r="D47" s="342"/>
      <c r="E47" s="342"/>
      <c r="F47" s="342"/>
      <c r="G47" s="342"/>
      <c r="H47" s="342"/>
      <c r="I47" s="342"/>
      <c r="J47" s="342"/>
      <c r="K47" s="342"/>
      <c r="L47" s="342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7"/>
      <c r="AJ47" s="5"/>
    </row>
    <row r="48" spans="1:36" ht="15.5" x14ac:dyDescent="0.35">
      <c r="A48" s="5"/>
      <c r="B48" s="5"/>
      <c r="C48" s="86"/>
      <c r="D48" s="97"/>
      <c r="E48" s="97"/>
      <c r="F48" s="97"/>
      <c r="G48" s="97"/>
      <c r="H48" s="97"/>
      <c r="I48" s="97"/>
      <c r="J48" s="97"/>
      <c r="K48" s="97"/>
      <c r="L48" s="97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7"/>
      <c r="AJ48" s="5"/>
    </row>
    <row r="49" spans="1:36" ht="15.5" x14ac:dyDescent="0.35">
      <c r="A49" s="5"/>
      <c r="B49" s="5"/>
      <c r="C49" s="86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7"/>
      <c r="AJ49" s="5"/>
    </row>
    <row r="50" spans="1:36" ht="15.5" x14ac:dyDescent="0.35">
      <c r="A50" s="5"/>
      <c r="B50" s="5"/>
      <c r="C50" s="86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7"/>
      <c r="AJ50" s="5"/>
    </row>
    <row r="51" spans="1:36" ht="15.5" x14ac:dyDescent="0.35">
      <c r="A51" s="5"/>
      <c r="B51" s="5"/>
      <c r="C51" s="86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7"/>
      <c r="AJ51" s="5"/>
    </row>
    <row r="52" spans="1:36" ht="15.5" x14ac:dyDescent="0.35">
      <c r="A52" s="5"/>
      <c r="B52" s="5"/>
      <c r="C52" s="86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7"/>
      <c r="AJ52" s="5"/>
    </row>
    <row r="53" spans="1:36" ht="15.5" x14ac:dyDescent="0.35">
      <c r="A53" s="5"/>
      <c r="B53" s="5"/>
      <c r="C53" s="86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7"/>
      <c r="AJ53" s="5"/>
    </row>
    <row r="54" spans="1:36" ht="15.5" x14ac:dyDescent="0.35">
      <c r="A54" s="5"/>
      <c r="B54" s="5"/>
      <c r="C54" s="86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7"/>
      <c r="AJ54" s="5"/>
    </row>
    <row r="55" spans="1:36" x14ac:dyDescent="0.35">
      <c r="A55" s="5"/>
      <c r="B55" s="5"/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7"/>
      <c r="AJ55" s="5"/>
    </row>
    <row r="56" spans="1:36" x14ac:dyDescent="0.35">
      <c r="A56" s="5"/>
      <c r="B56" s="5"/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7"/>
      <c r="AJ56" s="5"/>
    </row>
    <row r="57" spans="1:36" x14ac:dyDescent="0.35">
      <c r="A57" s="5"/>
      <c r="B57" s="5"/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7"/>
      <c r="AJ57" s="5"/>
    </row>
    <row r="58" spans="1:36" x14ac:dyDescent="0.35">
      <c r="A58" s="5"/>
      <c r="B58" s="5"/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7"/>
      <c r="AJ58" s="5"/>
    </row>
    <row r="59" spans="1:36" x14ac:dyDescent="0.35">
      <c r="A59" s="5"/>
      <c r="B59" s="5"/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7"/>
      <c r="AJ59" s="5"/>
    </row>
    <row r="60" spans="1:36" x14ac:dyDescent="0.35">
      <c r="A60" s="5"/>
      <c r="B60" s="5"/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7"/>
      <c r="AJ60" s="5"/>
    </row>
    <row r="61" spans="1:36" x14ac:dyDescent="0.35">
      <c r="A61" s="5"/>
      <c r="B61" s="5"/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7"/>
      <c r="AJ61" s="5"/>
    </row>
    <row r="62" spans="1:36" x14ac:dyDescent="0.35">
      <c r="A62" s="5"/>
      <c r="B62" s="5"/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7"/>
      <c r="AJ62" s="5"/>
    </row>
    <row r="63" spans="1:36" x14ac:dyDescent="0.35">
      <c r="A63" s="5"/>
      <c r="B63" s="5"/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7"/>
      <c r="AJ63" s="5"/>
    </row>
    <row r="64" spans="1:36" x14ac:dyDescent="0.35">
      <c r="A64" s="5"/>
      <c r="B64" s="5"/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7"/>
      <c r="AJ64" s="5"/>
    </row>
    <row r="65" spans="1:36" x14ac:dyDescent="0.35">
      <c r="A65" s="5"/>
      <c r="B65" s="5"/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7"/>
      <c r="AJ65" s="5"/>
    </row>
    <row r="66" spans="1:36" x14ac:dyDescent="0.35">
      <c r="A66" s="5"/>
      <c r="B66" s="5"/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7"/>
      <c r="AJ66" s="5"/>
    </row>
    <row r="67" spans="1:36" x14ac:dyDescent="0.35">
      <c r="A67" s="5"/>
      <c r="B67" s="5"/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7"/>
      <c r="AJ67" s="5"/>
    </row>
    <row r="68" spans="1:36" x14ac:dyDescent="0.35">
      <c r="A68" s="5"/>
      <c r="B68" s="5"/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7"/>
      <c r="AJ68" s="5"/>
    </row>
    <row r="69" spans="1:36" ht="15" thickBot="1" x14ac:dyDescent="0.4">
      <c r="A69" s="5"/>
      <c r="B69" s="5"/>
      <c r="C69" s="78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8"/>
      <c r="AE69" s="88"/>
      <c r="AF69" s="88"/>
      <c r="AG69" s="88"/>
      <c r="AH69" s="88"/>
      <c r="AI69" s="65"/>
      <c r="AJ69" s="5"/>
    </row>
    <row r="70" spans="1:36" x14ac:dyDescent="0.35">
      <c r="A70" s="5"/>
      <c r="B70" s="5"/>
      <c r="C70" s="91"/>
      <c r="D70" s="91"/>
      <c r="E70" s="91"/>
      <c r="F70" s="91"/>
      <c r="G70" s="91"/>
      <c r="H70" s="91"/>
      <c r="I70" s="91"/>
      <c r="J70" s="91"/>
      <c r="K70" s="91"/>
      <c r="L70" s="91"/>
      <c r="M70" s="91"/>
      <c r="N70" s="91"/>
      <c r="O70" s="91"/>
      <c r="P70" s="91"/>
      <c r="Q70" s="91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23</v>
      </c>
    </row>
  </sheetData>
  <mergeCells count="12">
    <mergeCell ref="S6:AF6"/>
    <mergeCell ref="S8:U8"/>
    <mergeCell ref="W8:Z8"/>
    <mergeCell ref="AB8:AF8"/>
    <mergeCell ref="M8:Q8"/>
    <mergeCell ref="D47:G47"/>
    <mergeCell ref="H47:L47"/>
    <mergeCell ref="D6:E6"/>
    <mergeCell ref="H6:I6"/>
    <mergeCell ref="M6:P6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BC7C4857-C776-824C-AD00-12800BA2F584}">
          <x14:formula1>
            <xm:f>Systemblatt!$E$5:$E$11</xm:f>
          </x14:formula1>
          <xm:sqref>K16:K17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0F4D4CF0-5DEE-7446-974F-69F05F2479CD}">
          <x14:formula1>
            <xm:f>Systemblatt!$E$5:$E$38</xm:f>
          </x14:formula1>
          <xm:sqref>I16:I27 AE10:AE27 AC10:AC27 T10:T27 N14:Q27 N12:Q12 N13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7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95"/>
      <c r="AJ2" s="95"/>
      <c r="AK2" s="91"/>
      <c r="AL2" s="91"/>
      <c r="AM2" s="91"/>
      <c r="AN2" s="91"/>
      <c r="AO2" s="96"/>
    </row>
    <row r="3" spans="3:41" x14ac:dyDescent="0.35">
      <c r="C3" s="86"/>
      <c r="D3" s="5"/>
      <c r="E3" s="5"/>
      <c r="F3" s="5"/>
      <c r="G3" s="5"/>
      <c r="H3" s="5"/>
      <c r="I3" s="5"/>
      <c r="J3" s="5" t="s">
        <v>22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7"/>
    </row>
    <row r="4" spans="3:41" x14ac:dyDescent="0.35"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7"/>
    </row>
    <row r="5" spans="3:41" x14ac:dyDescent="0.35"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7"/>
    </row>
    <row r="6" spans="3:41" x14ac:dyDescent="0.35">
      <c r="C6" s="86"/>
      <c r="D6" s="363"/>
      <c r="E6" s="363"/>
      <c r="F6" s="5"/>
      <c r="G6" s="5"/>
      <c r="H6" s="363"/>
      <c r="I6" s="363"/>
      <c r="J6" s="15"/>
      <c r="K6" s="15"/>
      <c r="L6" s="5"/>
      <c r="M6" s="363"/>
      <c r="N6" s="363"/>
      <c r="O6" s="363"/>
      <c r="P6" s="363"/>
      <c r="Q6" s="5"/>
      <c r="R6" s="5"/>
      <c r="S6" s="364"/>
      <c r="T6" s="364"/>
      <c r="U6" s="364"/>
      <c r="V6" s="364"/>
      <c r="W6" s="364"/>
      <c r="X6" s="364"/>
      <c r="Y6" s="364"/>
      <c r="Z6" s="364"/>
      <c r="AA6" s="364"/>
      <c r="AB6" s="364"/>
      <c r="AC6" s="364"/>
      <c r="AD6" s="364"/>
      <c r="AE6" s="364"/>
      <c r="AF6" s="364"/>
      <c r="AG6" s="11"/>
      <c r="AH6" s="11"/>
      <c r="AI6" s="11"/>
      <c r="AJ6" s="11"/>
      <c r="AK6" s="11"/>
      <c r="AL6" s="11"/>
      <c r="AM6" s="11"/>
      <c r="AN6" s="11"/>
      <c r="AO6" s="87"/>
    </row>
    <row r="7" spans="3:41" ht="15" thickBot="1" x14ac:dyDescent="0.4"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7"/>
    </row>
    <row r="8" spans="3:41" ht="24" thickBot="1" x14ac:dyDescent="0.6">
      <c r="C8" s="86"/>
      <c r="D8" s="344" t="s">
        <v>52</v>
      </c>
      <c r="E8" s="345"/>
      <c r="F8" s="346"/>
      <c r="G8" s="5"/>
      <c r="H8" s="347" t="s">
        <v>53</v>
      </c>
      <c r="I8" s="348"/>
      <c r="J8" s="349"/>
      <c r="K8" s="16"/>
      <c r="L8" s="5"/>
      <c r="M8" s="357" t="s">
        <v>72</v>
      </c>
      <c r="N8" s="358"/>
      <c r="O8" s="358"/>
      <c r="P8" s="358"/>
      <c r="Q8" s="359"/>
      <c r="R8" s="5"/>
      <c r="S8" s="351" t="s">
        <v>78</v>
      </c>
      <c r="T8" s="352"/>
      <c r="U8" s="353"/>
      <c r="V8" s="12"/>
      <c r="W8" s="354" t="s">
        <v>108</v>
      </c>
      <c r="X8" s="355"/>
      <c r="Y8" s="355"/>
      <c r="Z8" s="356"/>
      <c r="AA8" s="11"/>
      <c r="AB8" s="354" t="s">
        <v>85</v>
      </c>
      <c r="AC8" s="355"/>
      <c r="AD8" s="355"/>
      <c r="AE8" s="355"/>
      <c r="AF8" s="356"/>
      <c r="AG8" s="11"/>
      <c r="AH8" s="360" t="s">
        <v>5</v>
      </c>
      <c r="AI8" s="361"/>
      <c r="AJ8" s="362"/>
      <c r="AK8" s="98"/>
      <c r="AL8" s="360" t="s">
        <v>6</v>
      </c>
      <c r="AM8" s="361"/>
      <c r="AN8" s="362"/>
      <c r="AO8" s="87"/>
    </row>
    <row r="9" spans="3:41" ht="21.5" thickBot="1" x14ac:dyDescent="0.55000000000000004">
      <c r="C9" s="86"/>
      <c r="D9" s="73" t="s">
        <v>32</v>
      </c>
      <c r="E9" s="213" t="s">
        <v>0</v>
      </c>
      <c r="F9" s="216" t="s">
        <v>181</v>
      </c>
      <c r="G9" s="5"/>
      <c r="H9" s="74" t="s">
        <v>32</v>
      </c>
      <c r="I9" s="74" t="s">
        <v>54</v>
      </c>
      <c r="J9" s="74" t="s">
        <v>181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 t="s">
        <v>181</v>
      </c>
      <c r="S9" s="85" t="s">
        <v>79</v>
      </c>
      <c r="T9" s="85" t="s">
        <v>35</v>
      </c>
      <c r="U9" s="85" t="s">
        <v>80</v>
      </c>
      <c r="V9" s="13"/>
      <c r="W9" s="101" t="s">
        <v>104</v>
      </c>
      <c r="X9" s="203" t="s">
        <v>162</v>
      </c>
      <c r="Y9" s="203" t="s">
        <v>163</v>
      </c>
      <c r="Z9" s="204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11"/>
      <c r="AH9" s="142" t="s">
        <v>35</v>
      </c>
      <c r="AI9" s="142" t="s">
        <v>91</v>
      </c>
      <c r="AJ9" s="142" t="s">
        <v>0</v>
      </c>
      <c r="AK9" s="97"/>
      <c r="AL9" s="142" t="s">
        <v>91</v>
      </c>
      <c r="AM9" s="142" t="s">
        <v>92</v>
      </c>
      <c r="AN9" s="142" t="s">
        <v>93</v>
      </c>
      <c r="AO9" s="87"/>
    </row>
    <row r="10" spans="3:41" ht="18.5" x14ac:dyDescent="0.45">
      <c r="C10" s="86"/>
      <c r="D10" s="67" t="s">
        <v>1</v>
      </c>
      <c r="E10" s="68"/>
      <c r="F10" s="214" t="s">
        <v>182</v>
      </c>
      <c r="G10" s="5"/>
      <c r="H10" s="69" t="s">
        <v>2</v>
      </c>
      <c r="I10" s="70"/>
      <c r="J10" s="217" t="s">
        <v>182</v>
      </c>
      <c r="K10" s="79"/>
      <c r="L10" s="79"/>
      <c r="M10" s="254" t="s">
        <v>75</v>
      </c>
      <c r="N10" s="179"/>
      <c r="O10" s="179"/>
      <c r="P10" s="180"/>
      <c r="Q10" s="181"/>
      <c r="R10" s="5" t="s">
        <v>198</v>
      </c>
      <c r="S10" s="103"/>
      <c r="T10" s="104"/>
      <c r="U10" s="105"/>
      <c r="V10" s="106"/>
      <c r="W10" s="138"/>
      <c r="X10" s="83"/>
      <c r="Y10" s="139"/>
      <c r="Z10" s="137"/>
      <c r="AA10" s="75"/>
      <c r="AB10" s="136"/>
      <c r="AC10" s="83"/>
      <c r="AD10" s="139"/>
      <c r="AE10" s="83"/>
      <c r="AF10" s="137"/>
      <c r="AG10" s="120"/>
      <c r="AH10" s="126"/>
      <c r="AI10" s="125"/>
      <c r="AJ10" s="127"/>
      <c r="AK10" s="115"/>
      <c r="AL10" s="128"/>
      <c r="AM10" s="129"/>
      <c r="AN10" s="130"/>
      <c r="AO10" s="87"/>
    </row>
    <row r="11" spans="3:41" ht="19" thickBot="1" x14ac:dyDescent="0.5">
      <c r="C11" s="86"/>
      <c r="D11" s="69" t="s">
        <v>3</v>
      </c>
      <c r="E11" s="70"/>
      <c r="F11" s="214" t="s">
        <v>182</v>
      </c>
      <c r="G11" s="5"/>
      <c r="H11" s="69" t="s">
        <v>67</v>
      </c>
      <c r="I11" s="105"/>
      <c r="J11" s="214" t="s">
        <v>191</v>
      </c>
      <c r="K11" s="79"/>
      <c r="L11" s="79"/>
      <c r="M11" s="255" t="s">
        <v>76</v>
      </c>
      <c r="N11" s="125"/>
      <c r="O11" s="125"/>
      <c r="P11" s="79"/>
      <c r="Q11" s="127"/>
      <c r="R11" s="5" t="s">
        <v>192</v>
      </c>
      <c r="S11" s="103"/>
      <c r="T11" s="104"/>
      <c r="U11" s="105"/>
      <c r="V11" s="106"/>
      <c r="W11" s="109"/>
      <c r="X11" s="75"/>
      <c r="Y11" s="106"/>
      <c r="Z11" s="108"/>
      <c r="AA11" s="75"/>
      <c r="AB11" s="107"/>
      <c r="AC11" s="75"/>
      <c r="AD11" s="106"/>
      <c r="AE11" s="75"/>
      <c r="AF11" s="108"/>
      <c r="AG11" s="120"/>
      <c r="AH11" s="126"/>
      <c r="AI11" s="125"/>
      <c r="AJ11" s="127"/>
      <c r="AK11" s="115"/>
      <c r="AL11" s="116"/>
      <c r="AM11" s="6"/>
      <c r="AN11" s="131"/>
      <c r="AO11" s="87"/>
    </row>
    <row r="12" spans="3:41" ht="18.5" x14ac:dyDescent="0.45">
      <c r="C12" s="86"/>
      <c r="D12" s="69" t="s">
        <v>42</v>
      </c>
      <c r="E12" s="205" t="s">
        <v>229</v>
      </c>
      <c r="F12" s="214" t="s">
        <v>182</v>
      </c>
      <c r="G12" s="5"/>
      <c r="H12" s="69" t="s">
        <v>68</v>
      </c>
      <c r="I12" s="105"/>
      <c r="J12" s="214" t="str">
        <f>J15</f>
        <v>t/h</v>
      </c>
      <c r="K12" s="79"/>
      <c r="L12" s="79"/>
      <c r="M12" s="248" t="s">
        <v>77</v>
      </c>
      <c r="N12" s="256"/>
      <c r="O12" s="179"/>
      <c r="P12" s="180"/>
      <c r="Q12" s="181"/>
      <c r="R12" s="114"/>
      <c r="S12" s="126"/>
      <c r="T12" s="125"/>
      <c r="U12" s="127"/>
      <c r="V12" s="106"/>
      <c r="W12" s="109"/>
      <c r="X12" s="75"/>
      <c r="Y12" s="44"/>
      <c r="Z12" s="30"/>
      <c r="AA12" s="44"/>
      <c r="AB12" s="51"/>
      <c r="AC12" s="75"/>
      <c r="AD12" s="44"/>
      <c r="AE12" s="75"/>
      <c r="AF12" s="108"/>
      <c r="AG12" s="120"/>
      <c r="AH12" s="126"/>
      <c r="AI12" s="125"/>
      <c r="AJ12" s="127"/>
      <c r="AK12" s="115"/>
      <c r="AL12" s="116"/>
      <c r="AM12" s="6"/>
      <c r="AN12" s="131"/>
      <c r="AO12" s="87"/>
    </row>
    <row r="13" spans="3:41" ht="18.5" x14ac:dyDescent="0.45">
      <c r="C13" s="86"/>
      <c r="D13" s="69" t="s">
        <v>56</v>
      </c>
      <c r="F13" s="214" t="s">
        <v>182</v>
      </c>
      <c r="G13" s="5"/>
      <c r="H13" s="69" t="s">
        <v>69</v>
      </c>
      <c r="I13" s="105"/>
      <c r="J13" s="214" t="s">
        <v>182</v>
      </c>
      <c r="K13" s="79"/>
      <c r="L13" s="79"/>
      <c r="M13" s="249"/>
      <c r="N13" s="126"/>
      <c r="O13" s="75"/>
      <c r="P13" s="75"/>
      <c r="Q13" s="70"/>
      <c r="R13" s="114"/>
      <c r="S13" s="119"/>
      <c r="T13" s="120"/>
      <c r="U13" s="121"/>
      <c r="V13" s="44"/>
      <c r="W13" s="109"/>
      <c r="X13" s="75"/>
      <c r="Y13" s="44"/>
      <c r="Z13" s="30"/>
      <c r="AA13" s="44"/>
      <c r="AB13" s="51"/>
      <c r="AC13" s="75"/>
      <c r="AD13" s="44"/>
      <c r="AE13" s="75"/>
      <c r="AF13" s="108"/>
      <c r="AG13" s="120"/>
      <c r="AH13" s="107"/>
      <c r="AI13" s="106"/>
      <c r="AJ13" s="108"/>
      <c r="AK13" s="115"/>
      <c r="AL13" s="117"/>
      <c r="AM13" s="6"/>
      <c r="AN13" s="118"/>
      <c r="AO13" s="87"/>
    </row>
    <row r="14" spans="3:41" ht="18.5" x14ac:dyDescent="0.45"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/>
      <c r="J14" s="214" t="s">
        <v>194</v>
      </c>
      <c r="K14" s="79"/>
      <c r="L14" s="79"/>
      <c r="M14" s="250"/>
      <c r="N14" s="110"/>
      <c r="O14" s="79"/>
      <c r="P14" s="79"/>
      <c r="Q14" s="82"/>
      <c r="R14" s="114"/>
      <c r="S14" s="51"/>
      <c r="T14" s="75"/>
      <c r="U14" s="30"/>
      <c r="V14" s="44"/>
      <c r="W14" s="109"/>
      <c r="X14" s="75"/>
      <c r="Y14" s="44"/>
      <c r="Z14" s="30"/>
      <c r="AA14" s="44"/>
      <c r="AB14" s="51"/>
      <c r="AC14" s="75"/>
      <c r="AD14" s="44"/>
      <c r="AE14" s="75"/>
      <c r="AF14" s="108"/>
      <c r="AG14" s="120"/>
      <c r="AH14" s="107"/>
      <c r="AI14" s="106"/>
      <c r="AJ14" s="108"/>
      <c r="AK14" s="115"/>
      <c r="AL14" s="117"/>
      <c r="AM14" s="6"/>
      <c r="AN14" s="118"/>
      <c r="AO14" s="87"/>
    </row>
    <row r="15" spans="3:41" ht="19" thickBot="1" x14ac:dyDescent="0.5">
      <c r="C15" s="86"/>
      <c r="D15" s="69" t="s">
        <v>58</v>
      </c>
      <c r="E15" s="70">
        <v>2.6</v>
      </c>
      <c r="F15" s="214" t="s">
        <v>182</v>
      </c>
      <c r="G15" s="5"/>
      <c r="H15" s="76" t="s">
        <v>71</v>
      </c>
      <c r="I15" s="70"/>
      <c r="J15" s="214" t="s">
        <v>192</v>
      </c>
      <c r="K15" s="79"/>
      <c r="L15" s="79"/>
      <c r="M15" s="250"/>
      <c r="N15" s="110"/>
      <c r="O15" s="79"/>
      <c r="P15" s="79"/>
      <c r="Q15" s="82"/>
      <c r="R15" s="114"/>
      <c r="S15" s="51"/>
      <c r="T15" s="75"/>
      <c r="U15" s="30"/>
      <c r="V15" s="44"/>
      <c r="W15" s="89"/>
      <c r="X15" s="15"/>
      <c r="Y15" s="15"/>
      <c r="Z15" s="66"/>
      <c r="AA15" s="75"/>
      <c r="AB15" s="109"/>
      <c r="AC15" s="75"/>
      <c r="AD15" s="75"/>
      <c r="AE15" s="75"/>
      <c r="AF15" s="108"/>
      <c r="AG15" s="120"/>
      <c r="AH15" s="107"/>
      <c r="AI15" s="106"/>
      <c r="AJ15" s="108"/>
      <c r="AK15" s="115"/>
      <c r="AL15" s="117"/>
      <c r="AM15" s="6"/>
      <c r="AN15" s="118"/>
      <c r="AO15" s="87"/>
    </row>
    <row r="16" spans="3:41" ht="19" thickBot="1" x14ac:dyDescent="0.5">
      <c r="C16" s="86"/>
      <c r="D16" s="69" t="s">
        <v>59</v>
      </c>
      <c r="E16" s="70">
        <v>1.44</v>
      </c>
      <c r="F16" s="214" t="s">
        <v>182</v>
      </c>
      <c r="G16" s="5"/>
      <c r="H16" s="242" t="s">
        <v>55</v>
      </c>
      <c r="I16" s="243"/>
      <c r="J16" s="217" t="s">
        <v>182</v>
      </c>
      <c r="K16" s="79"/>
      <c r="L16" s="79"/>
      <c r="M16" s="250"/>
      <c r="N16" s="110"/>
      <c r="O16" s="79"/>
      <c r="P16" s="79"/>
      <c r="Q16" s="82"/>
      <c r="R16" s="114"/>
      <c r="S16" s="109"/>
      <c r="T16" s="75"/>
      <c r="U16" s="70"/>
      <c r="V16" s="75"/>
      <c r="W16" s="89"/>
      <c r="X16" s="15"/>
      <c r="Y16" s="15"/>
      <c r="Z16" s="66"/>
      <c r="AA16" s="75"/>
      <c r="AB16" s="109"/>
      <c r="AC16" s="75"/>
      <c r="AD16" s="75"/>
      <c r="AE16" s="75"/>
      <c r="AF16" s="70"/>
      <c r="AG16" s="120"/>
      <c r="AH16" s="107"/>
      <c r="AI16" s="75"/>
      <c r="AJ16" s="70"/>
      <c r="AK16" s="79"/>
      <c r="AL16" s="110"/>
      <c r="AM16" s="6"/>
      <c r="AN16" s="82"/>
      <c r="AO16" s="87"/>
    </row>
    <row r="17" spans="3:41" ht="18.5" x14ac:dyDescent="0.45">
      <c r="C17" s="86"/>
      <c r="D17" s="69" t="s">
        <v>60</v>
      </c>
      <c r="E17" s="70"/>
      <c r="F17" s="214" t="s">
        <v>186</v>
      </c>
      <c r="G17" s="5"/>
      <c r="H17" s="76"/>
      <c r="I17" s="244"/>
      <c r="J17" s="214" t="s">
        <v>182</v>
      </c>
      <c r="K17" s="79"/>
      <c r="L17" s="79"/>
      <c r="M17" s="250"/>
      <c r="N17" s="110"/>
      <c r="O17" s="79"/>
      <c r="P17" s="79"/>
      <c r="Q17" s="82"/>
      <c r="R17" s="114"/>
      <c r="S17" s="109"/>
      <c r="T17" s="75"/>
      <c r="U17" s="70"/>
      <c r="V17" s="75"/>
      <c r="W17" s="89"/>
      <c r="X17" s="15"/>
      <c r="Y17" s="15"/>
      <c r="Z17" s="66"/>
      <c r="AA17" s="75"/>
      <c r="AB17" s="109"/>
      <c r="AC17" s="75"/>
      <c r="AD17" s="75"/>
      <c r="AE17" s="75"/>
      <c r="AF17" s="70"/>
      <c r="AG17" s="120"/>
      <c r="AH17" s="107"/>
      <c r="AI17" s="75"/>
      <c r="AJ17" s="70"/>
      <c r="AK17" s="79"/>
      <c r="AL17" s="110"/>
      <c r="AM17" s="6"/>
      <c r="AN17" s="82"/>
      <c r="AO17" s="87"/>
    </row>
    <row r="18" spans="3:41" ht="18.5" x14ac:dyDescent="0.45">
      <c r="C18" s="86"/>
      <c r="D18" s="71" t="s">
        <v>61</v>
      </c>
      <c r="E18" s="70"/>
      <c r="F18" s="214" t="s">
        <v>186</v>
      </c>
      <c r="G18" s="5"/>
      <c r="H18" s="77"/>
      <c r="I18" s="244"/>
      <c r="J18" s="214" t="s">
        <v>182</v>
      </c>
      <c r="K18" s="79"/>
      <c r="L18" s="79"/>
      <c r="M18" s="250"/>
      <c r="N18" s="110"/>
      <c r="O18" s="79"/>
      <c r="P18" s="79"/>
      <c r="Q18" s="82"/>
      <c r="R18" s="114"/>
      <c r="S18" s="109"/>
      <c r="T18" s="75"/>
      <c r="U18" s="70"/>
      <c r="V18" s="75"/>
      <c r="W18" s="89"/>
      <c r="X18" s="15"/>
      <c r="Y18" s="15"/>
      <c r="Z18" s="66"/>
      <c r="AA18" s="75"/>
      <c r="AB18" s="109"/>
      <c r="AC18" s="75"/>
      <c r="AD18" s="75"/>
      <c r="AE18" s="75"/>
      <c r="AF18" s="70"/>
      <c r="AG18" s="120"/>
      <c r="AH18" s="107"/>
      <c r="AI18" s="75"/>
      <c r="AJ18" s="70"/>
      <c r="AK18" s="79"/>
      <c r="AL18" s="110"/>
      <c r="AM18" s="6"/>
      <c r="AN18" s="82"/>
      <c r="AO18" s="87"/>
    </row>
    <row r="19" spans="3:41" ht="18.5" x14ac:dyDescent="0.45">
      <c r="C19" s="86"/>
      <c r="D19" s="69" t="s">
        <v>62</v>
      </c>
      <c r="E19" s="70"/>
      <c r="F19" s="214" t="s">
        <v>186</v>
      </c>
      <c r="G19" s="5"/>
      <c r="H19" s="77"/>
      <c r="I19" s="244"/>
      <c r="J19" s="214" t="s">
        <v>182</v>
      </c>
      <c r="K19" s="79"/>
      <c r="L19" s="79"/>
      <c r="M19" s="250"/>
      <c r="N19" s="110"/>
      <c r="O19" s="79"/>
      <c r="P19" s="79"/>
      <c r="Q19" s="82"/>
      <c r="R19" s="114"/>
      <c r="S19" s="109"/>
      <c r="T19" s="75"/>
      <c r="U19" s="70"/>
      <c r="V19" s="75"/>
      <c r="W19" s="89"/>
      <c r="X19" s="15"/>
      <c r="Y19" s="15"/>
      <c r="Z19" s="66"/>
      <c r="AA19" s="75"/>
      <c r="AB19" s="109"/>
      <c r="AC19" s="75"/>
      <c r="AD19" s="75"/>
      <c r="AE19" s="75"/>
      <c r="AF19" s="70"/>
      <c r="AG19" s="120"/>
      <c r="AH19" s="107"/>
      <c r="AI19" s="75"/>
      <c r="AJ19" s="70"/>
      <c r="AK19" s="79"/>
      <c r="AL19" s="110"/>
      <c r="AM19" s="6"/>
      <c r="AN19" s="82"/>
      <c r="AO19" s="87"/>
    </row>
    <row r="20" spans="3:41" ht="18.5" x14ac:dyDescent="0.45">
      <c r="C20" s="86"/>
      <c r="D20" s="71" t="s">
        <v>63</v>
      </c>
      <c r="E20" s="70"/>
      <c r="F20" s="214" t="s">
        <v>186</v>
      </c>
      <c r="G20" s="5"/>
      <c r="H20" s="77"/>
      <c r="I20" s="244"/>
      <c r="J20" s="214" t="s">
        <v>182</v>
      </c>
      <c r="K20" s="79"/>
      <c r="L20" s="79"/>
      <c r="M20" s="245"/>
      <c r="N20" s="110"/>
      <c r="O20" s="79"/>
      <c r="P20" s="79"/>
      <c r="Q20" s="82"/>
      <c r="R20" s="114"/>
      <c r="S20" s="109"/>
      <c r="T20" s="75"/>
      <c r="U20" s="70"/>
      <c r="V20" s="75"/>
      <c r="W20" s="89"/>
      <c r="X20" s="15"/>
      <c r="Y20" s="15"/>
      <c r="Z20" s="66"/>
      <c r="AA20" s="75"/>
      <c r="AB20" s="109"/>
      <c r="AC20" s="75"/>
      <c r="AD20" s="75"/>
      <c r="AE20" s="75"/>
      <c r="AF20" s="70"/>
      <c r="AG20" s="120"/>
      <c r="AH20" s="107"/>
      <c r="AI20" s="75"/>
      <c r="AJ20" s="70"/>
      <c r="AK20" s="79"/>
      <c r="AL20" s="110"/>
      <c r="AM20" s="6"/>
      <c r="AN20" s="82"/>
      <c r="AO20" s="87"/>
    </row>
    <row r="21" spans="3:41" ht="18.5" x14ac:dyDescent="0.45">
      <c r="C21" s="86"/>
      <c r="D21" s="71" t="s">
        <v>64</v>
      </c>
      <c r="E21" s="143" t="s">
        <v>94</v>
      </c>
      <c r="F21" s="214" t="s">
        <v>182</v>
      </c>
      <c r="G21" s="5"/>
      <c r="H21" s="110"/>
      <c r="I21" s="244"/>
      <c r="J21" s="214" t="s">
        <v>182</v>
      </c>
      <c r="K21" s="79"/>
      <c r="L21" s="79"/>
      <c r="M21" s="245"/>
      <c r="N21" s="110"/>
      <c r="O21" s="79"/>
      <c r="P21" s="79"/>
      <c r="Q21" s="82"/>
      <c r="R21" s="114"/>
      <c r="S21" s="109"/>
      <c r="T21" s="75"/>
      <c r="U21" s="70"/>
      <c r="V21" s="75"/>
      <c r="W21" s="89"/>
      <c r="X21" s="15"/>
      <c r="Y21" s="15"/>
      <c r="Z21" s="66"/>
      <c r="AA21" s="75"/>
      <c r="AB21" s="109"/>
      <c r="AC21" s="75"/>
      <c r="AD21" s="75"/>
      <c r="AE21" s="75"/>
      <c r="AF21" s="70"/>
      <c r="AG21" s="120"/>
      <c r="AH21" s="107"/>
      <c r="AI21" s="75"/>
      <c r="AJ21" s="70"/>
      <c r="AK21" s="79"/>
      <c r="AL21" s="110"/>
      <c r="AM21" s="6"/>
      <c r="AN21" s="82"/>
      <c r="AO21" s="87"/>
    </row>
    <row r="22" spans="3:41" ht="18.5" x14ac:dyDescent="0.45">
      <c r="C22" s="86"/>
      <c r="D22" s="71" t="s">
        <v>65</v>
      </c>
      <c r="E22" s="70"/>
      <c r="F22" s="214" t="s">
        <v>182</v>
      </c>
      <c r="G22" s="5"/>
      <c r="H22" s="110"/>
      <c r="I22" s="244"/>
      <c r="J22" s="214" t="s">
        <v>182</v>
      </c>
      <c r="K22" s="79"/>
      <c r="L22" s="79"/>
      <c r="M22" s="245"/>
      <c r="N22" s="110"/>
      <c r="O22" s="79"/>
      <c r="P22" s="79"/>
      <c r="Q22" s="82"/>
      <c r="R22" s="114"/>
      <c r="S22" s="109"/>
      <c r="T22" s="75"/>
      <c r="U22" s="70"/>
      <c r="V22" s="75"/>
      <c r="W22" s="89"/>
      <c r="X22" s="15"/>
      <c r="Y22" s="15"/>
      <c r="Z22" s="66"/>
      <c r="AA22" s="75"/>
      <c r="AB22" s="109"/>
      <c r="AC22" s="75"/>
      <c r="AD22" s="75"/>
      <c r="AE22" s="75"/>
      <c r="AF22" s="70"/>
      <c r="AG22" s="120"/>
      <c r="AH22" s="107"/>
      <c r="AI22" s="75"/>
      <c r="AJ22" s="70"/>
      <c r="AK22" s="79"/>
      <c r="AL22" s="110"/>
      <c r="AM22" s="6"/>
      <c r="AN22" s="82"/>
      <c r="AO22" s="87"/>
    </row>
    <row r="23" spans="3:41" ht="18.5" x14ac:dyDescent="0.45">
      <c r="C23" s="86"/>
      <c r="D23" s="71" t="s">
        <v>66</v>
      </c>
      <c r="E23" s="70"/>
      <c r="F23" s="214" t="s">
        <v>182</v>
      </c>
      <c r="G23" s="5"/>
      <c r="H23" s="110"/>
      <c r="I23" s="245"/>
      <c r="J23" s="214" t="s">
        <v>182</v>
      </c>
      <c r="K23" s="79"/>
      <c r="L23" s="79"/>
      <c r="M23" s="245"/>
      <c r="N23" s="110"/>
      <c r="O23" s="79"/>
      <c r="P23" s="79"/>
      <c r="Q23" s="82"/>
      <c r="R23" s="114"/>
      <c r="S23" s="109"/>
      <c r="T23" s="75"/>
      <c r="U23" s="70"/>
      <c r="V23" s="75"/>
      <c r="W23" s="89"/>
      <c r="X23" s="15"/>
      <c r="Y23" s="15"/>
      <c r="Z23" s="66"/>
      <c r="AA23" s="75"/>
      <c r="AB23" s="109"/>
      <c r="AC23" s="75"/>
      <c r="AD23" s="75"/>
      <c r="AE23" s="75"/>
      <c r="AF23" s="70"/>
      <c r="AG23" s="120"/>
      <c r="AH23" s="107"/>
      <c r="AI23" s="75"/>
      <c r="AJ23" s="70"/>
      <c r="AK23" s="79"/>
      <c r="AL23" s="110"/>
      <c r="AM23" s="6"/>
      <c r="AN23" s="82"/>
      <c r="AO23" s="87"/>
    </row>
    <row r="24" spans="3:41" ht="18.5" x14ac:dyDescent="0.45">
      <c r="C24" s="86"/>
      <c r="D24" s="132" t="s">
        <v>86</v>
      </c>
      <c r="E24" s="92"/>
      <c r="F24" s="214" t="s">
        <v>182</v>
      </c>
      <c r="G24" s="11"/>
      <c r="H24" s="110"/>
      <c r="I24" s="245"/>
      <c r="J24" s="214" t="s">
        <v>182</v>
      </c>
      <c r="K24" s="79"/>
      <c r="L24" s="79"/>
      <c r="M24" s="245"/>
      <c r="N24" s="110"/>
      <c r="O24" s="79"/>
      <c r="P24" s="79"/>
      <c r="Q24" s="82"/>
      <c r="R24" s="114"/>
      <c r="S24" s="109"/>
      <c r="T24" s="75"/>
      <c r="U24" s="70"/>
      <c r="V24" s="75"/>
      <c r="W24" s="89"/>
      <c r="X24" s="15"/>
      <c r="Y24" s="15"/>
      <c r="Z24" s="66"/>
      <c r="AA24" s="75"/>
      <c r="AB24" s="109"/>
      <c r="AC24" s="75"/>
      <c r="AD24" s="75"/>
      <c r="AE24" s="75"/>
      <c r="AF24" s="70"/>
      <c r="AG24" s="120"/>
      <c r="AH24" s="107"/>
      <c r="AI24" s="75"/>
      <c r="AJ24" s="70"/>
      <c r="AK24" s="79"/>
      <c r="AL24" s="110"/>
      <c r="AM24" s="6"/>
      <c r="AN24" s="82"/>
      <c r="AO24" s="87"/>
    </row>
    <row r="25" spans="3:41" ht="18.5" x14ac:dyDescent="0.45">
      <c r="C25" s="86"/>
      <c r="D25" s="132" t="s">
        <v>87</v>
      </c>
      <c r="E25" s="92"/>
      <c r="F25" s="214" t="s">
        <v>182</v>
      </c>
      <c r="G25" s="11"/>
      <c r="H25" s="110"/>
      <c r="I25" s="245"/>
      <c r="J25" s="214" t="s">
        <v>182</v>
      </c>
      <c r="K25" s="79"/>
      <c r="L25" s="79"/>
      <c r="M25" s="245"/>
      <c r="N25" s="110"/>
      <c r="O25" s="79"/>
      <c r="P25" s="79"/>
      <c r="Q25" s="82"/>
      <c r="R25" s="114"/>
      <c r="S25" s="119"/>
      <c r="T25" s="120"/>
      <c r="U25" s="121"/>
      <c r="V25" s="120"/>
      <c r="W25" s="119"/>
      <c r="X25" s="120"/>
      <c r="Y25" s="120"/>
      <c r="Z25" s="121"/>
      <c r="AA25" s="120"/>
      <c r="AB25" s="119"/>
      <c r="AC25" s="120"/>
      <c r="AD25" s="120"/>
      <c r="AE25" s="120"/>
      <c r="AF25" s="121"/>
      <c r="AG25" s="120"/>
      <c r="AH25" s="107"/>
      <c r="AI25" s="75"/>
      <c r="AJ25" s="70"/>
      <c r="AK25" s="79"/>
      <c r="AL25" s="110"/>
      <c r="AM25" s="6"/>
      <c r="AN25" s="82"/>
      <c r="AO25" s="87"/>
    </row>
    <row r="26" spans="3:41" ht="19" thickBot="1" x14ac:dyDescent="0.5">
      <c r="C26" s="86"/>
      <c r="D26" s="133" t="s">
        <v>88</v>
      </c>
      <c r="E26" s="65"/>
      <c r="F26" s="215" t="s">
        <v>182</v>
      </c>
      <c r="G26" s="5"/>
      <c r="H26" s="110"/>
      <c r="I26" s="245"/>
      <c r="J26" s="214" t="s">
        <v>182</v>
      </c>
      <c r="K26" s="79"/>
      <c r="L26" s="79"/>
      <c r="M26" s="245"/>
      <c r="N26" s="110"/>
      <c r="O26" s="79"/>
      <c r="P26" s="79"/>
      <c r="Q26" s="82"/>
      <c r="R26" s="114"/>
      <c r="S26" s="119"/>
      <c r="T26" s="120"/>
      <c r="U26" s="121"/>
      <c r="V26" s="120"/>
      <c r="W26" s="119"/>
      <c r="X26" s="120"/>
      <c r="Y26" s="120"/>
      <c r="Z26" s="121"/>
      <c r="AA26" s="120"/>
      <c r="AB26" s="119"/>
      <c r="AC26" s="120"/>
      <c r="AD26" s="120"/>
      <c r="AE26" s="120"/>
      <c r="AF26" s="121"/>
      <c r="AG26" s="120"/>
      <c r="AH26" s="107"/>
      <c r="AI26" s="75"/>
      <c r="AJ26" s="70"/>
      <c r="AK26" s="79"/>
      <c r="AL26" s="110"/>
      <c r="AM26" s="6"/>
      <c r="AN26" s="82"/>
      <c r="AO26" s="87"/>
    </row>
    <row r="27" spans="3:41" ht="19" thickBot="1" x14ac:dyDescent="0.5">
      <c r="C27" s="86"/>
      <c r="D27" s="133" t="s">
        <v>109</v>
      </c>
      <c r="E27" s="72">
        <f>Systemblatt!C11</f>
        <v>8000</v>
      </c>
      <c r="F27" s="215" t="s">
        <v>184</v>
      </c>
      <c r="G27" s="5"/>
      <c r="H27" s="111"/>
      <c r="I27" s="246"/>
      <c r="J27" s="215" t="s">
        <v>182</v>
      </c>
      <c r="K27" s="79"/>
      <c r="L27" s="79"/>
      <c r="M27" s="246"/>
      <c r="N27" s="111"/>
      <c r="O27" s="80"/>
      <c r="P27" s="80"/>
      <c r="Q27" s="81"/>
      <c r="R27" s="114"/>
      <c r="S27" s="122"/>
      <c r="T27" s="123"/>
      <c r="U27" s="124"/>
      <c r="V27" s="120"/>
      <c r="W27" s="122"/>
      <c r="X27" s="123"/>
      <c r="Y27" s="123"/>
      <c r="Z27" s="124"/>
      <c r="AA27" s="120"/>
      <c r="AB27" s="122"/>
      <c r="AC27" s="123"/>
      <c r="AD27" s="123"/>
      <c r="AE27" s="123"/>
      <c r="AF27" s="124"/>
      <c r="AG27" s="120"/>
      <c r="AH27" s="134"/>
      <c r="AI27" s="113"/>
      <c r="AJ27" s="72"/>
      <c r="AK27" s="79"/>
      <c r="AL27" s="111"/>
      <c r="AM27" s="135"/>
      <c r="AN27" s="81"/>
      <c r="AO27" s="87"/>
    </row>
    <row r="28" spans="3:41" ht="15.5" x14ac:dyDescent="0.35">
      <c r="C28" s="8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7"/>
    </row>
    <row r="29" spans="3:41" ht="15.5" x14ac:dyDescent="0.35">
      <c r="C29" s="8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7"/>
    </row>
    <row r="30" spans="3:41" ht="15.5" x14ac:dyDescent="0.35"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7"/>
    </row>
    <row r="31" spans="3:41" x14ac:dyDescent="0.35"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7"/>
    </row>
    <row r="32" spans="3:41" x14ac:dyDescent="0.35"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7"/>
    </row>
    <row r="33" spans="3:41" x14ac:dyDescent="0.35"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7"/>
    </row>
    <row r="34" spans="3:41" x14ac:dyDescent="0.35"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7"/>
    </row>
    <row r="35" spans="3:41" x14ac:dyDescent="0.35"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7"/>
    </row>
    <row r="36" spans="3:41" x14ac:dyDescent="0.35"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7"/>
    </row>
    <row r="37" spans="3:41" x14ac:dyDescent="0.35"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7"/>
    </row>
    <row r="38" spans="3:41" x14ac:dyDescent="0.35"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7"/>
    </row>
    <row r="39" spans="3:41" x14ac:dyDescent="0.35"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7"/>
    </row>
    <row r="40" spans="3:41" x14ac:dyDescent="0.35"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7"/>
    </row>
    <row r="41" spans="3:41" x14ac:dyDescent="0.35"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7"/>
    </row>
    <row r="42" spans="3:41" x14ac:dyDescent="0.35"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7"/>
    </row>
    <row r="43" spans="3:41" x14ac:dyDescent="0.35"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7"/>
    </row>
    <row r="44" spans="3:41" x14ac:dyDescent="0.35"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7"/>
    </row>
    <row r="45" spans="3:41" x14ac:dyDescent="0.35"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7"/>
    </row>
    <row r="46" spans="3:41" x14ac:dyDescent="0.35"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7"/>
    </row>
    <row r="47" spans="3:41" ht="15.5" x14ac:dyDescent="0.35">
      <c r="C47" s="86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7"/>
    </row>
    <row r="48" spans="3:41" x14ac:dyDescent="0.35">
      <c r="C48" s="86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7"/>
    </row>
    <row r="49" spans="3:41" x14ac:dyDescent="0.35">
      <c r="C49" s="8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7"/>
    </row>
    <row r="50" spans="3:41" x14ac:dyDescent="0.35">
      <c r="C50" s="86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7"/>
    </row>
    <row r="51" spans="3:41" x14ac:dyDescent="0.35">
      <c r="C51" s="86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7"/>
    </row>
    <row r="52" spans="3:41" x14ac:dyDescent="0.35">
      <c r="C52" s="86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7"/>
    </row>
    <row r="53" spans="3:41" x14ac:dyDescent="0.35">
      <c r="C53" s="86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7"/>
    </row>
    <row r="54" spans="3:41" x14ac:dyDescent="0.35">
      <c r="C54" s="86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7"/>
    </row>
    <row r="55" spans="3:41" x14ac:dyDescent="0.35"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7"/>
    </row>
    <row r="56" spans="3:41" x14ac:dyDescent="0.35"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7"/>
    </row>
    <row r="57" spans="3:41" x14ac:dyDescent="0.35"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7"/>
    </row>
    <row r="58" spans="3:41" x14ac:dyDescent="0.35"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7"/>
    </row>
    <row r="59" spans="3:41" x14ac:dyDescent="0.35"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7"/>
    </row>
    <row r="60" spans="3:41" x14ac:dyDescent="0.35"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7"/>
    </row>
    <row r="61" spans="3:41" x14ac:dyDescent="0.35"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7"/>
    </row>
    <row r="62" spans="3:41" x14ac:dyDescent="0.35"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7"/>
    </row>
    <row r="63" spans="3:41" x14ac:dyDescent="0.35"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7"/>
    </row>
    <row r="64" spans="3:41" x14ac:dyDescent="0.35"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7"/>
    </row>
    <row r="65" spans="3:41" x14ac:dyDescent="0.35"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7"/>
    </row>
    <row r="66" spans="3:41" x14ac:dyDescent="0.35"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7"/>
    </row>
    <row r="67" spans="3:41" x14ac:dyDescent="0.35"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7"/>
    </row>
    <row r="68" spans="3:41" x14ac:dyDescent="0.35"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7"/>
    </row>
    <row r="69" spans="3:41" x14ac:dyDescent="0.35">
      <c r="C69" s="86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7"/>
    </row>
    <row r="70" spans="3:41" ht="15" thickBot="1" x14ac:dyDescent="0.4">
      <c r="C70" s="7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  <c r="AI70" s="94"/>
      <c r="AJ70" s="94"/>
      <c r="AK70" s="88"/>
      <c r="AL70" s="88"/>
      <c r="AM70" s="88"/>
      <c r="AN70" s="88"/>
      <c r="AO70" s="65"/>
    </row>
    <row r="130" spans="18:18" x14ac:dyDescent="0.35">
      <c r="R130" s="3" t="s">
        <v>23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6007E3-F01E-AB4B-9D27-491AA1C5DA9E}">
          <x14:formula1>
            <xm:f>Systemblatt!$E$5:$E$38</xm:f>
          </x14:formula1>
          <xm:sqref>AE10:AE27 AC10:AC27 AH10:AH27 T10:T27 I16:I27 N14:Q27 N12:Q12 N13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76" zoomScaleNormal="60" workbookViewId="0">
      <selection activeCell="H36" sqref="H36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2.1796875" style="3" customWidth="1"/>
    <col min="5" max="5" width="18.26953125" style="3" customWidth="1"/>
    <col min="6" max="6" width="15.26953125" style="3" customWidth="1"/>
    <col min="7" max="7" width="6.26953125" style="3" customWidth="1"/>
    <col min="8" max="8" width="21.453125" style="3" customWidth="1"/>
    <col min="9" max="11" width="15.26953125" style="3" customWidth="1"/>
    <col min="12" max="12" width="4.26953125" style="3" customWidth="1"/>
    <col min="13" max="13" width="29.453125" style="3" customWidth="1"/>
    <col min="14" max="14" width="21.1796875" style="3" customWidth="1"/>
    <col min="15" max="15" width="32.7265625" style="3" customWidth="1"/>
    <col min="16" max="16" width="27.7265625" style="3" customWidth="1"/>
    <col min="17" max="18" width="15.26953125" style="3" customWidth="1"/>
    <col min="19" max="19" width="22.81640625" style="3" customWidth="1"/>
    <col min="20" max="20" width="26.26953125" style="3" customWidth="1"/>
    <col min="21" max="22" width="10.81640625" style="3"/>
    <col min="23" max="23" width="14.7265625" style="3" customWidth="1"/>
    <col min="24" max="25" width="18.1796875" style="3" bestFit="1" customWidth="1"/>
    <col min="26" max="26" width="21.81640625" style="3" customWidth="1"/>
    <col min="27" max="27" width="10.81640625" style="3"/>
    <col min="28" max="28" width="15.269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1" style="3" bestFit="1" customWidth="1"/>
    <col min="37" max="16384" width="10.81640625" style="3"/>
  </cols>
  <sheetData>
    <row r="1" spans="1:41" ht="10.5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 x14ac:dyDescent="0.4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5">
      <c r="A3" s="5"/>
      <c r="B3" s="5"/>
      <c r="C3" s="90"/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  <c r="AC3" s="95"/>
      <c r="AD3" s="95"/>
      <c r="AE3" s="95"/>
      <c r="AF3" s="95"/>
      <c r="AG3" s="95"/>
      <c r="AH3" s="95"/>
      <c r="AI3" s="95"/>
      <c r="AJ3" s="95"/>
      <c r="AK3" s="96"/>
      <c r="AL3" s="5"/>
      <c r="AM3" s="5"/>
      <c r="AN3" s="5"/>
      <c r="AO3" s="5"/>
    </row>
    <row r="4" spans="1:41" x14ac:dyDescent="0.35">
      <c r="A4" s="5"/>
      <c r="B4" s="5"/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7"/>
      <c r="AL4" s="5"/>
      <c r="AM4" s="5"/>
      <c r="AN4" s="5"/>
      <c r="AO4" s="5"/>
    </row>
    <row r="5" spans="1:41" x14ac:dyDescent="0.35">
      <c r="A5" s="5"/>
      <c r="B5" s="5"/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7"/>
      <c r="AL5" s="5"/>
      <c r="AM5" s="5"/>
      <c r="AN5" s="5"/>
      <c r="AO5" s="5"/>
    </row>
    <row r="6" spans="1:41" x14ac:dyDescent="0.35">
      <c r="A6" s="5"/>
      <c r="B6" s="5"/>
      <c r="C6" s="86"/>
      <c r="D6" s="363"/>
      <c r="E6" s="363"/>
      <c r="F6" s="5"/>
      <c r="G6" s="5"/>
      <c r="H6" s="363"/>
      <c r="I6" s="363"/>
      <c r="J6" s="15"/>
      <c r="K6" s="15"/>
      <c r="L6" s="5"/>
      <c r="M6" s="363"/>
      <c r="N6" s="363"/>
      <c r="O6" s="363"/>
      <c r="P6" s="363"/>
      <c r="Q6" s="5"/>
      <c r="R6" s="5"/>
      <c r="S6" s="364"/>
      <c r="T6" s="364"/>
      <c r="U6" s="364"/>
      <c r="V6" s="364"/>
      <c r="W6" s="364"/>
      <c r="X6" s="364"/>
      <c r="Y6" s="364"/>
      <c r="Z6" s="364"/>
      <c r="AA6" s="364"/>
      <c r="AB6" s="364"/>
      <c r="AC6" s="364"/>
      <c r="AD6" s="364"/>
      <c r="AE6" s="364"/>
      <c r="AF6" s="364"/>
      <c r="AG6" s="11"/>
      <c r="AH6" s="11"/>
      <c r="AI6" s="11"/>
      <c r="AJ6" s="11"/>
      <c r="AK6" s="87"/>
      <c r="AL6" s="5"/>
      <c r="AM6" s="5"/>
      <c r="AN6" s="5"/>
      <c r="AO6" s="5"/>
    </row>
    <row r="7" spans="1:41" ht="15" thickBot="1" x14ac:dyDescent="0.4">
      <c r="A7" s="5"/>
      <c r="B7" s="5"/>
      <c r="C7" s="86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7"/>
      <c r="AL7" s="5"/>
      <c r="AM7" s="5"/>
      <c r="AN7" s="5"/>
      <c r="AO7" s="5"/>
    </row>
    <row r="8" spans="1:41" ht="24" thickBot="1" x14ac:dyDescent="0.6">
      <c r="A8" s="5"/>
      <c r="B8" s="5"/>
      <c r="C8" s="86"/>
      <c r="D8" s="344" t="s">
        <v>52</v>
      </c>
      <c r="E8" s="345"/>
      <c r="F8" s="346"/>
      <c r="G8" s="5"/>
      <c r="H8" s="347" t="s">
        <v>53</v>
      </c>
      <c r="I8" s="348"/>
      <c r="J8" s="349"/>
      <c r="K8" s="16"/>
      <c r="L8" s="5"/>
      <c r="M8" s="357" t="s">
        <v>72</v>
      </c>
      <c r="N8" s="358"/>
      <c r="O8" s="358"/>
      <c r="P8" s="358"/>
      <c r="Q8" s="359"/>
      <c r="R8" s="5"/>
      <c r="S8" s="354" t="s">
        <v>78</v>
      </c>
      <c r="T8" s="355"/>
      <c r="U8" s="356"/>
      <c r="V8" s="12"/>
      <c r="W8" s="354" t="s">
        <v>108</v>
      </c>
      <c r="X8" s="355"/>
      <c r="Y8" s="355"/>
      <c r="Z8" s="356"/>
      <c r="AA8" s="11"/>
      <c r="AB8" s="354" t="s">
        <v>85</v>
      </c>
      <c r="AC8" s="355"/>
      <c r="AD8" s="355"/>
      <c r="AE8" s="355"/>
      <c r="AF8" s="356"/>
      <c r="AG8" s="11"/>
      <c r="AH8" s="354" t="s">
        <v>7</v>
      </c>
      <c r="AI8" s="355"/>
      <c r="AJ8" s="356"/>
      <c r="AK8" s="87"/>
      <c r="AL8" s="5"/>
      <c r="AM8" s="5"/>
      <c r="AN8" s="5"/>
      <c r="AO8" s="5"/>
    </row>
    <row r="9" spans="1:41" ht="21.5" thickBot="1" x14ac:dyDescent="0.55000000000000004">
      <c r="A9" s="5"/>
      <c r="B9" s="5"/>
      <c r="C9" s="86"/>
      <c r="D9" s="73" t="s">
        <v>32</v>
      </c>
      <c r="E9" s="213" t="s">
        <v>0</v>
      </c>
      <c r="F9" s="216" t="s">
        <v>181</v>
      </c>
      <c r="G9" s="5"/>
      <c r="H9" s="99" t="s">
        <v>32</v>
      </c>
      <c r="I9" s="99" t="s">
        <v>54</v>
      </c>
      <c r="J9" s="74" t="s">
        <v>181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 t="s">
        <v>181</v>
      </c>
      <c r="S9" s="85" t="s">
        <v>79</v>
      </c>
      <c r="T9" s="85" t="s">
        <v>35</v>
      </c>
      <c r="U9" s="85" t="s">
        <v>80</v>
      </c>
      <c r="V9" s="13"/>
      <c r="W9" s="85" t="s">
        <v>104</v>
      </c>
      <c r="X9" s="200" t="s">
        <v>159</v>
      </c>
      <c r="Y9" s="200" t="s">
        <v>160</v>
      </c>
      <c r="Z9" s="201" t="s">
        <v>161</v>
      </c>
      <c r="AA9" s="11"/>
      <c r="AB9" s="85" t="s">
        <v>82</v>
      </c>
      <c r="AC9" s="85" t="s">
        <v>81</v>
      </c>
      <c r="AD9" s="85" t="s">
        <v>83</v>
      </c>
      <c r="AE9" s="85" t="s">
        <v>35</v>
      </c>
      <c r="AF9" s="85" t="s">
        <v>84</v>
      </c>
      <c r="AG9" s="11"/>
      <c r="AH9" s="178" t="s">
        <v>35</v>
      </c>
      <c r="AI9" s="178" t="s">
        <v>0</v>
      </c>
      <c r="AJ9" s="178" t="s">
        <v>125</v>
      </c>
      <c r="AK9" s="87"/>
      <c r="AL9" s="5"/>
      <c r="AM9" s="5"/>
      <c r="AN9" s="5"/>
      <c r="AO9" s="5"/>
    </row>
    <row r="10" spans="1:41" ht="18.5" x14ac:dyDescent="0.45">
      <c r="A10" s="5"/>
      <c r="B10" s="5"/>
      <c r="C10" s="86"/>
      <c r="D10" s="67" t="s">
        <v>1</v>
      </c>
      <c r="E10" s="68"/>
      <c r="F10" s="214" t="s">
        <v>182</v>
      </c>
      <c r="G10" s="5"/>
      <c r="H10" s="67" t="s">
        <v>2</v>
      </c>
      <c r="I10" s="68"/>
      <c r="J10" s="96" t="s">
        <v>182</v>
      </c>
      <c r="K10" s="79"/>
      <c r="L10" s="79"/>
      <c r="M10" s="67" t="s">
        <v>75</v>
      </c>
      <c r="N10" s="179"/>
      <c r="O10" s="179"/>
      <c r="P10" s="180"/>
      <c r="Q10" s="181"/>
      <c r="R10" s="5" t="s">
        <v>198</v>
      </c>
      <c r="S10" s="103"/>
      <c r="T10" s="104"/>
      <c r="U10" s="105"/>
      <c r="V10" s="106"/>
      <c r="W10" s="138"/>
      <c r="X10" s="83"/>
      <c r="Y10" s="139"/>
      <c r="Z10" s="137"/>
      <c r="AA10" s="75"/>
      <c r="AB10" s="103"/>
      <c r="AC10" s="104"/>
      <c r="AD10" s="104"/>
      <c r="AE10" s="104"/>
      <c r="AF10" s="70"/>
      <c r="AG10" s="120"/>
      <c r="AH10" s="140"/>
      <c r="AI10" s="83"/>
      <c r="AJ10" s="164"/>
      <c r="AK10" s="87"/>
      <c r="AL10" s="5"/>
      <c r="AM10" s="5"/>
      <c r="AN10" s="5"/>
      <c r="AO10" s="5"/>
    </row>
    <row r="11" spans="1:41" ht="19" thickBot="1" x14ac:dyDescent="0.5">
      <c r="A11" s="5"/>
      <c r="B11" s="5"/>
      <c r="C11" s="86"/>
      <c r="D11" s="69" t="s">
        <v>3</v>
      </c>
      <c r="E11" s="70"/>
      <c r="F11" s="214" t="s">
        <v>182</v>
      </c>
      <c r="G11" s="5"/>
      <c r="H11" s="69" t="s">
        <v>67</v>
      </c>
      <c r="I11" s="105"/>
      <c r="J11" s="87" t="s">
        <v>191</v>
      </c>
      <c r="K11" s="79"/>
      <c r="L11" s="79"/>
      <c r="M11" s="76" t="s">
        <v>76</v>
      </c>
      <c r="N11" s="125"/>
      <c r="O11" s="125"/>
      <c r="P11" s="79"/>
      <c r="Q11" s="127"/>
      <c r="R11" s="5" t="s">
        <v>192</v>
      </c>
      <c r="S11" s="103"/>
      <c r="T11" s="104"/>
      <c r="U11" s="105"/>
      <c r="V11" s="106"/>
      <c r="W11" s="109"/>
      <c r="X11" s="75"/>
      <c r="Y11" s="106"/>
      <c r="Z11" s="108"/>
      <c r="AA11" s="75"/>
      <c r="AB11" s="107"/>
      <c r="AC11" s="75"/>
      <c r="AD11" s="106"/>
      <c r="AE11" s="75"/>
      <c r="AF11" s="108"/>
      <c r="AG11" s="120"/>
      <c r="AH11" s="103"/>
      <c r="AI11" s="75"/>
      <c r="AJ11" s="92"/>
      <c r="AK11" s="87"/>
      <c r="AL11" s="5"/>
      <c r="AM11" s="5"/>
      <c r="AN11" s="5"/>
      <c r="AO11" s="5"/>
    </row>
    <row r="12" spans="1:41" ht="18.5" x14ac:dyDescent="0.45">
      <c r="A12" s="5"/>
      <c r="B12" s="5"/>
      <c r="C12" s="86"/>
      <c r="D12" s="69" t="s">
        <v>42</v>
      </c>
      <c r="E12" s="261" t="s">
        <v>230</v>
      </c>
      <c r="F12" s="214" t="s">
        <v>182</v>
      </c>
      <c r="G12" s="5"/>
      <c r="H12" s="69" t="s">
        <v>68</v>
      </c>
      <c r="I12" s="105"/>
      <c r="J12" s="87" t="str">
        <f>J15</f>
        <v>t/h</v>
      </c>
      <c r="K12" s="79"/>
      <c r="L12" s="79"/>
      <c r="M12" s="248" t="s">
        <v>77</v>
      </c>
      <c r="N12" s="256"/>
      <c r="O12" s="179"/>
      <c r="P12" s="180"/>
      <c r="Q12" s="181"/>
      <c r="R12" s="114"/>
      <c r="S12" s="109"/>
      <c r="T12" s="125"/>
      <c r="U12" s="70"/>
      <c r="V12" s="106"/>
      <c r="W12" s="109"/>
      <c r="X12" s="75"/>
      <c r="Y12" s="44"/>
      <c r="Z12" s="30"/>
      <c r="AA12" s="44"/>
      <c r="AB12" s="51"/>
      <c r="AC12" s="75"/>
      <c r="AD12" s="44"/>
      <c r="AE12" s="75"/>
      <c r="AF12" s="108"/>
      <c r="AG12" s="120"/>
      <c r="AH12" s="103"/>
      <c r="AI12" s="75"/>
      <c r="AJ12" s="92"/>
      <c r="AK12" s="87"/>
      <c r="AL12" s="5"/>
      <c r="AM12" s="5"/>
      <c r="AN12" s="5"/>
      <c r="AO12" s="5"/>
    </row>
    <row r="13" spans="1:41" ht="18.5" x14ac:dyDescent="0.45">
      <c r="A13" s="5"/>
      <c r="B13" s="5"/>
      <c r="C13" s="86"/>
      <c r="D13" s="69" t="s">
        <v>56</v>
      </c>
      <c r="F13" s="214" t="s">
        <v>182</v>
      </c>
      <c r="G13" s="5"/>
      <c r="H13" s="69" t="s">
        <v>69</v>
      </c>
      <c r="I13" s="105"/>
      <c r="J13" s="87" t="s">
        <v>182</v>
      </c>
      <c r="K13" s="79"/>
      <c r="L13" s="79"/>
      <c r="M13" s="249"/>
      <c r="N13" s="126"/>
      <c r="O13" s="75"/>
      <c r="P13" s="75"/>
      <c r="Q13" s="70"/>
      <c r="R13" s="114"/>
      <c r="S13" s="109"/>
      <c r="T13" s="120"/>
      <c r="U13" s="70"/>
      <c r="V13" s="44"/>
      <c r="W13" s="109"/>
      <c r="X13" s="75"/>
      <c r="Y13" s="44"/>
      <c r="Z13" s="30"/>
      <c r="AA13" s="44"/>
      <c r="AB13" s="51"/>
      <c r="AC13" s="75"/>
      <c r="AD13" s="44"/>
      <c r="AE13" s="75"/>
      <c r="AF13" s="108"/>
      <c r="AG13" s="120"/>
      <c r="AH13" s="103"/>
      <c r="AI13" s="75"/>
      <c r="AJ13" s="92"/>
      <c r="AK13" s="87"/>
      <c r="AL13" s="5"/>
      <c r="AM13" s="5"/>
      <c r="AN13" s="5"/>
      <c r="AO13" s="5"/>
    </row>
    <row r="14" spans="1:41" ht="18.5" x14ac:dyDescent="0.45">
      <c r="A14" s="5"/>
      <c r="B14" s="5"/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/>
      <c r="J14" s="87" t="s">
        <v>194</v>
      </c>
      <c r="K14" s="79"/>
      <c r="L14" s="79"/>
      <c r="M14" s="250"/>
      <c r="N14" s="110"/>
      <c r="O14" s="79"/>
      <c r="P14" s="79"/>
      <c r="Q14" s="82"/>
      <c r="R14" s="114"/>
      <c r="S14" s="109"/>
      <c r="T14" s="75"/>
      <c r="U14" s="70"/>
      <c r="V14" s="44"/>
      <c r="W14" s="109"/>
      <c r="X14" s="75"/>
      <c r="Y14" s="44"/>
      <c r="Z14" s="30"/>
      <c r="AA14" s="44"/>
      <c r="AB14" s="51"/>
      <c r="AC14" s="75"/>
      <c r="AD14" s="44"/>
      <c r="AE14" s="75"/>
      <c r="AF14" s="108"/>
      <c r="AG14" s="120"/>
      <c r="AH14" s="103"/>
      <c r="AI14" s="75"/>
      <c r="AJ14" s="92"/>
      <c r="AK14" s="87"/>
      <c r="AL14" s="5"/>
      <c r="AM14" s="5"/>
      <c r="AN14" s="5"/>
      <c r="AO14" s="5"/>
    </row>
    <row r="15" spans="1:41" ht="19" thickBot="1" x14ac:dyDescent="0.5">
      <c r="A15" s="5"/>
      <c r="B15" s="5"/>
      <c r="C15" s="86"/>
      <c r="D15" s="69" t="s">
        <v>58</v>
      </c>
      <c r="E15" s="70">
        <v>2.6</v>
      </c>
      <c r="F15" s="214" t="s">
        <v>182</v>
      </c>
      <c r="G15" s="5"/>
      <c r="H15" s="76" t="s">
        <v>71</v>
      </c>
      <c r="I15" s="70"/>
      <c r="J15" s="87" t="s">
        <v>192</v>
      </c>
      <c r="K15" s="79"/>
      <c r="L15" s="79"/>
      <c r="M15" s="250"/>
      <c r="N15" s="110"/>
      <c r="O15" s="79"/>
      <c r="P15" s="79"/>
      <c r="Q15" s="82"/>
      <c r="R15" s="114"/>
      <c r="S15" s="109"/>
      <c r="T15" s="75"/>
      <c r="U15" s="70"/>
      <c r="V15" s="44"/>
      <c r="W15" s="89"/>
      <c r="X15" s="15"/>
      <c r="Y15" s="15"/>
      <c r="Z15" s="66"/>
      <c r="AA15" s="75"/>
      <c r="AB15" s="109"/>
      <c r="AC15" s="75"/>
      <c r="AD15" s="75"/>
      <c r="AE15" s="75"/>
      <c r="AF15" s="108"/>
      <c r="AG15" s="120"/>
      <c r="AH15" s="103"/>
      <c r="AI15" s="75"/>
      <c r="AJ15" s="92"/>
      <c r="AK15" s="87"/>
      <c r="AL15" s="5"/>
      <c r="AM15" s="5"/>
      <c r="AN15" s="5"/>
      <c r="AO15" s="5"/>
    </row>
    <row r="16" spans="1:41" ht="19" thickBot="1" x14ac:dyDescent="0.5">
      <c r="A16" s="5"/>
      <c r="B16" s="5"/>
      <c r="C16" s="86"/>
      <c r="D16" s="69" t="s">
        <v>59</v>
      </c>
      <c r="E16" s="70">
        <v>1.44</v>
      </c>
      <c r="F16" s="214" t="s">
        <v>182</v>
      </c>
      <c r="G16" s="5"/>
      <c r="H16" s="242" t="s">
        <v>55</v>
      </c>
      <c r="I16" s="243"/>
      <c r="J16" s="217" t="s">
        <v>182</v>
      </c>
      <c r="K16" s="79"/>
      <c r="L16" s="79"/>
      <c r="M16" s="250"/>
      <c r="N16" s="110"/>
      <c r="O16" s="79"/>
      <c r="P16" s="79"/>
      <c r="Q16" s="82"/>
      <c r="R16" s="114"/>
      <c r="S16" s="109"/>
      <c r="T16" s="75"/>
      <c r="U16" s="70"/>
      <c r="V16" s="75"/>
      <c r="W16" s="89"/>
      <c r="X16" s="15"/>
      <c r="Y16" s="15"/>
      <c r="Z16" s="66"/>
      <c r="AA16" s="75"/>
      <c r="AB16" s="109"/>
      <c r="AC16" s="75"/>
      <c r="AD16" s="75"/>
      <c r="AE16" s="75"/>
      <c r="AF16" s="70"/>
      <c r="AG16" s="120"/>
      <c r="AH16" s="109"/>
      <c r="AI16" s="75"/>
      <c r="AJ16" s="92"/>
      <c r="AK16" s="87"/>
      <c r="AL16" s="5"/>
      <c r="AM16" s="5"/>
      <c r="AN16" s="5"/>
      <c r="AO16" s="5"/>
    </row>
    <row r="17" spans="1:41" ht="18.5" x14ac:dyDescent="0.45">
      <c r="A17" s="5"/>
      <c r="B17" s="5"/>
      <c r="C17" s="86"/>
      <c r="D17" s="69" t="s">
        <v>60</v>
      </c>
      <c r="E17" s="70"/>
      <c r="F17" s="214" t="s">
        <v>186</v>
      </c>
      <c r="G17" s="5"/>
      <c r="H17" s="76"/>
      <c r="I17" s="244"/>
      <c r="J17" s="214" t="s">
        <v>182</v>
      </c>
      <c r="K17" s="79"/>
      <c r="L17" s="79"/>
      <c r="M17" s="250"/>
      <c r="N17" s="110"/>
      <c r="O17" s="79"/>
      <c r="P17" s="79"/>
      <c r="Q17" s="82"/>
      <c r="R17" s="114"/>
      <c r="S17" s="109"/>
      <c r="T17" s="75"/>
      <c r="U17" s="70"/>
      <c r="V17" s="75"/>
      <c r="W17" s="89"/>
      <c r="X17" s="15"/>
      <c r="Y17" s="15"/>
      <c r="Z17" s="66"/>
      <c r="AA17" s="75"/>
      <c r="AB17" s="109"/>
      <c r="AC17" s="75"/>
      <c r="AD17" s="75"/>
      <c r="AE17" s="75"/>
      <c r="AF17" s="70"/>
      <c r="AG17" s="120"/>
      <c r="AH17" s="109"/>
      <c r="AI17" s="75"/>
      <c r="AJ17" s="92"/>
      <c r="AK17" s="87"/>
      <c r="AL17" s="5"/>
      <c r="AM17" s="5"/>
      <c r="AN17" s="5"/>
      <c r="AO17" s="5"/>
    </row>
    <row r="18" spans="1:41" ht="18.5" x14ac:dyDescent="0.45">
      <c r="A18" s="5"/>
      <c r="B18" s="5"/>
      <c r="C18" s="86"/>
      <c r="D18" s="71" t="s">
        <v>61</v>
      </c>
      <c r="E18" s="70"/>
      <c r="F18" s="214" t="s">
        <v>186</v>
      </c>
      <c r="G18" s="5"/>
      <c r="H18" s="77"/>
      <c r="I18" s="244"/>
      <c r="J18" s="214" t="s">
        <v>182</v>
      </c>
      <c r="K18" s="79"/>
      <c r="L18" s="79"/>
      <c r="M18" s="250"/>
      <c r="N18" s="110"/>
      <c r="O18" s="79"/>
      <c r="P18" s="79"/>
      <c r="Q18" s="82"/>
      <c r="R18" s="114"/>
      <c r="S18" s="109"/>
      <c r="T18" s="75"/>
      <c r="U18" s="70"/>
      <c r="V18" s="75"/>
      <c r="W18" s="89"/>
      <c r="X18" s="15"/>
      <c r="Y18" s="15"/>
      <c r="Z18" s="66"/>
      <c r="AA18" s="75"/>
      <c r="AB18" s="109"/>
      <c r="AC18" s="75"/>
      <c r="AD18" s="75"/>
      <c r="AE18" s="75"/>
      <c r="AF18" s="70"/>
      <c r="AG18" s="120"/>
      <c r="AH18" s="109"/>
      <c r="AI18" s="75"/>
      <c r="AJ18" s="92"/>
      <c r="AK18" s="87"/>
      <c r="AL18" s="5"/>
      <c r="AM18" s="5"/>
      <c r="AN18" s="5"/>
      <c r="AO18" s="5"/>
    </row>
    <row r="19" spans="1:41" ht="18.5" x14ac:dyDescent="0.45">
      <c r="A19" s="5"/>
      <c r="B19" s="5"/>
      <c r="C19" s="86"/>
      <c r="D19" s="69" t="s">
        <v>62</v>
      </c>
      <c r="E19" s="70"/>
      <c r="F19" s="214" t="s">
        <v>186</v>
      </c>
      <c r="G19" s="5"/>
      <c r="H19" s="77"/>
      <c r="I19" s="244"/>
      <c r="J19" s="214" t="s">
        <v>182</v>
      </c>
      <c r="K19" s="79"/>
      <c r="L19" s="79"/>
      <c r="M19" s="250"/>
      <c r="N19" s="110"/>
      <c r="O19" s="79"/>
      <c r="P19" s="79"/>
      <c r="Q19" s="82"/>
      <c r="R19" s="114"/>
      <c r="S19" s="109"/>
      <c r="T19" s="75"/>
      <c r="U19" s="70"/>
      <c r="V19" s="75"/>
      <c r="W19" s="89"/>
      <c r="X19" s="15"/>
      <c r="Y19" s="15"/>
      <c r="Z19" s="66"/>
      <c r="AA19" s="75"/>
      <c r="AB19" s="109"/>
      <c r="AC19" s="75"/>
      <c r="AD19" s="75"/>
      <c r="AE19" s="75"/>
      <c r="AF19" s="70"/>
      <c r="AG19" s="120"/>
      <c r="AH19" s="109"/>
      <c r="AI19" s="75"/>
      <c r="AJ19" s="92"/>
      <c r="AK19" s="87"/>
      <c r="AL19" s="5"/>
      <c r="AM19" s="5"/>
      <c r="AN19" s="5"/>
      <c r="AO19" s="5"/>
    </row>
    <row r="20" spans="1:41" ht="18.5" x14ac:dyDescent="0.45">
      <c r="A20" s="5"/>
      <c r="B20" s="5"/>
      <c r="C20" s="86"/>
      <c r="D20" s="71" t="s">
        <v>63</v>
      </c>
      <c r="E20" s="70"/>
      <c r="F20" s="214" t="s">
        <v>186</v>
      </c>
      <c r="G20" s="5"/>
      <c r="H20" s="77"/>
      <c r="I20" s="244"/>
      <c r="J20" s="214" t="s">
        <v>182</v>
      </c>
      <c r="K20" s="79"/>
      <c r="L20" s="79"/>
      <c r="M20" s="245"/>
      <c r="N20" s="110"/>
      <c r="O20" s="79"/>
      <c r="P20" s="79"/>
      <c r="Q20" s="82"/>
      <c r="R20" s="114"/>
      <c r="S20" s="109"/>
      <c r="T20" s="75"/>
      <c r="U20" s="70"/>
      <c r="V20" s="75"/>
      <c r="W20" s="89"/>
      <c r="X20" s="15"/>
      <c r="Y20" s="15"/>
      <c r="Z20" s="66"/>
      <c r="AA20" s="75"/>
      <c r="AB20" s="109"/>
      <c r="AC20" s="75"/>
      <c r="AD20" s="75"/>
      <c r="AE20" s="75"/>
      <c r="AF20" s="70"/>
      <c r="AG20" s="120"/>
      <c r="AH20" s="109"/>
      <c r="AI20" s="75"/>
      <c r="AJ20" s="92"/>
      <c r="AK20" s="87"/>
      <c r="AL20" s="5"/>
      <c r="AM20" s="5"/>
      <c r="AN20" s="5"/>
      <c r="AO20" s="5"/>
    </row>
    <row r="21" spans="1:41" ht="18.5" x14ac:dyDescent="0.45">
      <c r="A21" s="5"/>
      <c r="B21" s="5"/>
      <c r="C21" s="86"/>
      <c r="D21" s="71" t="s">
        <v>64</v>
      </c>
      <c r="E21" s="143" t="s">
        <v>94</v>
      </c>
      <c r="F21" s="214" t="s">
        <v>182</v>
      </c>
      <c r="G21" s="5"/>
      <c r="H21" s="110"/>
      <c r="I21" s="244"/>
      <c r="J21" s="214" t="s">
        <v>182</v>
      </c>
      <c r="K21" s="79"/>
      <c r="L21" s="79"/>
      <c r="M21" s="245"/>
      <c r="N21" s="110"/>
      <c r="O21" s="79"/>
      <c r="P21" s="79"/>
      <c r="Q21" s="82"/>
      <c r="R21" s="114"/>
      <c r="S21" s="109"/>
      <c r="T21" s="75"/>
      <c r="U21" s="70"/>
      <c r="V21" s="75"/>
      <c r="W21" s="89"/>
      <c r="X21" s="15"/>
      <c r="Y21" s="15"/>
      <c r="Z21" s="66"/>
      <c r="AA21" s="75"/>
      <c r="AB21" s="109"/>
      <c r="AC21" s="75"/>
      <c r="AD21" s="75"/>
      <c r="AE21" s="75"/>
      <c r="AF21" s="70"/>
      <c r="AG21" s="120"/>
      <c r="AH21" s="109"/>
      <c r="AI21" s="75"/>
      <c r="AJ21" s="92"/>
      <c r="AK21" s="87"/>
      <c r="AL21" s="5"/>
      <c r="AM21" s="5"/>
      <c r="AN21" s="5"/>
      <c r="AO21" s="5"/>
    </row>
    <row r="22" spans="1:41" ht="18.5" x14ac:dyDescent="0.45">
      <c r="A22" s="5"/>
      <c r="B22" s="5"/>
      <c r="C22" s="86"/>
      <c r="D22" s="71" t="s">
        <v>65</v>
      </c>
      <c r="E22" s="70"/>
      <c r="F22" s="214" t="s">
        <v>182</v>
      </c>
      <c r="G22" s="5"/>
      <c r="H22" s="110"/>
      <c r="I22" s="244"/>
      <c r="J22" s="214" t="s">
        <v>182</v>
      </c>
      <c r="K22" s="79"/>
      <c r="L22" s="79"/>
      <c r="M22" s="245"/>
      <c r="N22" s="110"/>
      <c r="O22" s="79"/>
      <c r="P22" s="79"/>
      <c r="Q22" s="82"/>
      <c r="R22" s="114"/>
      <c r="S22" s="109"/>
      <c r="T22" s="75"/>
      <c r="U22" s="70"/>
      <c r="V22" s="75"/>
      <c r="W22" s="89"/>
      <c r="X22" s="15"/>
      <c r="Y22" s="15"/>
      <c r="Z22" s="66"/>
      <c r="AA22" s="75"/>
      <c r="AB22" s="109"/>
      <c r="AC22" s="75"/>
      <c r="AD22" s="75"/>
      <c r="AE22" s="75"/>
      <c r="AF22" s="70"/>
      <c r="AG22" s="120"/>
      <c r="AH22" s="109"/>
      <c r="AI22" s="75"/>
      <c r="AJ22" s="92"/>
      <c r="AK22" s="87"/>
      <c r="AL22" s="5"/>
      <c r="AM22" s="5"/>
      <c r="AN22" s="5"/>
      <c r="AO22" s="5"/>
    </row>
    <row r="23" spans="1:41" ht="18.5" x14ac:dyDescent="0.45">
      <c r="A23" s="5"/>
      <c r="B23" s="5"/>
      <c r="C23" s="86"/>
      <c r="D23" s="71" t="s">
        <v>66</v>
      </c>
      <c r="E23" s="70"/>
      <c r="F23" s="214" t="s">
        <v>182</v>
      </c>
      <c r="G23" s="5"/>
      <c r="H23" s="110"/>
      <c r="I23" s="245"/>
      <c r="J23" s="214" t="s">
        <v>182</v>
      </c>
      <c r="K23" s="79"/>
      <c r="L23" s="79"/>
      <c r="M23" s="245"/>
      <c r="N23" s="110"/>
      <c r="O23" s="79"/>
      <c r="P23" s="79"/>
      <c r="Q23" s="82"/>
      <c r="R23" s="114"/>
      <c r="S23" s="109"/>
      <c r="T23" s="75"/>
      <c r="U23" s="70"/>
      <c r="V23" s="75"/>
      <c r="W23" s="89"/>
      <c r="X23" s="15"/>
      <c r="Y23" s="15"/>
      <c r="Z23" s="66"/>
      <c r="AA23" s="75"/>
      <c r="AB23" s="109"/>
      <c r="AC23" s="75"/>
      <c r="AD23" s="75"/>
      <c r="AE23" s="75"/>
      <c r="AF23" s="70"/>
      <c r="AG23" s="120"/>
      <c r="AH23" s="109"/>
      <c r="AI23" s="75"/>
      <c r="AJ23" s="92"/>
      <c r="AK23" s="87"/>
      <c r="AL23" s="5"/>
      <c r="AM23" s="5"/>
      <c r="AN23" s="5"/>
      <c r="AO23" s="5"/>
    </row>
    <row r="24" spans="1:41" ht="18.5" x14ac:dyDescent="0.45">
      <c r="A24" s="5"/>
      <c r="B24" s="5"/>
      <c r="C24" s="86"/>
      <c r="D24" s="132" t="s">
        <v>86</v>
      </c>
      <c r="E24" s="92"/>
      <c r="F24" s="214" t="s">
        <v>182</v>
      </c>
      <c r="G24" s="11"/>
      <c r="H24" s="110"/>
      <c r="I24" s="245"/>
      <c r="J24" s="214" t="s">
        <v>182</v>
      </c>
      <c r="K24" s="79"/>
      <c r="L24" s="79"/>
      <c r="M24" s="245"/>
      <c r="N24" s="110"/>
      <c r="O24" s="79"/>
      <c r="P24" s="79"/>
      <c r="Q24" s="82"/>
      <c r="R24" s="114"/>
      <c r="S24" s="109"/>
      <c r="T24" s="75"/>
      <c r="U24" s="70"/>
      <c r="V24" s="75"/>
      <c r="W24" s="89"/>
      <c r="X24" s="15"/>
      <c r="Y24" s="15"/>
      <c r="Z24" s="66"/>
      <c r="AA24" s="75"/>
      <c r="AB24" s="109"/>
      <c r="AC24" s="75"/>
      <c r="AD24" s="75"/>
      <c r="AE24" s="75"/>
      <c r="AF24" s="70"/>
      <c r="AG24" s="120"/>
      <c r="AH24" s="109"/>
      <c r="AI24" s="75"/>
      <c r="AJ24" s="92"/>
      <c r="AK24" s="87"/>
      <c r="AL24" s="5"/>
      <c r="AM24" s="5"/>
      <c r="AN24" s="5"/>
      <c r="AO24" s="5"/>
    </row>
    <row r="25" spans="1:41" ht="18.5" x14ac:dyDescent="0.45">
      <c r="A25" s="5"/>
      <c r="B25" s="5"/>
      <c r="C25" s="86"/>
      <c r="D25" s="132" t="s">
        <v>87</v>
      </c>
      <c r="E25" s="92"/>
      <c r="F25" s="214" t="s">
        <v>182</v>
      </c>
      <c r="G25" s="11"/>
      <c r="H25" s="110"/>
      <c r="I25" s="245"/>
      <c r="J25" s="214" t="s">
        <v>182</v>
      </c>
      <c r="K25" s="79"/>
      <c r="L25" s="79"/>
      <c r="M25" s="245"/>
      <c r="N25" s="110"/>
      <c r="O25" s="79"/>
      <c r="P25" s="79"/>
      <c r="Q25" s="82"/>
      <c r="R25" s="114"/>
      <c r="S25" s="119"/>
      <c r="T25" s="120"/>
      <c r="U25" s="121"/>
      <c r="V25" s="120"/>
      <c r="W25" s="119"/>
      <c r="X25" s="120"/>
      <c r="Y25" s="120"/>
      <c r="Z25" s="121"/>
      <c r="AA25" s="120"/>
      <c r="AB25" s="119"/>
      <c r="AC25" s="120"/>
      <c r="AD25" s="120"/>
      <c r="AE25" s="120"/>
      <c r="AF25" s="121"/>
      <c r="AG25" s="120"/>
      <c r="AH25" s="109"/>
      <c r="AI25" s="75"/>
      <c r="AJ25" s="92"/>
      <c r="AK25" s="87"/>
      <c r="AL25" s="5"/>
      <c r="AM25" s="5"/>
      <c r="AN25" s="5"/>
      <c r="AO25" s="5"/>
    </row>
    <row r="26" spans="1:41" ht="19" thickBot="1" x14ac:dyDescent="0.5">
      <c r="A26" s="5"/>
      <c r="B26" s="5"/>
      <c r="C26" s="86"/>
      <c r="D26" s="133" t="s">
        <v>88</v>
      </c>
      <c r="E26" s="65"/>
      <c r="F26" s="215" t="s">
        <v>182</v>
      </c>
      <c r="G26" s="5"/>
      <c r="H26" s="110"/>
      <c r="I26" s="245"/>
      <c r="J26" s="214" t="s">
        <v>182</v>
      </c>
      <c r="K26" s="79"/>
      <c r="L26" s="79"/>
      <c r="M26" s="245"/>
      <c r="N26" s="110"/>
      <c r="O26" s="79"/>
      <c r="P26" s="79"/>
      <c r="Q26" s="82"/>
      <c r="R26" s="114"/>
      <c r="S26" s="119"/>
      <c r="T26" s="120"/>
      <c r="U26" s="121"/>
      <c r="V26" s="120"/>
      <c r="W26" s="119"/>
      <c r="X26" s="120"/>
      <c r="Y26" s="120"/>
      <c r="Z26" s="121"/>
      <c r="AA26" s="120"/>
      <c r="AB26" s="119"/>
      <c r="AC26" s="120"/>
      <c r="AD26" s="120"/>
      <c r="AE26" s="120"/>
      <c r="AF26" s="121"/>
      <c r="AG26" s="120"/>
      <c r="AH26" s="109"/>
      <c r="AI26" s="75"/>
      <c r="AJ26" s="92"/>
      <c r="AK26" s="87"/>
      <c r="AL26" s="5"/>
      <c r="AM26" s="5"/>
      <c r="AN26" s="5"/>
      <c r="AO26" s="5"/>
    </row>
    <row r="27" spans="1:41" ht="19" thickBot="1" x14ac:dyDescent="0.5">
      <c r="A27" s="5"/>
      <c r="B27" s="5"/>
      <c r="C27" s="86"/>
      <c r="D27" s="133" t="s">
        <v>109</v>
      </c>
      <c r="E27" s="72">
        <f>Systemblatt!C11</f>
        <v>8000</v>
      </c>
      <c r="F27" s="215" t="s">
        <v>184</v>
      </c>
      <c r="G27" s="5"/>
      <c r="H27" s="111"/>
      <c r="I27" s="246"/>
      <c r="J27" s="215" t="s">
        <v>182</v>
      </c>
      <c r="K27" s="79"/>
      <c r="L27" s="79"/>
      <c r="M27" s="246"/>
      <c r="N27" s="111"/>
      <c r="O27" s="80"/>
      <c r="P27" s="80"/>
      <c r="Q27" s="81"/>
      <c r="R27" s="114"/>
      <c r="S27" s="122"/>
      <c r="T27" s="123"/>
      <c r="U27" s="124"/>
      <c r="V27" s="120"/>
      <c r="W27" s="122"/>
      <c r="X27" s="123"/>
      <c r="Y27" s="123"/>
      <c r="Z27" s="124"/>
      <c r="AA27" s="120"/>
      <c r="AB27" s="122"/>
      <c r="AC27" s="123"/>
      <c r="AD27" s="123"/>
      <c r="AE27" s="123"/>
      <c r="AF27" s="124"/>
      <c r="AG27" s="120"/>
      <c r="AH27" s="112"/>
      <c r="AI27" s="113"/>
      <c r="AJ27" s="146"/>
      <c r="AK27" s="87"/>
      <c r="AL27" s="5"/>
      <c r="AM27" s="5"/>
      <c r="AN27" s="5"/>
      <c r="AO27" s="5"/>
    </row>
    <row r="28" spans="1:41" x14ac:dyDescent="0.35">
      <c r="A28" s="5"/>
      <c r="B28" s="5"/>
      <c r="C28" s="8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7"/>
      <c r="AL28" s="5"/>
      <c r="AM28" s="5"/>
      <c r="AN28" s="5"/>
      <c r="AO28" s="5"/>
    </row>
    <row r="29" spans="1:41" x14ac:dyDescent="0.35">
      <c r="A29" s="5"/>
      <c r="B29" s="5"/>
      <c r="C29" s="8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7"/>
      <c r="AL29" s="5"/>
      <c r="AM29" s="5"/>
      <c r="AN29" s="5"/>
      <c r="AO29" s="5"/>
    </row>
    <row r="30" spans="1:41" x14ac:dyDescent="0.35">
      <c r="A30" s="5"/>
      <c r="B30" s="5"/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7"/>
      <c r="AL30" s="5"/>
      <c r="AM30" s="5"/>
      <c r="AN30" s="5"/>
      <c r="AO30" s="5"/>
    </row>
    <row r="31" spans="1:41" x14ac:dyDescent="0.35">
      <c r="A31" s="5"/>
      <c r="B31" s="5"/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7"/>
      <c r="AL31" s="5"/>
      <c r="AM31" s="5"/>
      <c r="AN31" s="5"/>
      <c r="AO31" s="5"/>
    </row>
    <row r="32" spans="1:41" x14ac:dyDescent="0.35">
      <c r="A32" s="5"/>
      <c r="B32" s="5"/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7"/>
      <c r="AL32" s="5"/>
      <c r="AM32" s="5"/>
      <c r="AN32" s="5"/>
      <c r="AO32" s="5"/>
    </row>
    <row r="33" spans="1:41" x14ac:dyDescent="0.35">
      <c r="A33" s="5"/>
      <c r="B33" s="5"/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7"/>
      <c r="AL33" s="5"/>
      <c r="AM33" s="5"/>
      <c r="AN33" s="5"/>
      <c r="AO33" s="5"/>
    </row>
    <row r="34" spans="1:41" x14ac:dyDescent="0.35">
      <c r="A34" s="5"/>
      <c r="B34" s="5"/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7"/>
      <c r="AL34" s="5"/>
      <c r="AM34" s="5"/>
      <c r="AN34" s="5"/>
      <c r="AO34" s="5"/>
    </row>
    <row r="35" spans="1:41" x14ac:dyDescent="0.35">
      <c r="A35" s="5"/>
      <c r="B35" s="5"/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7"/>
      <c r="AL35" s="5"/>
      <c r="AM35" s="5"/>
      <c r="AN35" s="5"/>
      <c r="AO35" s="5"/>
    </row>
    <row r="36" spans="1:41" x14ac:dyDescent="0.35">
      <c r="A36" s="5"/>
      <c r="B36" s="5"/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7"/>
      <c r="AL36" s="5"/>
      <c r="AM36" s="5"/>
      <c r="AN36" s="5"/>
      <c r="AO36" s="5"/>
    </row>
    <row r="37" spans="1:41" x14ac:dyDescent="0.35">
      <c r="A37" s="5"/>
      <c r="B37" s="5"/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7"/>
      <c r="AL37" s="5"/>
      <c r="AM37" s="5"/>
      <c r="AN37" s="5"/>
      <c r="AO37" s="5"/>
    </row>
    <row r="38" spans="1:41" x14ac:dyDescent="0.35">
      <c r="A38" s="5"/>
      <c r="B38" s="5"/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7"/>
      <c r="AL38" s="5"/>
      <c r="AM38" s="5"/>
      <c r="AN38" s="5"/>
      <c r="AO38" s="5"/>
    </row>
    <row r="39" spans="1:41" x14ac:dyDescent="0.35">
      <c r="A39" s="5"/>
      <c r="B39" s="5"/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7"/>
      <c r="AL39" s="5"/>
      <c r="AM39" s="5"/>
      <c r="AN39" s="5"/>
      <c r="AO39" s="5"/>
    </row>
    <row r="40" spans="1:41" x14ac:dyDescent="0.35">
      <c r="A40" s="5"/>
      <c r="B40" s="5"/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7"/>
      <c r="AL40" s="5"/>
      <c r="AM40" s="5"/>
      <c r="AN40" s="5"/>
      <c r="AO40" s="5"/>
    </row>
    <row r="41" spans="1:41" x14ac:dyDescent="0.35">
      <c r="A41" s="5"/>
      <c r="B41" s="5"/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7"/>
      <c r="AL41" s="5"/>
      <c r="AM41" s="5"/>
      <c r="AN41" s="5"/>
      <c r="AO41" s="5"/>
    </row>
    <row r="42" spans="1:41" x14ac:dyDescent="0.35">
      <c r="A42" s="5"/>
      <c r="B42" s="5"/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7"/>
      <c r="AL42" s="5"/>
      <c r="AM42" s="5"/>
      <c r="AN42" s="5"/>
      <c r="AO42" s="5"/>
    </row>
    <row r="43" spans="1:41" x14ac:dyDescent="0.35">
      <c r="A43" s="5"/>
      <c r="B43" s="5"/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7"/>
      <c r="AL43" s="5"/>
      <c r="AM43" s="5"/>
      <c r="AN43" s="5"/>
      <c r="AO43" s="5"/>
    </row>
    <row r="44" spans="1:41" x14ac:dyDescent="0.35">
      <c r="A44" s="5"/>
      <c r="B44" s="5"/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7"/>
      <c r="AL44" s="5"/>
      <c r="AM44" s="5"/>
      <c r="AN44" s="5"/>
      <c r="AO44" s="5"/>
    </row>
    <row r="45" spans="1:41" x14ac:dyDescent="0.35">
      <c r="A45" s="5"/>
      <c r="B45" s="5"/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7"/>
      <c r="AL45" s="5"/>
      <c r="AM45" s="5"/>
      <c r="AN45" s="5"/>
      <c r="AO45" s="5"/>
    </row>
    <row r="46" spans="1:41" x14ac:dyDescent="0.35">
      <c r="A46" s="5"/>
      <c r="B46" s="5"/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7"/>
      <c r="AL46" s="5"/>
      <c r="AM46" s="5"/>
      <c r="AN46" s="5"/>
      <c r="AO46" s="5"/>
    </row>
    <row r="47" spans="1:41" ht="18.5" x14ac:dyDescent="0.35">
      <c r="A47" s="5"/>
      <c r="B47" s="5"/>
      <c r="C47" s="86"/>
      <c r="D47" s="5"/>
      <c r="E47" s="5"/>
      <c r="F47" s="5"/>
      <c r="G47" s="5"/>
      <c r="H47" s="5"/>
      <c r="I47" s="5"/>
      <c r="J47" s="5"/>
      <c r="K47" s="98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7"/>
      <c r="AL47" s="5"/>
      <c r="AM47" s="5"/>
      <c r="AN47" s="5"/>
      <c r="AO47" s="5"/>
    </row>
    <row r="48" spans="1:41" ht="15.5" x14ac:dyDescent="0.35">
      <c r="A48" s="5"/>
      <c r="B48" s="5"/>
      <c r="C48" s="86"/>
      <c r="D48" s="5"/>
      <c r="E48" s="5"/>
      <c r="F48" s="5"/>
      <c r="G48" s="5"/>
      <c r="H48" s="5"/>
      <c r="I48" s="5"/>
      <c r="J48" s="5"/>
      <c r="K48" s="97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7"/>
      <c r="AL48" s="5"/>
      <c r="AM48" s="5"/>
      <c r="AN48" s="5"/>
      <c r="AO48" s="5"/>
    </row>
    <row r="49" spans="1:41" ht="15.5" x14ac:dyDescent="0.35">
      <c r="A49" s="5"/>
      <c r="B49" s="5"/>
      <c r="C49" s="86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7"/>
      <c r="AL49" s="5"/>
      <c r="AM49" s="5"/>
      <c r="AN49" s="5"/>
      <c r="AO49" s="5"/>
    </row>
    <row r="50" spans="1:41" ht="15.5" x14ac:dyDescent="0.35">
      <c r="A50" s="5"/>
      <c r="B50" s="5"/>
      <c r="C50" s="86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7"/>
      <c r="AL50" s="5"/>
      <c r="AM50" s="5"/>
      <c r="AN50" s="5"/>
      <c r="AO50" s="5"/>
    </row>
    <row r="51" spans="1:41" ht="15.5" x14ac:dyDescent="0.35">
      <c r="A51" s="5"/>
      <c r="B51" s="5"/>
      <c r="C51" s="86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7"/>
      <c r="AL51" s="5"/>
      <c r="AM51" s="5"/>
      <c r="AN51" s="5"/>
      <c r="AO51" s="5"/>
    </row>
    <row r="52" spans="1:41" ht="15.5" x14ac:dyDescent="0.35">
      <c r="A52" s="5"/>
      <c r="B52" s="5"/>
      <c r="C52" s="86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7"/>
      <c r="AL52" s="5"/>
      <c r="AM52" s="5"/>
      <c r="AN52" s="5"/>
      <c r="AO52" s="5"/>
    </row>
    <row r="53" spans="1:41" ht="15.5" x14ac:dyDescent="0.35">
      <c r="A53" s="5"/>
      <c r="B53" s="5"/>
      <c r="C53" s="86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7"/>
      <c r="AL53" s="5"/>
      <c r="AM53" s="5"/>
      <c r="AN53" s="5"/>
      <c r="AO53" s="5"/>
    </row>
    <row r="54" spans="1:41" ht="15.5" x14ac:dyDescent="0.35">
      <c r="A54" s="5"/>
      <c r="B54" s="5"/>
      <c r="C54" s="86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7"/>
      <c r="AL54" s="5"/>
      <c r="AM54" s="5"/>
      <c r="AN54" s="5"/>
      <c r="AO54" s="5"/>
    </row>
    <row r="55" spans="1:41" x14ac:dyDescent="0.35">
      <c r="A55" s="5"/>
      <c r="B55" s="5"/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7"/>
      <c r="AL55" s="5"/>
      <c r="AM55" s="5"/>
      <c r="AN55" s="5"/>
      <c r="AO55" s="5"/>
    </row>
    <row r="56" spans="1:41" x14ac:dyDescent="0.35">
      <c r="A56" s="5"/>
      <c r="B56" s="5"/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7"/>
      <c r="AL56" s="5"/>
      <c r="AM56" s="5"/>
      <c r="AN56" s="5"/>
      <c r="AO56" s="5"/>
    </row>
    <row r="57" spans="1:41" x14ac:dyDescent="0.35">
      <c r="A57" s="5"/>
      <c r="B57" s="5"/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7"/>
      <c r="AL57" s="5"/>
      <c r="AM57" s="5"/>
      <c r="AN57" s="5"/>
      <c r="AO57" s="5"/>
    </row>
    <row r="58" spans="1:41" x14ac:dyDescent="0.35">
      <c r="A58" s="5"/>
      <c r="B58" s="5"/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7"/>
      <c r="AL58" s="5"/>
      <c r="AM58" s="5"/>
      <c r="AN58" s="5"/>
      <c r="AO58" s="5"/>
    </row>
    <row r="59" spans="1:41" x14ac:dyDescent="0.35">
      <c r="A59" s="5"/>
      <c r="B59" s="5"/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7"/>
      <c r="AL59" s="5"/>
      <c r="AM59" s="5"/>
      <c r="AN59" s="5"/>
      <c r="AO59" s="5"/>
    </row>
    <row r="60" spans="1:41" x14ac:dyDescent="0.35">
      <c r="A60" s="5"/>
      <c r="B60" s="5"/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7"/>
      <c r="AL60" s="5"/>
      <c r="AM60" s="5"/>
      <c r="AN60" s="5"/>
      <c r="AO60" s="5"/>
    </row>
    <row r="61" spans="1:41" x14ac:dyDescent="0.35">
      <c r="A61" s="5"/>
      <c r="B61" s="5"/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7"/>
      <c r="AL61" s="5"/>
      <c r="AM61" s="5"/>
      <c r="AN61" s="5"/>
      <c r="AO61" s="5"/>
    </row>
    <row r="62" spans="1:41" x14ac:dyDescent="0.35">
      <c r="A62" s="5"/>
      <c r="B62" s="5"/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7"/>
      <c r="AL62" s="5"/>
      <c r="AM62" s="5"/>
      <c r="AN62" s="5"/>
      <c r="AO62" s="5"/>
    </row>
    <row r="63" spans="1:41" x14ac:dyDescent="0.35">
      <c r="A63" s="5"/>
      <c r="B63" s="5"/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7"/>
      <c r="AL63" s="5"/>
      <c r="AM63" s="5"/>
      <c r="AN63" s="5"/>
      <c r="AO63" s="5"/>
    </row>
    <row r="64" spans="1:41" x14ac:dyDescent="0.35">
      <c r="A64" s="5"/>
      <c r="B64" s="5"/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7"/>
      <c r="AL64" s="5"/>
      <c r="AM64" s="5"/>
      <c r="AN64" s="5"/>
      <c r="AO64" s="5"/>
    </row>
    <row r="65" spans="1:41" x14ac:dyDescent="0.35">
      <c r="A65" s="5"/>
      <c r="B65" s="5"/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7"/>
      <c r="AL65" s="5"/>
      <c r="AM65" s="5"/>
      <c r="AN65" s="5"/>
      <c r="AO65" s="5"/>
    </row>
    <row r="66" spans="1:41" x14ac:dyDescent="0.35">
      <c r="A66" s="5"/>
      <c r="B66" s="5"/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7"/>
      <c r="AL66" s="5"/>
      <c r="AM66" s="5"/>
      <c r="AN66" s="5"/>
      <c r="AO66" s="5"/>
    </row>
    <row r="67" spans="1:41" x14ac:dyDescent="0.35">
      <c r="A67" s="5"/>
      <c r="B67" s="5"/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7"/>
      <c r="AL67" s="5"/>
      <c r="AM67" s="5"/>
      <c r="AN67" s="5"/>
      <c r="AO67" s="5"/>
    </row>
    <row r="68" spans="1:41" x14ac:dyDescent="0.35">
      <c r="A68" s="5"/>
      <c r="B68" s="5"/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7"/>
      <c r="AL68" s="5"/>
      <c r="AM68" s="5"/>
      <c r="AN68" s="5"/>
      <c r="AO68" s="5"/>
    </row>
    <row r="69" spans="1:41" x14ac:dyDescent="0.35">
      <c r="A69" s="5"/>
      <c r="B69" s="5"/>
      <c r="C69" s="86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7"/>
      <c r="AL69" s="5"/>
      <c r="AM69" s="5"/>
      <c r="AN69" s="5"/>
      <c r="AO69" s="5"/>
    </row>
    <row r="70" spans="1:41" ht="15" thickBot="1" x14ac:dyDescent="0.4">
      <c r="A70" s="5"/>
      <c r="B70" s="5"/>
      <c r="C70" s="7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  <c r="AI70" s="94"/>
      <c r="AJ70" s="94"/>
      <c r="AK70" s="65"/>
      <c r="AL70" s="5"/>
      <c r="AM70" s="5"/>
      <c r="AN70" s="5"/>
      <c r="AO70" s="5"/>
    </row>
    <row r="71" spans="1:4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5">
      <c r="Q119" s="3" t="s">
        <v>23</v>
      </c>
    </row>
    <row r="137" spans="18:18" x14ac:dyDescent="0.35">
      <c r="R137" s="3" t="s">
        <v>23</v>
      </c>
    </row>
  </sheetData>
  <mergeCells count="11">
    <mergeCell ref="AB8:AF8"/>
    <mergeCell ref="W8:Z8"/>
    <mergeCell ref="S8:U8"/>
    <mergeCell ref="M8:Q8"/>
    <mergeCell ref="AH8:AJ8"/>
    <mergeCell ref="D8:F8"/>
    <mergeCell ref="H8:J8"/>
    <mergeCell ref="D6:E6"/>
    <mergeCell ref="H6:I6"/>
    <mergeCell ref="M6:P6"/>
    <mergeCell ref="S6:AF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B81D87C0-9BAC-7A4A-A581-D47F48FCCF66}">
          <x14:formula1>
            <xm:f>Systemblatt!$E$5:$E$11</xm:f>
          </x14:formula1>
          <xm:sqref>AH28:AH30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28245E19-CD41-144D-AC42-F3052154C653}">
          <x14:formula1>
            <xm:f>Systemblatt!$E$5:$E$38</xm:f>
          </x14:formula1>
          <xm:sqref>AH10:AH27 AJ10:AJ27 T10:T27 AE10:AE27 AC10:AC27 N14:Q27 N12:Q12 N13 I16:I27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I15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J15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95"/>
      <c r="AJ2" s="95"/>
      <c r="AK2" s="91"/>
      <c r="AL2" s="91"/>
      <c r="AM2" s="91"/>
      <c r="AN2" s="91"/>
      <c r="AO2" s="96"/>
    </row>
    <row r="3" spans="3:41" x14ac:dyDescent="0.35">
      <c r="C3" s="86"/>
      <c r="D3" s="5"/>
      <c r="E3" s="5"/>
      <c r="F3" s="5"/>
      <c r="G3" s="5"/>
      <c r="H3" s="5"/>
      <c r="I3" s="5"/>
      <c r="J3" s="5" t="s">
        <v>22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7"/>
    </row>
    <row r="4" spans="3:41" x14ac:dyDescent="0.35"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7"/>
    </row>
    <row r="5" spans="3:41" x14ac:dyDescent="0.35"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7"/>
    </row>
    <row r="6" spans="3:41" x14ac:dyDescent="0.35">
      <c r="C6" s="86"/>
      <c r="D6" s="363"/>
      <c r="E6" s="363"/>
      <c r="F6" s="5"/>
      <c r="G6" s="5"/>
      <c r="H6" s="363"/>
      <c r="I6" s="363"/>
      <c r="J6" s="15"/>
      <c r="K6" s="15"/>
      <c r="L6" s="5"/>
      <c r="M6" s="363"/>
      <c r="N6" s="363"/>
      <c r="O6" s="363"/>
      <c r="P6" s="363"/>
      <c r="Q6" s="5"/>
      <c r="R6" s="5"/>
      <c r="S6" s="364"/>
      <c r="T6" s="364"/>
      <c r="U6" s="364"/>
      <c r="V6" s="364"/>
      <c r="W6" s="364"/>
      <c r="X6" s="364"/>
      <c r="Y6" s="364"/>
      <c r="Z6" s="364"/>
      <c r="AA6" s="364"/>
      <c r="AB6" s="364"/>
      <c r="AC6" s="364"/>
      <c r="AD6" s="364"/>
      <c r="AE6" s="364"/>
      <c r="AF6" s="364"/>
      <c r="AG6" s="11"/>
      <c r="AH6" s="11"/>
      <c r="AI6" s="11"/>
      <c r="AJ6" s="11"/>
      <c r="AK6" s="11"/>
      <c r="AL6" s="11"/>
      <c r="AM6" s="11"/>
      <c r="AN6" s="11"/>
      <c r="AO6" s="87"/>
    </row>
    <row r="7" spans="3:41" ht="15" thickBot="1" x14ac:dyDescent="0.4"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7"/>
    </row>
    <row r="8" spans="3:41" ht="24" thickBot="1" x14ac:dyDescent="0.6">
      <c r="C8" s="86"/>
      <c r="D8" s="344" t="s">
        <v>52</v>
      </c>
      <c r="E8" s="345"/>
      <c r="F8" s="346"/>
      <c r="G8" s="5"/>
      <c r="H8" s="347" t="s">
        <v>53</v>
      </c>
      <c r="I8" s="348"/>
      <c r="J8" s="349"/>
      <c r="K8" s="16"/>
      <c r="L8" s="5"/>
      <c r="M8" s="357" t="s">
        <v>72</v>
      </c>
      <c r="N8" s="358"/>
      <c r="O8" s="358"/>
      <c r="P8" s="358"/>
      <c r="Q8" s="359"/>
      <c r="R8" s="5"/>
      <c r="S8" s="351" t="s">
        <v>78</v>
      </c>
      <c r="T8" s="352"/>
      <c r="U8" s="353"/>
      <c r="V8" s="12"/>
      <c r="W8" s="354" t="s">
        <v>108</v>
      </c>
      <c r="X8" s="355"/>
      <c r="Y8" s="355"/>
      <c r="Z8" s="356"/>
      <c r="AA8" s="11"/>
      <c r="AB8" s="354" t="s">
        <v>85</v>
      </c>
      <c r="AC8" s="355"/>
      <c r="AD8" s="355"/>
      <c r="AE8" s="355"/>
      <c r="AF8" s="356"/>
      <c r="AG8" s="11"/>
      <c r="AH8" s="360" t="s">
        <v>5</v>
      </c>
      <c r="AI8" s="361"/>
      <c r="AJ8" s="362"/>
      <c r="AK8" s="98"/>
      <c r="AL8" s="360" t="s">
        <v>6</v>
      </c>
      <c r="AM8" s="361"/>
      <c r="AN8" s="362"/>
      <c r="AO8" s="87"/>
    </row>
    <row r="9" spans="3:41" ht="21.5" thickBot="1" x14ac:dyDescent="0.55000000000000004">
      <c r="C9" s="86"/>
      <c r="D9" s="73" t="s">
        <v>32</v>
      </c>
      <c r="E9" s="213" t="s">
        <v>0</v>
      </c>
      <c r="F9" s="216" t="s">
        <v>181</v>
      </c>
      <c r="G9" s="5"/>
      <c r="H9" s="99" t="s">
        <v>32</v>
      </c>
      <c r="I9" s="99" t="s">
        <v>54</v>
      </c>
      <c r="J9" s="74" t="s">
        <v>181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 t="s">
        <v>181</v>
      </c>
      <c r="S9" s="85" t="s">
        <v>79</v>
      </c>
      <c r="T9" s="85" t="s">
        <v>35</v>
      </c>
      <c r="U9" s="85" t="s">
        <v>80</v>
      </c>
      <c r="V9" s="13"/>
      <c r="W9" s="101" t="s">
        <v>104</v>
      </c>
      <c r="X9" s="203" t="s">
        <v>162</v>
      </c>
      <c r="Y9" s="203" t="s">
        <v>163</v>
      </c>
      <c r="Z9" s="201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11"/>
      <c r="AH9" s="142" t="s">
        <v>35</v>
      </c>
      <c r="AI9" s="142" t="s">
        <v>91</v>
      </c>
      <c r="AJ9" s="142" t="s">
        <v>0</v>
      </c>
      <c r="AK9" s="97"/>
      <c r="AL9" s="142" t="s">
        <v>91</v>
      </c>
      <c r="AM9" s="142" t="s">
        <v>92</v>
      </c>
      <c r="AN9" s="142" t="s">
        <v>93</v>
      </c>
      <c r="AO9" s="87"/>
    </row>
    <row r="10" spans="3:41" ht="18.5" x14ac:dyDescent="0.45">
      <c r="C10" s="86"/>
      <c r="D10" s="67" t="s">
        <v>1</v>
      </c>
      <c r="E10" s="68"/>
      <c r="F10" s="214" t="s">
        <v>182</v>
      </c>
      <c r="G10" s="5"/>
      <c r="H10" s="67" t="s">
        <v>2</v>
      </c>
      <c r="I10" s="68"/>
      <c r="J10" s="96" t="s">
        <v>182</v>
      </c>
      <c r="K10" s="79"/>
      <c r="L10" s="79"/>
      <c r="M10" s="67" t="s">
        <v>75</v>
      </c>
      <c r="N10" s="179"/>
      <c r="O10" s="179"/>
      <c r="P10" s="180"/>
      <c r="Q10" s="181"/>
      <c r="R10" s="5" t="s">
        <v>198</v>
      </c>
      <c r="S10" s="103"/>
      <c r="T10" s="104"/>
      <c r="U10" s="105"/>
      <c r="V10" s="106"/>
      <c r="W10" s="138"/>
      <c r="X10" s="83"/>
      <c r="Y10" s="139"/>
      <c r="Z10" s="137"/>
      <c r="AA10" s="75"/>
      <c r="AB10" s="136"/>
      <c r="AC10" s="83"/>
      <c r="AD10" s="139"/>
      <c r="AE10" s="83"/>
      <c r="AF10" s="137"/>
      <c r="AG10" s="120"/>
      <c r="AH10" s="126"/>
      <c r="AI10" s="125"/>
      <c r="AJ10" s="127"/>
      <c r="AK10" s="115"/>
      <c r="AL10" s="128"/>
      <c r="AM10" s="129"/>
      <c r="AN10" s="130"/>
      <c r="AO10" s="87"/>
    </row>
    <row r="11" spans="3:41" ht="19" thickBot="1" x14ac:dyDescent="0.5">
      <c r="C11" s="86"/>
      <c r="D11" s="69" t="s">
        <v>3</v>
      </c>
      <c r="E11" s="70"/>
      <c r="F11" s="214" t="s">
        <v>182</v>
      </c>
      <c r="G11" s="5"/>
      <c r="H11" s="69" t="s">
        <v>67</v>
      </c>
      <c r="I11" s="105"/>
      <c r="J11" s="87" t="s">
        <v>191</v>
      </c>
      <c r="K11" s="79"/>
      <c r="L11" s="79"/>
      <c r="M11" s="76" t="s">
        <v>76</v>
      </c>
      <c r="N11" s="125"/>
      <c r="O11" s="125"/>
      <c r="P11" s="79"/>
      <c r="Q11" s="127"/>
      <c r="R11" s="5" t="s">
        <v>192</v>
      </c>
      <c r="S11" s="103"/>
      <c r="T11" s="104"/>
      <c r="U11" s="105"/>
      <c r="V11" s="106"/>
      <c r="W11" s="109"/>
      <c r="X11" s="75"/>
      <c r="Y11" s="106"/>
      <c r="Z11" s="108"/>
      <c r="AA11" s="75"/>
      <c r="AB11" s="107"/>
      <c r="AC11" s="75"/>
      <c r="AD11" s="106"/>
      <c r="AE11" s="75"/>
      <c r="AF11" s="108"/>
      <c r="AG11" s="120"/>
      <c r="AH11" s="126"/>
      <c r="AI11" s="125"/>
      <c r="AJ11" s="127"/>
      <c r="AK11" s="115"/>
      <c r="AL11" s="116"/>
      <c r="AM11" s="6"/>
      <c r="AN11" s="131"/>
      <c r="AO11" s="87"/>
    </row>
    <row r="12" spans="3:41" ht="18.5" x14ac:dyDescent="0.45">
      <c r="C12" s="86"/>
      <c r="D12" s="69" t="s">
        <v>42</v>
      </c>
      <c r="E12" s="205" t="s">
        <v>165</v>
      </c>
      <c r="F12" s="214" t="s">
        <v>182</v>
      </c>
      <c r="G12" s="5"/>
      <c r="H12" s="69" t="s">
        <v>68</v>
      </c>
      <c r="I12" s="105"/>
      <c r="J12" s="87" t="str">
        <f>J15</f>
        <v>t/h</v>
      </c>
      <c r="K12" s="79"/>
      <c r="L12" s="79"/>
      <c r="M12" s="248" t="s">
        <v>77</v>
      </c>
      <c r="N12" s="256"/>
      <c r="O12" s="179"/>
      <c r="P12" s="180"/>
      <c r="Q12" s="181"/>
      <c r="R12" s="114"/>
      <c r="S12" s="126"/>
      <c r="T12" s="125"/>
      <c r="U12" s="127"/>
      <c r="V12" s="106"/>
      <c r="W12" s="109"/>
      <c r="X12" s="75"/>
      <c r="Y12" s="44"/>
      <c r="Z12" s="30"/>
      <c r="AA12" s="44"/>
      <c r="AB12" s="51"/>
      <c r="AC12" s="75"/>
      <c r="AD12" s="44"/>
      <c r="AE12" s="75"/>
      <c r="AF12" s="108"/>
      <c r="AG12" s="120"/>
      <c r="AH12" s="126"/>
      <c r="AI12" s="125"/>
      <c r="AJ12" s="127"/>
      <c r="AK12" s="115"/>
      <c r="AL12" s="116"/>
      <c r="AM12" s="6"/>
      <c r="AN12" s="131"/>
      <c r="AO12" s="87"/>
    </row>
    <row r="13" spans="3:41" ht="18.5" x14ac:dyDescent="0.45">
      <c r="C13" s="86"/>
      <c r="D13" s="69" t="s">
        <v>56</v>
      </c>
      <c r="F13" s="214" t="s">
        <v>182</v>
      </c>
      <c r="G13" s="5"/>
      <c r="H13" s="69" t="s">
        <v>69</v>
      </c>
      <c r="I13" s="105"/>
      <c r="J13" s="87" t="s">
        <v>182</v>
      </c>
      <c r="K13" s="79"/>
      <c r="L13" s="79"/>
      <c r="M13" s="249"/>
      <c r="N13" s="126"/>
      <c r="O13" s="75"/>
      <c r="P13" s="75"/>
      <c r="Q13" s="70"/>
      <c r="R13" s="114"/>
      <c r="S13" s="119"/>
      <c r="T13" s="120"/>
      <c r="U13" s="121"/>
      <c r="V13" s="44"/>
      <c r="W13" s="109"/>
      <c r="X13" s="75"/>
      <c r="Y13" s="44"/>
      <c r="Z13" s="30"/>
      <c r="AA13" s="44"/>
      <c r="AB13" s="51"/>
      <c r="AC13" s="75"/>
      <c r="AD13" s="44"/>
      <c r="AE13" s="75"/>
      <c r="AF13" s="108"/>
      <c r="AG13" s="120"/>
      <c r="AH13" s="107"/>
      <c r="AI13" s="106"/>
      <c r="AJ13" s="108"/>
      <c r="AK13" s="115"/>
      <c r="AL13" s="117"/>
      <c r="AM13" s="6"/>
      <c r="AN13" s="118"/>
      <c r="AO13" s="87"/>
    </row>
    <row r="14" spans="3:41" ht="18.5" x14ac:dyDescent="0.45"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/>
      <c r="J14" s="87" t="s">
        <v>194</v>
      </c>
      <c r="K14" s="79"/>
      <c r="L14" s="79"/>
      <c r="M14" s="250"/>
      <c r="N14" s="110"/>
      <c r="O14" s="79"/>
      <c r="P14" s="79"/>
      <c r="Q14" s="82"/>
      <c r="R14" s="114"/>
      <c r="S14" s="51"/>
      <c r="T14" s="75"/>
      <c r="U14" s="30"/>
      <c r="V14" s="44"/>
      <c r="W14" s="109"/>
      <c r="X14" s="75"/>
      <c r="Y14" s="44"/>
      <c r="Z14" s="30"/>
      <c r="AA14" s="44"/>
      <c r="AB14" s="51"/>
      <c r="AC14" s="75"/>
      <c r="AD14" s="44"/>
      <c r="AE14" s="75"/>
      <c r="AF14" s="108"/>
      <c r="AG14" s="120"/>
      <c r="AH14" s="107"/>
      <c r="AI14" s="106"/>
      <c r="AJ14" s="108"/>
      <c r="AK14" s="115"/>
      <c r="AL14" s="117"/>
      <c r="AM14" s="6"/>
      <c r="AN14" s="118"/>
      <c r="AO14" s="87"/>
    </row>
    <row r="15" spans="3:41" ht="19" thickBot="1" x14ac:dyDescent="0.5">
      <c r="C15" s="86"/>
      <c r="D15" s="69" t="s">
        <v>58</v>
      </c>
      <c r="E15" s="70">
        <v>2.6</v>
      </c>
      <c r="F15" s="214" t="s">
        <v>182</v>
      </c>
      <c r="G15" s="5"/>
      <c r="H15" s="76" t="s">
        <v>71</v>
      </c>
      <c r="I15" s="70"/>
      <c r="J15" s="87" t="s">
        <v>192</v>
      </c>
      <c r="K15" s="79"/>
      <c r="L15" s="79"/>
      <c r="M15" s="250"/>
      <c r="N15" s="110"/>
      <c r="O15" s="79"/>
      <c r="P15" s="79"/>
      <c r="Q15" s="82"/>
      <c r="R15" s="114"/>
      <c r="S15" s="51"/>
      <c r="T15" s="75"/>
      <c r="U15" s="30"/>
      <c r="V15" s="44"/>
      <c r="W15" s="89"/>
      <c r="X15" s="15"/>
      <c r="Y15" s="15"/>
      <c r="Z15" s="66"/>
      <c r="AA15" s="75"/>
      <c r="AB15" s="109"/>
      <c r="AC15" s="75"/>
      <c r="AD15" s="75"/>
      <c r="AE15" s="75"/>
      <c r="AF15" s="108"/>
      <c r="AG15" s="120"/>
      <c r="AH15" s="107"/>
      <c r="AI15" s="106"/>
      <c r="AJ15" s="108"/>
      <c r="AK15" s="115"/>
      <c r="AL15" s="117"/>
      <c r="AM15" s="6"/>
      <c r="AN15" s="118"/>
      <c r="AO15" s="87"/>
    </row>
    <row r="16" spans="3:41" ht="19" thickBot="1" x14ac:dyDescent="0.5">
      <c r="C16" s="86"/>
      <c r="D16" s="69" t="s">
        <v>59</v>
      </c>
      <c r="E16" s="70">
        <v>1.44</v>
      </c>
      <c r="F16" s="214" t="s">
        <v>182</v>
      </c>
      <c r="G16" s="5"/>
      <c r="H16" s="242" t="s">
        <v>55</v>
      </c>
      <c r="I16" s="243"/>
      <c r="J16" s="217" t="s">
        <v>182</v>
      </c>
      <c r="K16" s="79"/>
      <c r="L16" s="79"/>
      <c r="M16" s="250"/>
      <c r="N16" s="110"/>
      <c r="O16" s="79"/>
      <c r="P16" s="79"/>
      <c r="Q16" s="82"/>
      <c r="R16" s="114"/>
      <c r="S16" s="109"/>
      <c r="T16" s="75"/>
      <c r="U16" s="70"/>
      <c r="V16" s="75"/>
      <c r="W16" s="89"/>
      <c r="X16" s="15"/>
      <c r="Y16" s="15"/>
      <c r="Z16" s="66"/>
      <c r="AA16" s="75"/>
      <c r="AB16" s="109"/>
      <c r="AC16" s="75"/>
      <c r="AD16" s="75"/>
      <c r="AE16" s="75"/>
      <c r="AF16" s="70"/>
      <c r="AG16" s="120"/>
      <c r="AH16" s="107"/>
      <c r="AI16" s="75"/>
      <c r="AJ16" s="70"/>
      <c r="AK16" s="79"/>
      <c r="AL16" s="110"/>
      <c r="AM16" s="6"/>
      <c r="AN16" s="82"/>
      <c r="AO16" s="87"/>
    </row>
    <row r="17" spans="3:41" ht="18.5" x14ac:dyDescent="0.45">
      <c r="C17" s="86"/>
      <c r="D17" s="69" t="s">
        <v>60</v>
      </c>
      <c r="E17" s="70"/>
      <c r="F17" s="214" t="s">
        <v>197</v>
      </c>
      <c r="G17" s="5"/>
      <c r="H17" s="76"/>
      <c r="I17" s="244"/>
      <c r="J17" s="214" t="s">
        <v>182</v>
      </c>
      <c r="K17" s="79"/>
      <c r="L17" s="79"/>
      <c r="M17" s="250"/>
      <c r="N17" s="110"/>
      <c r="O17" s="79"/>
      <c r="P17" s="79"/>
      <c r="Q17" s="82"/>
      <c r="R17" s="114"/>
      <c r="S17" s="109"/>
      <c r="T17" s="75"/>
      <c r="U17" s="70"/>
      <c r="V17" s="75"/>
      <c r="W17" s="89"/>
      <c r="X17" s="15"/>
      <c r="Y17" s="15"/>
      <c r="Z17" s="66"/>
      <c r="AA17" s="75"/>
      <c r="AB17" s="109"/>
      <c r="AC17" s="75"/>
      <c r="AD17" s="75"/>
      <c r="AE17" s="75"/>
      <c r="AF17" s="70"/>
      <c r="AG17" s="120"/>
      <c r="AH17" s="107"/>
      <c r="AI17" s="75"/>
      <c r="AJ17" s="70"/>
      <c r="AK17" s="79"/>
      <c r="AL17" s="110"/>
      <c r="AM17" s="6"/>
      <c r="AN17" s="82"/>
      <c r="AO17" s="87"/>
    </row>
    <row r="18" spans="3:41" ht="18.5" x14ac:dyDescent="0.45">
      <c r="C18" s="86"/>
      <c r="D18" s="71" t="s">
        <v>61</v>
      </c>
      <c r="E18" s="70"/>
      <c r="F18" s="214" t="s">
        <v>197</v>
      </c>
      <c r="G18" s="5"/>
      <c r="H18" s="77"/>
      <c r="I18" s="244"/>
      <c r="J18" s="214" t="s">
        <v>182</v>
      </c>
      <c r="K18" s="79"/>
      <c r="L18" s="79"/>
      <c r="M18" s="250"/>
      <c r="N18" s="110"/>
      <c r="O18" s="79"/>
      <c r="P18" s="79"/>
      <c r="Q18" s="82"/>
      <c r="R18" s="114"/>
      <c r="S18" s="109"/>
      <c r="T18" s="75"/>
      <c r="U18" s="70"/>
      <c r="V18" s="75"/>
      <c r="W18" s="89"/>
      <c r="X18" s="15"/>
      <c r="Y18" s="15"/>
      <c r="Z18" s="66"/>
      <c r="AA18" s="75"/>
      <c r="AB18" s="109"/>
      <c r="AC18" s="75"/>
      <c r="AD18" s="75"/>
      <c r="AE18" s="75"/>
      <c r="AF18" s="70"/>
      <c r="AG18" s="120"/>
      <c r="AH18" s="107"/>
      <c r="AI18" s="75"/>
      <c r="AJ18" s="70"/>
      <c r="AK18" s="79"/>
      <c r="AL18" s="110"/>
      <c r="AM18" s="6"/>
      <c r="AN18" s="82"/>
      <c r="AO18" s="87"/>
    </row>
    <row r="19" spans="3:41" ht="18.5" x14ac:dyDescent="0.45">
      <c r="C19" s="86"/>
      <c r="D19" s="69" t="s">
        <v>62</v>
      </c>
      <c r="E19" s="70"/>
      <c r="F19" s="214" t="s">
        <v>197</v>
      </c>
      <c r="G19" s="5"/>
      <c r="H19" s="77"/>
      <c r="I19" s="244"/>
      <c r="J19" s="214" t="s">
        <v>182</v>
      </c>
      <c r="K19" s="79"/>
      <c r="L19" s="79"/>
      <c r="M19" s="250"/>
      <c r="N19" s="110"/>
      <c r="O19" s="79"/>
      <c r="P19" s="79"/>
      <c r="Q19" s="82"/>
      <c r="R19" s="114"/>
      <c r="S19" s="109"/>
      <c r="T19" s="75"/>
      <c r="U19" s="70"/>
      <c r="V19" s="75"/>
      <c r="W19" s="89"/>
      <c r="X19" s="15"/>
      <c r="Y19" s="15"/>
      <c r="Z19" s="66"/>
      <c r="AA19" s="75"/>
      <c r="AB19" s="109"/>
      <c r="AC19" s="75"/>
      <c r="AD19" s="75"/>
      <c r="AE19" s="75"/>
      <c r="AF19" s="70"/>
      <c r="AG19" s="120"/>
      <c r="AH19" s="107"/>
      <c r="AI19" s="75"/>
      <c r="AJ19" s="70"/>
      <c r="AK19" s="79"/>
      <c r="AL19" s="110"/>
      <c r="AM19" s="6"/>
      <c r="AN19" s="82"/>
      <c r="AO19" s="87"/>
    </row>
    <row r="20" spans="3:41" ht="18.5" x14ac:dyDescent="0.45">
      <c r="C20" s="86"/>
      <c r="D20" s="71" t="s">
        <v>63</v>
      </c>
      <c r="E20" s="70"/>
      <c r="F20" s="214" t="s">
        <v>197</v>
      </c>
      <c r="G20" s="5"/>
      <c r="H20" s="77"/>
      <c r="I20" s="244"/>
      <c r="J20" s="214" t="s">
        <v>182</v>
      </c>
      <c r="K20" s="79"/>
      <c r="L20" s="79"/>
      <c r="M20" s="245"/>
      <c r="N20" s="110"/>
      <c r="O20" s="79"/>
      <c r="P20" s="79"/>
      <c r="Q20" s="82"/>
      <c r="R20" s="114"/>
      <c r="S20" s="109"/>
      <c r="T20" s="75"/>
      <c r="U20" s="70"/>
      <c r="V20" s="75"/>
      <c r="W20" s="89"/>
      <c r="X20" s="15"/>
      <c r="Y20" s="15"/>
      <c r="Z20" s="66"/>
      <c r="AA20" s="75"/>
      <c r="AB20" s="109"/>
      <c r="AC20" s="75"/>
      <c r="AD20" s="75"/>
      <c r="AE20" s="75"/>
      <c r="AF20" s="70"/>
      <c r="AG20" s="120"/>
      <c r="AH20" s="107"/>
      <c r="AI20" s="75"/>
      <c r="AJ20" s="70"/>
      <c r="AK20" s="79"/>
      <c r="AL20" s="110"/>
      <c r="AM20" s="6"/>
      <c r="AN20" s="82"/>
      <c r="AO20" s="87"/>
    </row>
    <row r="21" spans="3:41" ht="18.5" x14ac:dyDescent="0.45">
      <c r="C21" s="86"/>
      <c r="D21" s="71" t="s">
        <v>64</v>
      </c>
      <c r="E21" s="143">
        <v>0.57999999999999996</v>
      </c>
      <c r="F21" s="214" t="s">
        <v>182</v>
      </c>
      <c r="G21" s="5"/>
      <c r="H21" s="110"/>
      <c r="I21" s="244"/>
      <c r="J21" s="214" t="s">
        <v>182</v>
      </c>
      <c r="K21" s="79"/>
      <c r="L21" s="79"/>
      <c r="M21" s="245"/>
      <c r="N21" s="110"/>
      <c r="O21" s="79"/>
      <c r="P21" s="79"/>
      <c r="Q21" s="82"/>
      <c r="R21" s="114"/>
      <c r="S21" s="109"/>
      <c r="T21" s="75"/>
      <c r="U21" s="70"/>
      <c r="V21" s="75"/>
      <c r="W21" s="89"/>
      <c r="X21" s="15"/>
      <c r="Y21" s="15"/>
      <c r="Z21" s="66"/>
      <c r="AA21" s="75"/>
      <c r="AB21" s="109"/>
      <c r="AC21" s="75"/>
      <c r="AD21" s="75"/>
      <c r="AE21" s="75"/>
      <c r="AF21" s="70"/>
      <c r="AG21" s="120"/>
      <c r="AH21" s="107"/>
      <c r="AI21" s="75"/>
      <c r="AJ21" s="70"/>
      <c r="AK21" s="79"/>
      <c r="AL21" s="110"/>
      <c r="AM21" s="6"/>
      <c r="AN21" s="82"/>
      <c r="AO21" s="87"/>
    </row>
    <row r="22" spans="3:41" ht="18.5" x14ac:dyDescent="0.45">
      <c r="C22" s="86"/>
      <c r="D22" s="71" t="s">
        <v>65</v>
      </c>
      <c r="E22" s="70"/>
      <c r="F22" s="214" t="s">
        <v>182</v>
      </c>
      <c r="G22" s="5"/>
      <c r="H22" s="110"/>
      <c r="I22" s="244"/>
      <c r="J22" s="214" t="s">
        <v>182</v>
      </c>
      <c r="K22" s="79"/>
      <c r="L22" s="79"/>
      <c r="M22" s="245"/>
      <c r="N22" s="110"/>
      <c r="O22" s="79"/>
      <c r="P22" s="79"/>
      <c r="Q22" s="82"/>
      <c r="R22" s="114"/>
      <c r="S22" s="109"/>
      <c r="T22" s="75"/>
      <c r="U22" s="70"/>
      <c r="V22" s="75"/>
      <c r="W22" s="89"/>
      <c r="X22" s="15"/>
      <c r="Y22" s="15"/>
      <c r="Z22" s="66"/>
      <c r="AA22" s="75"/>
      <c r="AB22" s="109"/>
      <c r="AC22" s="75"/>
      <c r="AD22" s="75"/>
      <c r="AE22" s="75"/>
      <c r="AF22" s="70"/>
      <c r="AG22" s="120"/>
      <c r="AH22" s="107"/>
      <c r="AI22" s="75"/>
      <c r="AJ22" s="70"/>
      <c r="AK22" s="79"/>
      <c r="AL22" s="110"/>
      <c r="AM22" s="6"/>
      <c r="AN22" s="82"/>
      <c r="AO22" s="87"/>
    </row>
    <row r="23" spans="3:41" ht="18.5" x14ac:dyDescent="0.45">
      <c r="C23" s="86"/>
      <c r="D23" s="71" t="s">
        <v>66</v>
      </c>
      <c r="E23" s="70"/>
      <c r="F23" s="214" t="s">
        <v>182</v>
      </c>
      <c r="G23" s="5"/>
      <c r="H23" s="110"/>
      <c r="I23" s="245"/>
      <c r="J23" s="214" t="s">
        <v>182</v>
      </c>
      <c r="K23" s="79"/>
      <c r="L23" s="79"/>
      <c r="M23" s="245"/>
      <c r="N23" s="110"/>
      <c r="O23" s="79"/>
      <c r="P23" s="79"/>
      <c r="Q23" s="82"/>
      <c r="R23" s="114"/>
      <c r="S23" s="109"/>
      <c r="T23" s="75"/>
      <c r="U23" s="70"/>
      <c r="V23" s="75"/>
      <c r="W23" s="89"/>
      <c r="X23" s="15"/>
      <c r="Y23" s="15"/>
      <c r="Z23" s="66"/>
      <c r="AA23" s="75"/>
      <c r="AB23" s="109"/>
      <c r="AC23" s="75"/>
      <c r="AD23" s="75"/>
      <c r="AE23" s="75"/>
      <c r="AF23" s="70"/>
      <c r="AG23" s="120"/>
      <c r="AH23" s="107"/>
      <c r="AI23" s="75"/>
      <c r="AJ23" s="70"/>
      <c r="AK23" s="79"/>
      <c r="AL23" s="110"/>
      <c r="AM23" s="6"/>
      <c r="AN23" s="82"/>
      <c r="AO23" s="87"/>
    </row>
    <row r="24" spans="3:41" ht="18.5" x14ac:dyDescent="0.45">
      <c r="C24" s="86"/>
      <c r="D24" s="132" t="s">
        <v>86</v>
      </c>
      <c r="E24" s="92"/>
      <c r="F24" s="214" t="s">
        <v>182</v>
      </c>
      <c r="G24" s="11"/>
      <c r="H24" s="110"/>
      <c r="I24" s="245"/>
      <c r="J24" s="214" t="s">
        <v>182</v>
      </c>
      <c r="K24" s="79"/>
      <c r="L24" s="79"/>
      <c r="M24" s="245"/>
      <c r="N24" s="110"/>
      <c r="O24" s="79"/>
      <c r="P24" s="79"/>
      <c r="Q24" s="82"/>
      <c r="R24" s="114"/>
      <c r="S24" s="109"/>
      <c r="T24" s="75"/>
      <c r="U24" s="70"/>
      <c r="V24" s="75"/>
      <c r="W24" s="89"/>
      <c r="X24" s="15"/>
      <c r="Y24" s="15"/>
      <c r="Z24" s="66"/>
      <c r="AA24" s="75"/>
      <c r="AB24" s="109"/>
      <c r="AC24" s="75"/>
      <c r="AD24" s="75"/>
      <c r="AE24" s="75"/>
      <c r="AF24" s="70"/>
      <c r="AG24" s="120"/>
      <c r="AH24" s="107"/>
      <c r="AI24" s="75"/>
      <c r="AJ24" s="70"/>
      <c r="AK24" s="79"/>
      <c r="AL24" s="110"/>
      <c r="AM24" s="6"/>
      <c r="AN24" s="82"/>
      <c r="AO24" s="87"/>
    </row>
    <row r="25" spans="3:41" ht="18.5" x14ac:dyDescent="0.45">
      <c r="C25" s="86"/>
      <c r="D25" s="132" t="s">
        <v>87</v>
      </c>
      <c r="E25" s="92"/>
      <c r="F25" s="214" t="s">
        <v>182</v>
      </c>
      <c r="G25" s="11"/>
      <c r="H25" s="110"/>
      <c r="I25" s="245"/>
      <c r="J25" s="214" t="s">
        <v>182</v>
      </c>
      <c r="K25" s="79"/>
      <c r="L25" s="79"/>
      <c r="M25" s="245"/>
      <c r="N25" s="110"/>
      <c r="O25" s="79"/>
      <c r="P25" s="79"/>
      <c r="Q25" s="82"/>
      <c r="R25" s="114"/>
      <c r="S25" s="119"/>
      <c r="T25" s="120"/>
      <c r="U25" s="121"/>
      <c r="V25" s="120"/>
      <c r="W25" s="119"/>
      <c r="X25" s="120"/>
      <c r="Y25" s="120"/>
      <c r="Z25" s="121"/>
      <c r="AA25" s="120"/>
      <c r="AB25" s="119"/>
      <c r="AC25" s="120"/>
      <c r="AD25" s="120"/>
      <c r="AE25" s="120"/>
      <c r="AF25" s="121"/>
      <c r="AG25" s="120"/>
      <c r="AH25" s="107"/>
      <c r="AI25" s="75"/>
      <c r="AJ25" s="70"/>
      <c r="AK25" s="79"/>
      <c r="AL25" s="110"/>
      <c r="AM25" s="6"/>
      <c r="AN25" s="82"/>
      <c r="AO25" s="87"/>
    </row>
    <row r="26" spans="3:41" ht="19" thickBot="1" x14ac:dyDescent="0.5">
      <c r="C26" s="86"/>
      <c r="D26" s="133" t="s">
        <v>88</v>
      </c>
      <c r="E26" s="65"/>
      <c r="F26" s="215" t="s">
        <v>182</v>
      </c>
      <c r="G26" s="5"/>
      <c r="H26" s="110"/>
      <c r="I26" s="245"/>
      <c r="J26" s="214" t="s">
        <v>182</v>
      </c>
      <c r="K26" s="79"/>
      <c r="L26" s="79"/>
      <c r="M26" s="245"/>
      <c r="N26" s="110"/>
      <c r="O26" s="79"/>
      <c r="P26" s="79"/>
      <c r="Q26" s="82"/>
      <c r="R26" s="114"/>
      <c r="S26" s="119"/>
      <c r="T26" s="120"/>
      <c r="U26" s="121"/>
      <c r="V26" s="120"/>
      <c r="W26" s="119"/>
      <c r="X26" s="120"/>
      <c r="Y26" s="120"/>
      <c r="Z26" s="121"/>
      <c r="AA26" s="120"/>
      <c r="AB26" s="119"/>
      <c r="AC26" s="120"/>
      <c r="AD26" s="120"/>
      <c r="AE26" s="120"/>
      <c r="AF26" s="121"/>
      <c r="AG26" s="120"/>
      <c r="AH26" s="107"/>
      <c r="AI26" s="75"/>
      <c r="AJ26" s="70"/>
      <c r="AK26" s="79"/>
      <c r="AL26" s="110"/>
      <c r="AM26" s="6"/>
      <c r="AN26" s="82"/>
      <c r="AO26" s="87"/>
    </row>
    <row r="27" spans="3:41" ht="19" thickBot="1" x14ac:dyDescent="0.5">
      <c r="C27" s="86"/>
      <c r="D27" s="133" t="s">
        <v>109</v>
      </c>
      <c r="E27" s="72">
        <f>Systemblatt!C11</f>
        <v>8000</v>
      </c>
      <c r="F27" s="215" t="s">
        <v>184</v>
      </c>
      <c r="G27" s="5"/>
      <c r="H27" s="111"/>
      <c r="I27" s="246"/>
      <c r="J27" s="215" t="s">
        <v>182</v>
      </c>
      <c r="K27" s="79"/>
      <c r="L27" s="79"/>
      <c r="M27" s="246"/>
      <c r="N27" s="111"/>
      <c r="O27" s="80"/>
      <c r="P27" s="80"/>
      <c r="Q27" s="81"/>
      <c r="R27" s="114"/>
      <c r="S27" s="122"/>
      <c r="T27" s="123"/>
      <c r="U27" s="124"/>
      <c r="V27" s="120"/>
      <c r="W27" s="122"/>
      <c r="X27" s="123"/>
      <c r="Y27" s="123"/>
      <c r="Z27" s="124"/>
      <c r="AA27" s="120"/>
      <c r="AB27" s="122"/>
      <c r="AC27" s="123"/>
      <c r="AD27" s="123"/>
      <c r="AE27" s="123"/>
      <c r="AF27" s="124"/>
      <c r="AG27" s="120"/>
      <c r="AH27" s="134"/>
      <c r="AI27" s="113"/>
      <c r="AJ27" s="72"/>
      <c r="AK27" s="79"/>
      <c r="AL27" s="111"/>
      <c r="AM27" s="135"/>
      <c r="AN27" s="81"/>
      <c r="AO27" s="87"/>
    </row>
    <row r="28" spans="3:41" ht="15.5" x14ac:dyDescent="0.35">
      <c r="C28" s="8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7"/>
    </row>
    <row r="29" spans="3:41" ht="15.5" x14ac:dyDescent="0.35">
      <c r="C29" s="8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7"/>
    </row>
    <row r="30" spans="3:41" ht="15.5" x14ac:dyDescent="0.35"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7"/>
    </row>
    <row r="31" spans="3:41" x14ac:dyDescent="0.35"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7"/>
    </row>
    <row r="32" spans="3:41" x14ac:dyDescent="0.35"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7"/>
    </row>
    <row r="33" spans="3:41" x14ac:dyDescent="0.35"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7"/>
    </row>
    <row r="34" spans="3:41" x14ac:dyDescent="0.35"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7"/>
    </row>
    <row r="35" spans="3:41" x14ac:dyDescent="0.35"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7"/>
    </row>
    <row r="36" spans="3:41" x14ac:dyDescent="0.35"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7"/>
    </row>
    <row r="37" spans="3:41" x14ac:dyDescent="0.35"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7"/>
    </row>
    <row r="38" spans="3:41" x14ac:dyDescent="0.35"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7"/>
    </row>
    <row r="39" spans="3:41" x14ac:dyDescent="0.35"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7"/>
    </row>
    <row r="40" spans="3:41" x14ac:dyDescent="0.35"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7"/>
    </row>
    <row r="41" spans="3:41" x14ac:dyDescent="0.35"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7"/>
    </row>
    <row r="42" spans="3:41" x14ac:dyDescent="0.35"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7"/>
    </row>
    <row r="43" spans="3:41" x14ac:dyDescent="0.35"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7"/>
    </row>
    <row r="44" spans="3:41" x14ac:dyDescent="0.35"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7"/>
    </row>
    <row r="45" spans="3:41" x14ac:dyDescent="0.35"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7"/>
    </row>
    <row r="46" spans="3:41" x14ac:dyDescent="0.35"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7"/>
    </row>
    <row r="47" spans="3:41" ht="15.5" x14ac:dyDescent="0.35">
      <c r="C47" s="86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7"/>
    </row>
    <row r="48" spans="3:41" x14ac:dyDescent="0.35">
      <c r="C48" s="86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7"/>
    </row>
    <row r="49" spans="3:41" x14ac:dyDescent="0.35">
      <c r="C49" s="8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7"/>
    </row>
    <row r="50" spans="3:41" x14ac:dyDescent="0.35">
      <c r="C50" s="86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7"/>
    </row>
    <row r="51" spans="3:41" x14ac:dyDescent="0.35">
      <c r="C51" s="86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7"/>
    </row>
    <row r="52" spans="3:41" x14ac:dyDescent="0.35">
      <c r="C52" s="86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7"/>
    </row>
    <row r="53" spans="3:41" x14ac:dyDescent="0.35">
      <c r="C53" s="86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7"/>
    </row>
    <row r="54" spans="3:41" x14ac:dyDescent="0.35">
      <c r="C54" s="86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7"/>
    </row>
    <row r="55" spans="3:41" x14ac:dyDescent="0.35"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7"/>
    </row>
    <row r="56" spans="3:41" x14ac:dyDescent="0.35"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7"/>
    </row>
    <row r="57" spans="3:41" x14ac:dyDescent="0.35"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7"/>
    </row>
    <row r="58" spans="3:41" x14ac:dyDescent="0.35"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7"/>
    </row>
    <row r="59" spans="3:41" x14ac:dyDescent="0.35"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7"/>
    </row>
    <row r="60" spans="3:41" x14ac:dyDescent="0.35"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7"/>
    </row>
    <row r="61" spans="3:41" x14ac:dyDescent="0.35"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7"/>
    </row>
    <row r="62" spans="3:41" x14ac:dyDescent="0.35"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7"/>
    </row>
    <row r="63" spans="3:41" x14ac:dyDescent="0.35"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7"/>
    </row>
    <row r="64" spans="3:41" x14ac:dyDescent="0.35"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7"/>
    </row>
    <row r="65" spans="3:41" x14ac:dyDescent="0.35"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7"/>
    </row>
    <row r="66" spans="3:41" x14ac:dyDescent="0.35"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7"/>
    </row>
    <row r="67" spans="3:41" x14ac:dyDescent="0.35"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7"/>
    </row>
    <row r="68" spans="3:41" x14ac:dyDescent="0.35"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7"/>
    </row>
    <row r="69" spans="3:41" x14ac:dyDescent="0.35">
      <c r="C69" s="86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7"/>
    </row>
    <row r="70" spans="3:41" ht="15" thickBot="1" x14ac:dyDescent="0.4">
      <c r="C70" s="7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  <c r="AI70" s="94"/>
      <c r="AJ70" s="94"/>
      <c r="AK70" s="88"/>
      <c r="AL70" s="88"/>
      <c r="AM70" s="88"/>
      <c r="AN70" s="88"/>
      <c r="AO70" s="65"/>
    </row>
    <row r="130" spans="18:18" x14ac:dyDescent="0.35">
      <c r="R130" s="3" t="s">
        <v>23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AB824399-FA72-AB45-9FD5-88B8FEE2A4B3}">
          <x14:formula1>
            <xm:f>Systemblatt!$E$5:$E$38</xm:f>
          </x14:formula1>
          <xm:sqref>AC10:AC27 AE10:AE27 AH10:AH27 T10:T27 I16:I27 N14:Q27 N12:Q12 N13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95"/>
      <c r="AJ2" s="95"/>
      <c r="AK2" s="91"/>
      <c r="AL2" s="91"/>
      <c r="AM2" s="91"/>
      <c r="AN2" s="91"/>
      <c r="AO2" s="96"/>
    </row>
    <row r="3" spans="3:41" x14ac:dyDescent="0.35">
      <c r="C3" s="86"/>
      <c r="D3" s="5"/>
      <c r="E3" s="5"/>
      <c r="F3" s="5"/>
      <c r="G3" s="5"/>
      <c r="H3" s="5"/>
      <c r="I3" s="5"/>
      <c r="J3" s="5" t="s">
        <v>22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7"/>
    </row>
    <row r="4" spans="3:41" x14ac:dyDescent="0.35"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7"/>
    </row>
    <row r="5" spans="3:41" x14ac:dyDescent="0.35"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7"/>
    </row>
    <row r="6" spans="3:41" x14ac:dyDescent="0.35">
      <c r="C6" s="86"/>
      <c r="D6" s="363"/>
      <c r="E6" s="363"/>
      <c r="F6" s="5"/>
      <c r="G6" s="5"/>
      <c r="H6" s="363"/>
      <c r="I6" s="363"/>
      <c r="J6" s="15"/>
      <c r="K6" s="15"/>
      <c r="L6" s="5"/>
      <c r="M6" s="363"/>
      <c r="N6" s="363"/>
      <c r="O6" s="363"/>
      <c r="P6" s="363"/>
      <c r="Q6" s="5"/>
      <c r="R6" s="5"/>
      <c r="S6" s="364"/>
      <c r="T6" s="364"/>
      <c r="U6" s="364"/>
      <c r="V6" s="364"/>
      <c r="W6" s="364"/>
      <c r="X6" s="364"/>
      <c r="Y6" s="364"/>
      <c r="Z6" s="364"/>
      <c r="AA6" s="364"/>
      <c r="AB6" s="364"/>
      <c r="AC6" s="364"/>
      <c r="AD6" s="364"/>
      <c r="AE6" s="364"/>
      <c r="AF6" s="364"/>
      <c r="AG6" s="11"/>
      <c r="AH6" s="11"/>
      <c r="AI6" s="11"/>
      <c r="AJ6" s="11"/>
      <c r="AK6" s="11"/>
      <c r="AL6" s="11"/>
      <c r="AM6" s="11"/>
      <c r="AN6" s="11"/>
      <c r="AO6" s="87"/>
    </row>
    <row r="7" spans="3:41" ht="15" thickBot="1" x14ac:dyDescent="0.4"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7"/>
    </row>
    <row r="8" spans="3:41" ht="24" thickBot="1" x14ac:dyDescent="0.6">
      <c r="C8" s="86"/>
      <c r="D8" s="344" t="s">
        <v>52</v>
      </c>
      <c r="E8" s="345"/>
      <c r="F8" s="346"/>
      <c r="G8" s="5"/>
      <c r="H8" s="347" t="s">
        <v>53</v>
      </c>
      <c r="I8" s="348"/>
      <c r="J8" s="349"/>
      <c r="K8" s="5"/>
      <c r="L8" s="5"/>
      <c r="M8" s="357" t="s">
        <v>72</v>
      </c>
      <c r="N8" s="358"/>
      <c r="O8" s="358"/>
      <c r="P8" s="358"/>
      <c r="Q8" s="359"/>
      <c r="R8" s="5"/>
      <c r="S8" s="351" t="s">
        <v>78</v>
      </c>
      <c r="T8" s="352"/>
      <c r="U8" s="353"/>
      <c r="V8" s="12"/>
      <c r="W8" s="354" t="s">
        <v>108</v>
      </c>
      <c r="X8" s="355"/>
      <c r="Y8" s="355"/>
      <c r="Z8" s="356"/>
      <c r="AA8" s="11"/>
      <c r="AB8" s="354" t="s">
        <v>85</v>
      </c>
      <c r="AC8" s="355"/>
      <c r="AD8" s="355"/>
      <c r="AE8" s="355"/>
      <c r="AF8" s="356"/>
      <c r="AG8" s="11"/>
      <c r="AH8" s="360" t="s">
        <v>5</v>
      </c>
      <c r="AI8" s="361"/>
      <c r="AJ8" s="362"/>
      <c r="AK8" s="98"/>
      <c r="AL8" s="360" t="s">
        <v>6</v>
      </c>
      <c r="AM8" s="361"/>
      <c r="AN8" s="362"/>
      <c r="AO8" s="87"/>
    </row>
    <row r="9" spans="3:41" ht="21.5" thickBot="1" x14ac:dyDescent="0.55000000000000004">
      <c r="C9" s="86"/>
      <c r="D9" s="73" t="s">
        <v>32</v>
      </c>
      <c r="E9" s="213" t="s">
        <v>0</v>
      </c>
      <c r="F9" s="216" t="s">
        <v>181</v>
      </c>
      <c r="G9" s="5"/>
      <c r="H9" s="99" t="s">
        <v>32</v>
      </c>
      <c r="I9" s="99" t="s">
        <v>54</v>
      </c>
      <c r="J9" s="74" t="s">
        <v>181</v>
      </c>
      <c r="K9" s="5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 t="s">
        <v>181</v>
      </c>
      <c r="S9" s="85" t="s">
        <v>79</v>
      </c>
      <c r="T9" s="85" t="s">
        <v>35</v>
      </c>
      <c r="U9" s="85" t="s">
        <v>80</v>
      </c>
      <c r="V9" s="13"/>
      <c r="W9" s="101" t="s">
        <v>104</v>
      </c>
      <c r="X9" s="203" t="s">
        <v>162</v>
      </c>
      <c r="Y9" s="203" t="s">
        <v>163</v>
      </c>
      <c r="Z9" s="201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11"/>
      <c r="AH9" s="142" t="s">
        <v>35</v>
      </c>
      <c r="AI9" s="142" t="s">
        <v>91</v>
      </c>
      <c r="AJ9" s="142" t="s">
        <v>0</v>
      </c>
      <c r="AK9" s="97"/>
      <c r="AL9" s="142" t="s">
        <v>91</v>
      </c>
      <c r="AM9" s="142" t="s">
        <v>92</v>
      </c>
      <c r="AN9" s="142" t="s">
        <v>93</v>
      </c>
      <c r="AO9" s="87"/>
    </row>
    <row r="10" spans="3:41" ht="18.5" x14ac:dyDescent="0.45">
      <c r="C10" s="86"/>
      <c r="D10" s="67" t="s">
        <v>1</v>
      </c>
      <c r="E10" s="68"/>
      <c r="F10" s="214" t="s">
        <v>182</v>
      </c>
      <c r="G10" s="5"/>
      <c r="H10" s="67" t="s">
        <v>2</v>
      </c>
      <c r="I10" s="68"/>
      <c r="J10" s="96" t="s">
        <v>182</v>
      </c>
      <c r="K10" s="5"/>
      <c r="L10" s="79"/>
      <c r="M10" s="67" t="s">
        <v>75</v>
      </c>
      <c r="N10" s="179"/>
      <c r="O10" s="179"/>
      <c r="P10" s="180"/>
      <c r="Q10" s="181"/>
      <c r="R10" s="5" t="s">
        <v>198</v>
      </c>
      <c r="S10" s="103"/>
      <c r="T10" s="104"/>
      <c r="U10" s="105"/>
      <c r="V10" s="106"/>
      <c r="W10" s="138"/>
      <c r="X10" s="83"/>
      <c r="Y10" s="139"/>
      <c r="Z10" s="137"/>
      <c r="AA10" s="75"/>
      <c r="AB10" s="136"/>
      <c r="AC10" s="83"/>
      <c r="AD10" s="139"/>
      <c r="AE10" s="83"/>
      <c r="AF10" s="137"/>
      <c r="AG10" s="120"/>
      <c r="AH10" s="126"/>
      <c r="AI10" s="125"/>
      <c r="AJ10" s="127"/>
      <c r="AK10" s="115"/>
      <c r="AL10" s="128"/>
      <c r="AM10" s="129"/>
      <c r="AN10" s="130"/>
      <c r="AO10" s="87"/>
    </row>
    <row r="11" spans="3:41" ht="19" thickBot="1" x14ac:dyDescent="0.5">
      <c r="C11" s="86"/>
      <c r="D11" s="69" t="s">
        <v>3</v>
      </c>
      <c r="E11" s="70"/>
      <c r="F11" s="214" t="s">
        <v>182</v>
      </c>
      <c r="G11" s="5"/>
      <c r="H11" s="69" t="s">
        <v>67</v>
      </c>
      <c r="I11" s="105"/>
      <c r="J11" s="87" t="s">
        <v>191</v>
      </c>
      <c r="K11" s="5"/>
      <c r="L11" s="79"/>
      <c r="M11" s="76" t="s">
        <v>76</v>
      </c>
      <c r="N11" s="125"/>
      <c r="O11" s="125"/>
      <c r="P11" s="79"/>
      <c r="Q11" s="127"/>
      <c r="R11" s="5" t="s">
        <v>192</v>
      </c>
      <c r="S11" s="103"/>
      <c r="T11" s="104"/>
      <c r="U11" s="105"/>
      <c r="V11" s="106"/>
      <c r="W11" s="109"/>
      <c r="X11" s="75"/>
      <c r="Y11" s="106"/>
      <c r="Z11" s="108"/>
      <c r="AA11" s="75"/>
      <c r="AB11" s="107"/>
      <c r="AC11" s="75"/>
      <c r="AD11" s="106"/>
      <c r="AE11" s="75"/>
      <c r="AF11" s="108"/>
      <c r="AG11" s="120"/>
      <c r="AH11" s="126"/>
      <c r="AI11" s="125"/>
      <c r="AJ11" s="127"/>
      <c r="AK11" s="115"/>
      <c r="AL11" s="116"/>
      <c r="AM11" s="6"/>
      <c r="AN11" s="131"/>
      <c r="AO11" s="87"/>
    </row>
    <row r="12" spans="3:41" ht="18.5" x14ac:dyDescent="0.45">
      <c r="C12" s="86"/>
      <c r="D12" s="69" t="s">
        <v>42</v>
      </c>
      <c r="E12" s="205" t="s">
        <v>24</v>
      </c>
      <c r="F12" s="214" t="s">
        <v>182</v>
      </c>
      <c r="G12" s="5"/>
      <c r="H12" s="69" t="s">
        <v>68</v>
      </c>
      <c r="I12" s="105"/>
      <c r="J12" s="87" t="str">
        <f>J15</f>
        <v>t/h</v>
      </c>
      <c r="K12" s="5"/>
      <c r="L12" s="79"/>
      <c r="M12" s="248" t="s">
        <v>77</v>
      </c>
      <c r="N12" s="256"/>
      <c r="O12" s="179"/>
      <c r="P12" s="180"/>
      <c r="Q12" s="181"/>
      <c r="R12" s="114"/>
      <c r="S12" s="126"/>
      <c r="T12" s="125"/>
      <c r="U12" s="127"/>
      <c r="V12" s="106"/>
      <c r="W12" s="109"/>
      <c r="X12" s="75"/>
      <c r="Y12" s="44"/>
      <c r="Z12" s="30"/>
      <c r="AA12" s="44"/>
      <c r="AB12" s="51"/>
      <c r="AC12" s="75"/>
      <c r="AD12" s="44"/>
      <c r="AE12" s="75"/>
      <c r="AF12" s="108"/>
      <c r="AG12" s="120"/>
      <c r="AH12" s="126"/>
      <c r="AI12" s="125"/>
      <c r="AJ12" s="127"/>
      <c r="AK12" s="115"/>
      <c r="AL12" s="116"/>
      <c r="AM12" s="6"/>
      <c r="AN12" s="131"/>
      <c r="AO12" s="87"/>
    </row>
    <row r="13" spans="3:41" ht="18.5" x14ac:dyDescent="0.45">
      <c r="C13" s="86"/>
      <c r="D13" s="69" t="s">
        <v>56</v>
      </c>
      <c r="F13" s="214" t="s">
        <v>182</v>
      </c>
      <c r="G13" s="5"/>
      <c r="H13" s="69" t="s">
        <v>69</v>
      </c>
      <c r="I13" s="105"/>
      <c r="J13" s="87" t="s">
        <v>182</v>
      </c>
      <c r="K13" s="5"/>
      <c r="L13" s="79"/>
      <c r="M13" s="249"/>
      <c r="N13" s="126"/>
      <c r="O13" s="75"/>
      <c r="P13" s="75"/>
      <c r="Q13" s="70"/>
      <c r="R13" s="114"/>
      <c r="S13" s="119"/>
      <c r="T13" s="120"/>
      <c r="U13" s="121"/>
      <c r="V13" s="44"/>
      <c r="W13" s="109"/>
      <c r="X13" s="75"/>
      <c r="Y13" s="44"/>
      <c r="Z13" s="30"/>
      <c r="AA13" s="44"/>
      <c r="AB13" s="51"/>
      <c r="AC13" s="75"/>
      <c r="AD13" s="44"/>
      <c r="AE13" s="75"/>
      <c r="AF13" s="108"/>
      <c r="AG13" s="120"/>
      <c r="AH13" s="107"/>
      <c r="AI13" s="106"/>
      <c r="AJ13" s="108"/>
      <c r="AK13" s="115"/>
      <c r="AL13" s="117"/>
      <c r="AM13" s="6"/>
      <c r="AN13" s="118"/>
      <c r="AO13" s="87"/>
    </row>
    <row r="14" spans="3:41" ht="18.5" x14ac:dyDescent="0.45"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/>
      <c r="J14" s="87" t="s">
        <v>194</v>
      </c>
      <c r="K14" s="5"/>
      <c r="L14" s="79"/>
      <c r="M14" s="250"/>
      <c r="N14" s="110"/>
      <c r="O14" s="79"/>
      <c r="P14" s="79"/>
      <c r="Q14" s="82"/>
      <c r="R14" s="114"/>
      <c r="S14" s="51"/>
      <c r="T14" s="75"/>
      <c r="U14" s="30"/>
      <c r="V14" s="44"/>
      <c r="W14" s="109"/>
      <c r="X14" s="75"/>
      <c r="Y14" s="44"/>
      <c r="Z14" s="30"/>
      <c r="AA14" s="44"/>
      <c r="AB14" s="51"/>
      <c r="AC14" s="75"/>
      <c r="AD14" s="44"/>
      <c r="AE14" s="75"/>
      <c r="AF14" s="108"/>
      <c r="AG14" s="120"/>
      <c r="AH14" s="107"/>
      <c r="AI14" s="106"/>
      <c r="AJ14" s="108"/>
      <c r="AK14" s="115"/>
      <c r="AL14" s="117"/>
      <c r="AM14" s="6"/>
      <c r="AN14" s="118"/>
      <c r="AO14" s="87"/>
    </row>
    <row r="15" spans="3:41" ht="19" thickBot="1" x14ac:dyDescent="0.5">
      <c r="C15" s="86"/>
      <c r="D15" s="69" t="s">
        <v>58</v>
      </c>
      <c r="E15" s="70">
        <v>2.6</v>
      </c>
      <c r="F15" s="214" t="s">
        <v>182</v>
      </c>
      <c r="G15" s="5"/>
      <c r="H15" s="76" t="s">
        <v>71</v>
      </c>
      <c r="I15" s="70"/>
      <c r="J15" s="87" t="s">
        <v>192</v>
      </c>
      <c r="K15" s="5"/>
      <c r="L15" s="79"/>
      <c r="M15" s="250"/>
      <c r="N15" s="110"/>
      <c r="O15" s="79"/>
      <c r="P15" s="79"/>
      <c r="Q15" s="82"/>
      <c r="R15" s="114"/>
      <c r="S15" s="51"/>
      <c r="T15" s="75"/>
      <c r="U15" s="30"/>
      <c r="V15" s="44"/>
      <c r="W15" s="89"/>
      <c r="X15" s="15"/>
      <c r="Y15" s="15"/>
      <c r="Z15" s="66"/>
      <c r="AA15" s="75"/>
      <c r="AB15" s="109"/>
      <c r="AC15" s="75"/>
      <c r="AD15" s="75"/>
      <c r="AE15" s="75"/>
      <c r="AF15" s="108"/>
      <c r="AG15" s="120"/>
      <c r="AH15" s="107"/>
      <c r="AI15" s="106"/>
      <c r="AJ15" s="108"/>
      <c r="AK15" s="115"/>
      <c r="AL15" s="117"/>
      <c r="AM15" s="6"/>
      <c r="AN15" s="118"/>
      <c r="AO15" s="87"/>
    </row>
    <row r="16" spans="3:41" ht="19" thickBot="1" x14ac:dyDescent="0.5">
      <c r="C16" s="86"/>
      <c r="D16" s="69" t="s">
        <v>59</v>
      </c>
      <c r="E16" s="70">
        <v>1.44</v>
      </c>
      <c r="F16" s="214" t="s">
        <v>182</v>
      </c>
      <c r="G16" s="5"/>
      <c r="H16" s="242" t="s">
        <v>55</v>
      </c>
      <c r="I16" s="243"/>
      <c r="J16" s="217" t="s">
        <v>182</v>
      </c>
      <c r="K16" s="5"/>
      <c r="L16" s="79"/>
      <c r="M16" s="250"/>
      <c r="N16" s="110"/>
      <c r="O16" s="79"/>
      <c r="P16" s="79"/>
      <c r="Q16" s="82"/>
      <c r="R16" s="114"/>
      <c r="S16" s="109"/>
      <c r="T16" s="75"/>
      <c r="U16" s="70"/>
      <c r="V16" s="75"/>
      <c r="W16" s="89"/>
      <c r="X16" s="15"/>
      <c r="Y16" s="15"/>
      <c r="Z16" s="66"/>
      <c r="AA16" s="75"/>
      <c r="AB16" s="109"/>
      <c r="AC16" s="75"/>
      <c r="AD16" s="75"/>
      <c r="AE16" s="75"/>
      <c r="AF16" s="70"/>
      <c r="AG16" s="120"/>
      <c r="AH16" s="107"/>
      <c r="AI16" s="75"/>
      <c r="AJ16" s="70"/>
      <c r="AK16" s="79"/>
      <c r="AL16" s="110"/>
      <c r="AM16" s="6"/>
      <c r="AN16" s="82"/>
      <c r="AO16" s="87"/>
    </row>
    <row r="17" spans="3:41" ht="18.5" x14ac:dyDescent="0.45">
      <c r="C17" s="86"/>
      <c r="D17" s="69" t="s">
        <v>60</v>
      </c>
      <c r="E17" s="70"/>
      <c r="F17" s="214" t="s">
        <v>197</v>
      </c>
      <c r="G17" s="5"/>
      <c r="H17" s="76"/>
      <c r="I17" s="244"/>
      <c r="J17" s="214" t="s">
        <v>182</v>
      </c>
      <c r="K17" s="5"/>
      <c r="L17" s="79"/>
      <c r="M17" s="250"/>
      <c r="N17" s="110"/>
      <c r="O17" s="79"/>
      <c r="P17" s="79"/>
      <c r="Q17" s="82"/>
      <c r="R17" s="114"/>
      <c r="S17" s="109"/>
      <c r="T17" s="75"/>
      <c r="U17" s="70"/>
      <c r="V17" s="75"/>
      <c r="W17" s="89"/>
      <c r="X17" s="15"/>
      <c r="Y17" s="15"/>
      <c r="Z17" s="66"/>
      <c r="AA17" s="75"/>
      <c r="AB17" s="109"/>
      <c r="AC17" s="75"/>
      <c r="AD17" s="75"/>
      <c r="AE17" s="75"/>
      <c r="AF17" s="70"/>
      <c r="AG17" s="120"/>
      <c r="AH17" s="107"/>
      <c r="AI17" s="75"/>
      <c r="AJ17" s="70"/>
      <c r="AK17" s="79"/>
      <c r="AL17" s="110"/>
      <c r="AM17" s="6"/>
      <c r="AN17" s="82"/>
      <c r="AO17" s="87"/>
    </row>
    <row r="18" spans="3:41" ht="18.5" x14ac:dyDescent="0.45">
      <c r="C18" s="86"/>
      <c r="D18" s="71" t="s">
        <v>61</v>
      </c>
      <c r="E18" s="70"/>
      <c r="F18" s="214" t="s">
        <v>197</v>
      </c>
      <c r="G18" s="5"/>
      <c r="H18" s="77"/>
      <c r="I18" s="244"/>
      <c r="J18" s="214" t="s">
        <v>182</v>
      </c>
      <c r="K18" s="5"/>
      <c r="L18" s="79"/>
      <c r="M18" s="250"/>
      <c r="N18" s="110"/>
      <c r="O18" s="79"/>
      <c r="P18" s="79"/>
      <c r="Q18" s="82"/>
      <c r="R18" s="114"/>
      <c r="S18" s="109"/>
      <c r="T18" s="75"/>
      <c r="U18" s="70"/>
      <c r="V18" s="75"/>
      <c r="W18" s="89"/>
      <c r="X18" s="15"/>
      <c r="Y18" s="15"/>
      <c r="Z18" s="66"/>
      <c r="AA18" s="75"/>
      <c r="AB18" s="109"/>
      <c r="AC18" s="75"/>
      <c r="AD18" s="75"/>
      <c r="AE18" s="75"/>
      <c r="AF18" s="70"/>
      <c r="AG18" s="120"/>
      <c r="AH18" s="107"/>
      <c r="AI18" s="75"/>
      <c r="AJ18" s="70"/>
      <c r="AK18" s="79"/>
      <c r="AL18" s="110"/>
      <c r="AM18" s="6"/>
      <c r="AN18" s="82"/>
      <c r="AO18" s="87"/>
    </row>
    <row r="19" spans="3:41" ht="18.5" x14ac:dyDescent="0.45">
      <c r="C19" s="86"/>
      <c r="D19" s="69" t="s">
        <v>62</v>
      </c>
      <c r="E19" s="70"/>
      <c r="F19" s="214" t="s">
        <v>197</v>
      </c>
      <c r="G19" s="5"/>
      <c r="H19" s="77"/>
      <c r="I19" s="244"/>
      <c r="J19" s="214" t="s">
        <v>182</v>
      </c>
      <c r="K19" s="5"/>
      <c r="L19" s="79"/>
      <c r="M19" s="250"/>
      <c r="N19" s="110"/>
      <c r="O19" s="79"/>
      <c r="P19" s="79"/>
      <c r="Q19" s="82"/>
      <c r="R19" s="114"/>
      <c r="S19" s="109"/>
      <c r="T19" s="75"/>
      <c r="U19" s="70"/>
      <c r="V19" s="75"/>
      <c r="W19" s="89"/>
      <c r="X19" s="15"/>
      <c r="Y19" s="15"/>
      <c r="Z19" s="66"/>
      <c r="AA19" s="75"/>
      <c r="AB19" s="109"/>
      <c r="AC19" s="75"/>
      <c r="AD19" s="75"/>
      <c r="AE19" s="75"/>
      <c r="AF19" s="70"/>
      <c r="AG19" s="120"/>
      <c r="AH19" s="107"/>
      <c r="AI19" s="75"/>
      <c r="AJ19" s="70"/>
      <c r="AK19" s="79"/>
      <c r="AL19" s="110"/>
      <c r="AM19" s="6"/>
      <c r="AN19" s="82"/>
      <c r="AO19" s="87"/>
    </row>
    <row r="20" spans="3:41" ht="18.5" x14ac:dyDescent="0.45">
      <c r="C20" s="86"/>
      <c r="D20" s="71" t="s">
        <v>63</v>
      </c>
      <c r="E20" s="70"/>
      <c r="F20" s="214" t="s">
        <v>197</v>
      </c>
      <c r="G20" s="5"/>
      <c r="H20" s="77"/>
      <c r="I20" s="244"/>
      <c r="J20" s="214" t="s">
        <v>182</v>
      </c>
      <c r="K20" s="5"/>
      <c r="L20" s="79"/>
      <c r="M20" s="245"/>
      <c r="N20" s="110"/>
      <c r="O20" s="79"/>
      <c r="P20" s="79"/>
      <c r="Q20" s="82"/>
      <c r="R20" s="114"/>
      <c r="S20" s="109"/>
      <c r="T20" s="75"/>
      <c r="U20" s="70"/>
      <c r="V20" s="75"/>
      <c r="W20" s="89"/>
      <c r="X20" s="15"/>
      <c r="Y20" s="15"/>
      <c r="Z20" s="66"/>
      <c r="AA20" s="75"/>
      <c r="AB20" s="109"/>
      <c r="AC20" s="75"/>
      <c r="AD20" s="75"/>
      <c r="AE20" s="75"/>
      <c r="AF20" s="70"/>
      <c r="AG20" s="120"/>
      <c r="AH20" s="107"/>
      <c r="AI20" s="75"/>
      <c r="AJ20" s="70"/>
      <c r="AK20" s="79"/>
      <c r="AL20" s="110"/>
      <c r="AM20" s="6"/>
      <c r="AN20" s="82"/>
      <c r="AO20" s="87"/>
    </row>
    <row r="21" spans="3:41" ht="18.5" x14ac:dyDescent="0.45">
      <c r="C21" s="86"/>
      <c r="D21" s="71" t="s">
        <v>64</v>
      </c>
      <c r="E21" s="143">
        <v>0.83</v>
      </c>
      <c r="F21" s="214" t="s">
        <v>182</v>
      </c>
      <c r="G21" s="5"/>
      <c r="H21" s="110"/>
      <c r="I21" s="244"/>
      <c r="J21" s="214" t="s">
        <v>182</v>
      </c>
      <c r="K21" s="5"/>
      <c r="L21" s="79"/>
      <c r="M21" s="245"/>
      <c r="N21" s="110"/>
      <c r="O21" s="79"/>
      <c r="P21" s="79"/>
      <c r="Q21" s="82"/>
      <c r="R21" s="114"/>
      <c r="S21" s="109"/>
      <c r="T21" s="75"/>
      <c r="U21" s="70"/>
      <c r="V21" s="75"/>
      <c r="W21" s="89"/>
      <c r="X21" s="15"/>
      <c r="Y21" s="15"/>
      <c r="Z21" s="66"/>
      <c r="AA21" s="75"/>
      <c r="AB21" s="109"/>
      <c r="AC21" s="75"/>
      <c r="AD21" s="75"/>
      <c r="AE21" s="75"/>
      <c r="AF21" s="70"/>
      <c r="AG21" s="120"/>
      <c r="AH21" s="107"/>
      <c r="AI21" s="75"/>
      <c r="AJ21" s="70"/>
      <c r="AK21" s="79"/>
      <c r="AL21" s="110"/>
      <c r="AM21" s="6"/>
      <c r="AN21" s="82"/>
      <c r="AO21" s="87"/>
    </row>
    <row r="22" spans="3:41" ht="18.5" x14ac:dyDescent="0.45">
      <c r="C22" s="86"/>
      <c r="D22" s="71" t="s">
        <v>65</v>
      </c>
      <c r="E22" s="70"/>
      <c r="F22" s="214" t="s">
        <v>182</v>
      </c>
      <c r="G22" s="5"/>
      <c r="H22" s="110"/>
      <c r="I22" s="244"/>
      <c r="J22" s="214" t="s">
        <v>182</v>
      </c>
      <c r="K22" s="5"/>
      <c r="L22" s="79"/>
      <c r="M22" s="245"/>
      <c r="N22" s="110"/>
      <c r="O22" s="79"/>
      <c r="P22" s="79"/>
      <c r="Q22" s="82"/>
      <c r="R22" s="114"/>
      <c r="S22" s="109"/>
      <c r="T22" s="75"/>
      <c r="U22" s="70"/>
      <c r="V22" s="75"/>
      <c r="W22" s="89"/>
      <c r="X22" s="15"/>
      <c r="Y22" s="15"/>
      <c r="Z22" s="66"/>
      <c r="AA22" s="75"/>
      <c r="AB22" s="109"/>
      <c r="AC22" s="75"/>
      <c r="AD22" s="75"/>
      <c r="AE22" s="75"/>
      <c r="AF22" s="70"/>
      <c r="AG22" s="120"/>
      <c r="AH22" s="107"/>
      <c r="AI22" s="75"/>
      <c r="AJ22" s="70"/>
      <c r="AK22" s="79"/>
      <c r="AL22" s="110"/>
      <c r="AM22" s="6"/>
      <c r="AN22" s="82"/>
      <c r="AO22" s="87"/>
    </row>
    <row r="23" spans="3:41" ht="18.5" x14ac:dyDescent="0.45">
      <c r="C23" s="86"/>
      <c r="D23" s="71" t="s">
        <v>66</v>
      </c>
      <c r="E23" s="70"/>
      <c r="F23" s="214" t="s">
        <v>182</v>
      </c>
      <c r="G23" s="5"/>
      <c r="H23" s="110"/>
      <c r="I23" s="245"/>
      <c r="J23" s="214" t="s">
        <v>182</v>
      </c>
      <c r="K23" s="5"/>
      <c r="L23" s="79"/>
      <c r="M23" s="245"/>
      <c r="N23" s="110"/>
      <c r="O23" s="79"/>
      <c r="P23" s="79"/>
      <c r="Q23" s="82"/>
      <c r="R23" s="114"/>
      <c r="S23" s="109"/>
      <c r="T23" s="75"/>
      <c r="U23" s="70"/>
      <c r="V23" s="75"/>
      <c r="W23" s="89"/>
      <c r="X23" s="15"/>
      <c r="Y23" s="15"/>
      <c r="Z23" s="66"/>
      <c r="AA23" s="75"/>
      <c r="AB23" s="109"/>
      <c r="AC23" s="75"/>
      <c r="AD23" s="75"/>
      <c r="AE23" s="75"/>
      <c r="AF23" s="70"/>
      <c r="AG23" s="120"/>
      <c r="AH23" s="107"/>
      <c r="AI23" s="75"/>
      <c r="AJ23" s="70"/>
      <c r="AK23" s="79"/>
      <c r="AL23" s="110"/>
      <c r="AM23" s="6"/>
      <c r="AN23" s="82"/>
      <c r="AO23" s="87"/>
    </row>
    <row r="24" spans="3:41" ht="18.5" x14ac:dyDescent="0.45">
      <c r="C24" s="86"/>
      <c r="D24" s="132" t="s">
        <v>86</v>
      </c>
      <c r="E24" s="92"/>
      <c r="F24" s="214" t="s">
        <v>182</v>
      </c>
      <c r="G24" s="11"/>
      <c r="H24" s="110"/>
      <c r="I24" s="245"/>
      <c r="J24" s="214" t="s">
        <v>182</v>
      </c>
      <c r="K24" s="5"/>
      <c r="L24" s="79"/>
      <c r="M24" s="245"/>
      <c r="N24" s="110"/>
      <c r="O24" s="79"/>
      <c r="P24" s="79"/>
      <c r="Q24" s="82"/>
      <c r="R24" s="114"/>
      <c r="S24" s="109"/>
      <c r="T24" s="75"/>
      <c r="U24" s="70"/>
      <c r="V24" s="75"/>
      <c r="W24" s="89"/>
      <c r="X24" s="15"/>
      <c r="Y24" s="15"/>
      <c r="Z24" s="66"/>
      <c r="AA24" s="75"/>
      <c r="AB24" s="109"/>
      <c r="AC24" s="75"/>
      <c r="AD24" s="75"/>
      <c r="AE24" s="75"/>
      <c r="AF24" s="70"/>
      <c r="AG24" s="120"/>
      <c r="AH24" s="107"/>
      <c r="AI24" s="75"/>
      <c r="AJ24" s="70"/>
      <c r="AK24" s="79"/>
      <c r="AL24" s="110"/>
      <c r="AM24" s="6"/>
      <c r="AN24" s="82"/>
      <c r="AO24" s="87"/>
    </row>
    <row r="25" spans="3:41" ht="18.5" x14ac:dyDescent="0.45">
      <c r="C25" s="86"/>
      <c r="D25" s="132" t="s">
        <v>87</v>
      </c>
      <c r="E25" s="92"/>
      <c r="F25" s="214" t="s">
        <v>182</v>
      </c>
      <c r="G25" s="11"/>
      <c r="H25" s="110"/>
      <c r="I25" s="245"/>
      <c r="J25" s="214" t="s">
        <v>182</v>
      </c>
      <c r="K25" s="5"/>
      <c r="L25" s="79"/>
      <c r="M25" s="245"/>
      <c r="N25" s="110"/>
      <c r="O25" s="79"/>
      <c r="P25" s="79"/>
      <c r="Q25" s="82"/>
      <c r="R25" s="114"/>
      <c r="S25" s="119"/>
      <c r="T25" s="120"/>
      <c r="U25" s="121"/>
      <c r="V25" s="120"/>
      <c r="W25" s="119"/>
      <c r="X25" s="120"/>
      <c r="Y25" s="120"/>
      <c r="Z25" s="121"/>
      <c r="AA25" s="120"/>
      <c r="AB25" s="119"/>
      <c r="AC25" s="120"/>
      <c r="AD25" s="120"/>
      <c r="AE25" s="120"/>
      <c r="AF25" s="121"/>
      <c r="AG25" s="120"/>
      <c r="AH25" s="107"/>
      <c r="AI25" s="75"/>
      <c r="AJ25" s="70"/>
      <c r="AK25" s="79"/>
      <c r="AL25" s="110"/>
      <c r="AM25" s="6"/>
      <c r="AN25" s="82"/>
      <c r="AO25" s="87"/>
    </row>
    <row r="26" spans="3:41" ht="19" thickBot="1" x14ac:dyDescent="0.5">
      <c r="C26" s="86"/>
      <c r="D26" s="133" t="s">
        <v>88</v>
      </c>
      <c r="E26" s="65"/>
      <c r="F26" s="215" t="s">
        <v>182</v>
      </c>
      <c r="G26" s="5"/>
      <c r="H26" s="110"/>
      <c r="I26" s="245"/>
      <c r="J26" s="214" t="s">
        <v>182</v>
      </c>
      <c r="K26" s="5"/>
      <c r="L26" s="79"/>
      <c r="M26" s="245"/>
      <c r="N26" s="110"/>
      <c r="O26" s="79"/>
      <c r="P26" s="79"/>
      <c r="Q26" s="82"/>
      <c r="R26" s="114"/>
      <c r="S26" s="119"/>
      <c r="T26" s="120"/>
      <c r="U26" s="121"/>
      <c r="V26" s="120"/>
      <c r="W26" s="119"/>
      <c r="X26" s="120"/>
      <c r="Y26" s="120"/>
      <c r="Z26" s="121"/>
      <c r="AA26" s="120"/>
      <c r="AB26" s="119"/>
      <c r="AC26" s="120"/>
      <c r="AD26" s="120"/>
      <c r="AE26" s="120"/>
      <c r="AF26" s="121"/>
      <c r="AG26" s="120"/>
      <c r="AH26" s="107"/>
      <c r="AI26" s="75"/>
      <c r="AJ26" s="70"/>
      <c r="AK26" s="79"/>
      <c r="AL26" s="110"/>
      <c r="AM26" s="6"/>
      <c r="AN26" s="82"/>
      <c r="AO26" s="87"/>
    </row>
    <row r="27" spans="3:41" ht="19" thickBot="1" x14ac:dyDescent="0.5">
      <c r="C27" s="86"/>
      <c r="D27" s="133" t="s">
        <v>109</v>
      </c>
      <c r="E27" s="72">
        <f>Systemblatt!C11</f>
        <v>8000</v>
      </c>
      <c r="F27" s="215" t="s">
        <v>184</v>
      </c>
      <c r="G27" s="5"/>
      <c r="H27" s="111"/>
      <c r="I27" s="246"/>
      <c r="J27" s="215" t="s">
        <v>182</v>
      </c>
      <c r="K27" s="5"/>
      <c r="L27" s="79"/>
      <c r="M27" s="246"/>
      <c r="N27" s="111"/>
      <c r="O27" s="80"/>
      <c r="P27" s="80"/>
      <c r="Q27" s="81"/>
      <c r="R27" s="114"/>
      <c r="S27" s="122"/>
      <c r="T27" s="123"/>
      <c r="U27" s="124"/>
      <c r="V27" s="120"/>
      <c r="W27" s="122"/>
      <c r="X27" s="123"/>
      <c r="Y27" s="123"/>
      <c r="Z27" s="124"/>
      <c r="AA27" s="120"/>
      <c r="AB27" s="122"/>
      <c r="AC27" s="123"/>
      <c r="AD27" s="123"/>
      <c r="AE27" s="123"/>
      <c r="AF27" s="124"/>
      <c r="AG27" s="120"/>
      <c r="AH27" s="134"/>
      <c r="AI27" s="113"/>
      <c r="AJ27" s="72"/>
      <c r="AK27" s="79"/>
      <c r="AL27" s="111"/>
      <c r="AM27" s="135"/>
      <c r="AN27" s="81"/>
      <c r="AO27" s="87"/>
    </row>
    <row r="28" spans="3:41" ht="15.5" x14ac:dyDescent="0.35">
      <c r="C28" s="8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7"/>
    </row>
    <row r="29" spans="3:41" ht="15.5" x14ac:dyDescent="0.35">
      <c r="C29" s="8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7"/>
    </row>
    <row r="30" spans="3:41" ht="15.5" x14ac:dyDescent="0.35"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7"/>
    </row>
    <row r="31" spans="3:41" x14ac:dyDescent="0.35"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7"/>
    </row>
    <row r="32" spans="3:41" x14ac:dyDescent="0.35"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7"/>
    </row>
    <row r="33" spans="3:41" x14ac:dyDescent="0.35"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7"/>
    </row>
    <row r="34" spans="3:41" x14ac:dyDescent="0.35"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7"/>
    </row>
    <row r="35" spans="3:41" x14ac:dyDescent="0.35"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7"/>
    </row>
    <row r="36" spans="3:41" x14ac:dyDescent="0.35"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7"/>
    </row>
    <row r="37" spans="3:41" x14ac:dyDescent="0.35"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7"/>
    </row>
    <row r="38" spans="3:41" x14ac:dyDescent="0.35"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7"/>
    </row>
    <row r="39" spans="3:41" x14ac:dyDescent="0.35"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7"/>
    </row>
    <row r="40" spans="3:41" x14ac:dyDescent="0.35"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7"/>
    </row>
    <row r="41" spans="3:41" x14ac:dyDescent="0.35"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7"/>
    </row>
    <row r="42" spans="3:41" x14ac:dyDescent="0.35"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7"/>
    </row>
    <row r="43" spans="3:41" x14ac:dyDescent="0.35"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7"/>
    </row>
    <row r="44" spans="3:41" x14ac:dyDescent="0.35"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7"/>
    </row>
    <row r="45" spans="3:41" x14ac:dyDescent="0.35"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7"/>
    </row>
    <row r="46" spans="3:41" x14ac:dyDescent="0.35"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7"/>
    </row>
    <row r="47" spans="3:41" ht="15.5" x14ac:dyDescent="0.35">
      <c r="C47" s="86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7"/>
    </row>
    <row r="48" spans="3:41" x14ac:dyDescent="0.35">
      <c r="C48" s="86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7"/>
    </row>
    <row r="49" spans="3:41" x14ac:dyDescent="0.35">
      <c r="C49" s="8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7"/>
    </row>
    <row r="50" spans="3:41" x14ac:dyDescent="0.35">
      <c r="C50" s="86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7"/>
    </row>
    <row r="51" spans="3:41" x14ac:dyDescent="0.35">
      <c r="C51" s="86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7"/>
    </row>
    <row r="52" spans="3:41" x14ac:dyDescent="0.35">
      <c r="C52" s="86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7"/>
    </row>
    <row r="53" spans="3:41" x14ac:dyDescent="0.35">
      <c r="C53" s="86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7"/>
    </row>
    <row r="54" spans="3:41" x14ac:dyDescent="0.35">
      <c r="C54" s="86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7"/>
    </row>
    <row r="55" spans="3:41" x14ac:dyDescent="0.35"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7"/>
    </row>
    <row r="56" spans="3:41" x14ac:dyDescent="0.35"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7"/>
    </row>
    <row r="57" spans="3:41" x14ac:dyDescent="0.35"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7"/>
    </row>
    <row r="58" spans="3:41" x14ac:dyDescent="0.35"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7"/>
    </row>
    <row r="59" spans="3:41" x14ac:dyDescent="0.35"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7"/>
    </row>
    <row r="60" spans="3:41" x14ac:dyDescent="0.35"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7"/>
    </row>
    <row r="61" spans="3:41" x14ac:dyDescent="0.35"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7"/>
    </row>
    <row r="62" spans="3:41" x14ac:dyDescent="0.35"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7"/>
    </row>
    <row r="63" spans="3:41" x14ac:dyDescent="0.35"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7"/>
    </row>
    <row r="64" spans="3:41" x14ac:dyDescent="0.35"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7"/>
    </row>
    <row r="65" spans="3:41" x14ac:dyDescent="0.35"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7"/>
    </row>
    <row r="66" spans="3:41" x14ac:dyDescent="0.35"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7"/>
    </row>
    <row r="67" spans="3:41" x14ac:dyDescent="0.35"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7"/>
    </row>
    <row r="68" spans="3:41" x14ac:dyDescent="0.35"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7"/>
    </row>
    <row r="69" spans="3:41" x14ac:dyDescent="0.35">
      <c r="C69" s="86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7"/>
    </row>
    <row r="70" spans="3:41" ht="15" thickBot="1" x14ac:dyDescent="0.4">
      <c r="C70" s="7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  <c r="AI70" s="94"/>
      <c r="AJ70" s="94"/>
      <c r="AK70" s="88"/>
      <c r="AL70" s="88"/>
      <c r="AM70" s="88"/>
      <c r="AN70" s="88"/>
      <c r="AO70" s="65"/>
    </row>
    <row r="130" spans="18:18" x14ac:dyDescent="0.35">
      <c r="R130" s="3" t="s">
        <v>23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89BE2167-8518-3547-9F55-D1499A31A668}">
          <x14:formula1>
            <xm:f>Systemblatt!$E$5:$E$38</xm:f>
          </x14:formula1>
          <xm:sqref>I16:I27 AC10:AC27 AH10:AH27 T10:T27 AE10:AE27 N14:Q27 N12:Q12 N13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U35"/>
  <sheetViews>
    <sheetView topLeftCell="B1" workbookViewId="0">
      <selection activeCell="M31" sqref="M31"/>
    </sheetView>
  </sheetViews>
  <sheetFormatPr baseColWidth="10" defaultRowHeight="14.5" x14ac:dyDescent="0.35"/>
  <sheetData>
    <row r="1" spans="1:21" ht="15.5" x14ac:dyDescent="0.35">
      <c r="A1" t="s">
        <v>28</v>
      </c>
      <c r="B1" t="s">
        <v>193</v>
      </c>
      <c r="F1" s="1" t="s">
        <v>16</v>
      </c>
      <c r="I1" t="s">
        <v>131</v>
      </c>
      <c r="L1" t="s">
        <v>142</v>
      </c>
    </row>
    <row r="2" spans="1:21" ht="15.5" x14ac:dyDescent="0.35">
      <c r="A2" t="s">
        <v>26</v>
      </c>
      <c r="B2" t="s">
        <v>193</v>
      </c>
      <c r="C2" t="s">
        <v>26</v>
      </c>
      <c r="F2" s="184" t="s">
        <v>120</v>
      </c>
      <c r="I2" t="s">
        <v>132</v>
      </c>
      <c r="L2" t="s">
        <v>126</v>
      </c>
    </row>
    <row r="3" spans="1:21" ht="15.5" x14ac:dyDescent="0.35">
      <c r="A3" t="s">
        <v>12</v>
      </c>
      <c r="B3" t="s">
        <v>192</v>
      </c>
      <c r="C3" t="s">
        <v>12</v>
      </c>
      <c r="F3" s="232" t="s">
        <v>222</v>
      </c>
      <c r="I3" t="s">
        <v>151</v>
      </c>
      <c r="L3" t="s">
        <v>143</v>
      </c>
    </row>
    <row r="4" spans="1:21" ht="15.5" x14ac:dyDescent="0.35">
      <c r="A4" t="s">
        <v>13</v>
      </c>
      <c r="B4" t="s">
        <v>192</v>
      </c>
      <c r="C4" t="s">
        <v>13</v>
      </c>
      <c r="F4" s="232" t="s">
        <v>223</v>
      </c>
      <c r="I4" t="s">
        <v>150</v>
      </c>
      <c r="L4" t="s">
        <v>130</v>
      </c>
    </row>
    <row r="5" spans="1:21" ht="15.5" x14ac:dyDescent="0.35">
      <c r="A5" t="s">
        <v>21</v>
      </c>
      <c r="C5" t="s">
        <v>21</v>
      </c>
      <c r="F5" s="232" t="s">
        <v>224</v>
      </c>
      <c r="I5" t="s">
        <v>133</v>
      </c>
      <c r="L5" t="s">
        <v>128</v>
      </c>
    </row>
    <row r="6" spans="1:21" x14ac:dyDescent="0.35">
      <c r="A6" t="s">
        <v>25</v>
      </c>
      <c r="C6" t="s">
        <v>25</v>
      </c>
      <c r="I6" t="s">
        <v>239</v>
      </c>
      <c r="L6" t="s">
        <v>129</v>
      </c>
    </row>
    <row r="7" spans="1:21" x14ac:dyDescent="0.35">
      <c r="A7" t="s">
        <v>111</v>
      </c>
      <c r="L7" t="s">
        <v>127</v>
      </c>
    </row>
    <row r="8" spans="1:21" x14ac:dyDescent="0.35">
      <c r="A8" t="s">
        <v>112</v>
      </c>
      <c r="I8" t="s">
        <v>153</v>
      </c>
      <c r="L8" t="s">
        <v>166</v>
      </c>
    </row>
    <row r="9" spans="1:21" x14ac:dyDescent="0.35">
      <c r="A9" t="s">
        <v>123</v>
      </c>
      <c r="I9" t="s">
        <v>171</v>
      </c>
      <c r="L9" t="s">
        <v>167</v>
      </c>
    </row>
    <row r="10" spans="1:21" x14ac:dyDescent="0.35">
      <c r="A10" t="s">
        <v>124</v>
      </c>
      <c r="I10" t="s">
        <v>90</v>
      </c>
      <c r="L10" t="s">
        <v>168</v>
      </c>
    </row>
    <row r="11" spans="1:21" x14ac:dyDescent="0.35">
      <c r="I11" t="s">
        <v>152</v>
      </c>
    </row>
    <row r="12" spans="1:21" x14ac:dyDescent="0.35">
      <c r="I12" t="s">
        <v>141</v>
      </c>
    </row>
    <row r="14" spans="1:21" x14ac:dyDescent="0.35">
      <c r="A14" t="s">
        <v>227</v>
      </c>
    </row>
    <row r="15" spans="1:21" x14ac:dyDescent="0.35">
      <c r="A15" t="s">
        <v>225</v>
      </c>
    </row>
    <row r="16" spans="1:21" x14ac:dyDescent="0.35">
      <c r="I16" t="s">
        <v>154</v>
      </c>
      <c r="J16" t="s">
        <v>156</v>
      </c>
      <c r="K16" t="s">
        <v>157</v>
      </c>
      <c r="M16" t="s">
        <v>258</v>
      </c>
      <c r="O16" t="s">
        <v>265</v>
      </c>
      <c r="R16" t="s">
        <v>269</v>
      </c>
      <c r="U16" t="s">
        <v>268</v>
      </c>
    </row>
    <row r="17" spans="9:21" x14ac:dyDescent="0.35">
      <c r="I17" t="s">
        <v>96</v>
      </c>
      <c r="J17" t="s">
        <v>11</v>
      </c>
      <c r="K17" t="s">
        <v>158</v>
      </c>
      <c r="M17" s="264">
        <v>2</v>
      </c>
      <c r="O17" t="s">
        <v>266</v>
      </c>
      <c r="R17" t="s">
        <v>254</v>
      </c>
      <c r="U17" t="s">
        <v>283</v>
      </c>
    </row>
    <row r="18" spans="9:21" x14ac:dyDescent="0.35">
      <c r="I18" t="s">
        <v>155</v>
      </c>
      <c r="J18" t="s">
        <v>8</v>
      </c>
      <c r="K18" t="s">
        <v>89</v>
      </c>
      <c r="M18" s="264">
        <v>3</v>
      </c>
      <c r="O18" t="s">
        <v>267</v>
      </c>
      <c r="R18" t="s">
        <v>259</v>
      </c>
      <c r="U18" t="s">
        <v>285</v>
      </c>
    </row>
    <row r="19" spans="9:21" x14ac:dyDescent="0.35">
      <c r="M19" s="264" t="s">
        <v>299</v>
      </c>
      <c r="R19" t="s">
        <v>260</v>
      </c>
      <c r="U19" t="s">
        <v>284</v>
      </c>
    </row>
    <row r="20" spans="9:21" x14ac:dyDescent="0.35">
      <c r="R20" t="s">
        <v>261</v>
      </c>
    </row>
    <row r="35" spans="2:2" x14ac:dyDescent="0.35">
      <c r="B35" t="s">
        <v>228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26"/>
  <sheetViews>
    <sheetView zoomScale="80" zoomScaleNormal="80" workbookViewId="0">
      <selection activeCell="F10" sqref="F10"/>
    </sheetView>
  </sheetViews>
  <sheetFormatPr baseColWidth="10" defaultRowHeight="14.5" x14ac:dyDescent="0.35"/>
  <cols>
    <col min="3" max="3" width="16.453125" bestFit="1" customWidth="1"/>
    <col min="4" max="4" width="13.26953125" bestFit="1" customWidth="1"/>
    <col min="5" max="5" width="14.54296875" bestFit="1" customWidth="1"/>
    <col min="6" max="6" width="13.7265625" bestFit="1" customWidth="1"/>
    <col min="7" max="8" width="14.1796875" bestFit="1" customWidth="1"/>
  </cols>
  <sheetData>
    <row r="1" spans="2:18" x14ac:dyDescent="0.35">
      <c r="L1" s="11"/>
    </row>
    <row r="2" spans="2:18" x14ac:dyDescent="0.35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 x14ac:dyDescent="0.35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5" thickBot="1" x14ac:dyDescent="0.4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8" ht="24" thickBot="1" x14ac:dyDescent="0.6">
      <c r="B5" s="11"/>
      <c r="C5" s="365" t="s">
        <v>101</v>
      </c>
      <c r="D5" s="366"/>
      <c r="E5" s="366"/>
      <c r="F5" s="366"/>
      <c r="G5" s="366"/>
      <c r="H5" s="366"/>
      <c r="I5" s="366"/>
      <c r="J5" s="366"/>
      <c r="K5" s="366"/>
      <c r="L5" s="366"/>
      <c r="M5" s="366"/>
      <c r="N5" s="366"/>
      <c r="O5" s="366"/>
      <c r="P5" s="366"/>
      <c r="Q5" s="367"/>
      <c r="R5" t="s">
        <v>23</v>
      </c>
    </row>
    <row r="6" spans="2:18" ht="18.5" x14ac:dyDescent="0.45">
      <c r="B6" s="11"/>
      <c r="C6" s="173" t="s">
        <v>1</v>
      </c>
      <c r="D6" s="169" t="s">
        <v>201</v>
      </c>
      <c r="E6" s="169" t="s">
        <v>196</v>
      </c>
      <c r="F6" s="169" t="s">
        <v>173</v>
      </c>
      <c r="G6" s="169" t="s">
        <v>232</v>
      </c>
      <c r="H6" s="169" t="s">
        <v>293</v>
      </c>
      <c r="I6" s="95"/>
      <c r="J6" s="95"/>
      <c r="K6" s="95"/>
      <c r="L6" s="95"/>
      <c r="M6" s="95"/>
      <c r="N6" s="95"/>
      <c r="O6" s="95"/>
      <c r="P6" s="95"/>
      <c r="Q6" s="164"/>
    </row>
    <row r="7" spans="2:18" ht="18.5" x14ac:dyDescent="0.45">
      <c r="B7" s="11"/>
      <c r="C7" s="170" t="s">
        <v>102</v>
      </c>
      <c r="D7" s="120">
        <v>1000</v>
      </c>
      <c r="E7" s="120">
        <v>2000</v>
      </c>
      <c r="F7" s="120">
        <v>3000</v>
      </c>
      <c r="G7" s="120">
        <v>1100</v>
      </c>
      <c r="H7" s="120">
        <v>4000</v>
      </c>
      <c r="I7" s="11"/>
      <c r="J7" s="11"/>
      <c r="K7" s="11"/>
      <c r="L7" s="11"/>
      <c r="M7" s="11"/>
      <c r="N7" s="11"/>
      <c r="O7" s="11"/>
      <c r="P7" s="11"/>
      <c r="Q7" s="92"/>
    </row>
    <row r="8" spans="2:18" ht="18.5" x14ac:dyDescent="0.45">
      <c r="B8" s="11"/>
      <c r="C8" s="171" t="s">
        <v>42</v>
      </c>
      <c r="D8" s="120" t="s">
        <v>10</v>
      </c>
      <c r="E8" s="120" t="s">
        <v>10</v>
      </c>
      <c r="F8" s="120" t="s">
        <v>10</v>
      </c>
      <c r="G8" s="120" t="s">
        <v>10</v>
      </c>
      <c r="H8" s="120" t="s">
        <v>10</v>
      </c>
      <c r="I8" s="11"/>
      <c r="J8" s="11"/>
      <c r="K8" s="11"/>
      <c r="L8" s="11"/>
      <c r="M8" s="11"/>
      <c r="N8" s="11"/>
      <c r="O8" s="11"/>
      <c r="P8" s="11"/>
      <c r="Q8" s="92"/>
    </row>
    <row r="9" spans="2:18" ht="18.5" x14ac:dyDescent="0.45">
      <c r="B9" s="11"/>
      <c r="C9" s="172" t="s">
        <v>103</v>
      </c>
      <c r="D9" s="120"/>
      <c r="E9" s="120"/>
      <c r="F9" s="120"/>
      <c r="G9" s="208"/>
      <c r="H9" s="120"/>
      <c r="I9" s="11"/>
      <c r="J9" s="11"/>
      <c r="K9" s="11"/>
      <c r="L9" s="11"/>
      <c r="M9" s="11"/>
      <c r="N9" s="11"/>
      <c r="O9" s="11"/>
      <c r="P9" s="11"/>
      <c r="Q9" s="92"/>
    </row>
    <row r="10" spans="2:18" ht="18.5" x14ac:dyDescent="0.45">
      <c r="B10" s="11"/>
      <c r="C10" s="170" t="s">
        <v>210</v>
      </c>
      <c r="D10" s="120">
        <v>0</v>
      </c>
      <c r="E10" s="120">
        <v>200</v>
      </c>
      <c r="F10" s="120">
        <v>500</v>
      </c>
      <c r="G10" s="120">
        <v>25</v>
      </c>
      <c r="H10" s="120">
        <v>34</v>
      </c>
      <c r="I10" s="11"/>
      <c r="J10" s="11"/>
      <c r="K10" s="11"/>
      <c r="L10" s="11"/>
      <c r="M10" s="11"/>
      <c r="N10" s="11"/>
      <c r="O10" s="11"/>
      <c r="P10" s="11"/>
      <c r="Q10" s="92"/>
    </row>
    <row r="11" spans="2:18" ht="18.5" x14ac:dyDescent="0.45">
      <c r="B11" s="11"/>
      <c r="C11" s="170" t="s">
        <v>9</v>
      </c>
      <c r="D11" s="120" t="s">
        <v>8</v>
      </c>
      <c r="E11" s="120" t="s">
        <v>8</v>
      </c>
      <c r="F11" s="120" t="s">
        <v>11</v>
      </c>
      <c r="G11" s="120" t="s">
        <v>11</v>
      </c>
      <c r="H11" s="120" t="s">
        <v>11</v>
      </c>
      <c r="I11" s="11"/>
      <c r="J11" s="11"/>
      <c r="K11" s="11"/>
      <c r="L11" s="11"/>
      <c r="M11" s="11"/>
      <c r="N11" s="11"/>
      <c r="O11" s="11"/>
      <c r="P11" s="11"/>
      <c r="Q11" s="92"/>
    </row>
    <row r="12" spans="2:18" ht="18.5" x14ac:dyDescent="0.45">
      <c r="B12" s="11"/>
      <c r="C12" s="174" t="s">
        <v>121</v>
      </c>
      <c r="D12" s="120">
        <v>0.5</v>
      </c>
      <c r="E12" s="120">
        <v>0.58499999999999996</v>
      </c>
      <c r="F12" s="120">
        <v>0</v>
      </c>
      <c r="G12" s="120">
        <v>0</v>
      </c>
      <c r="H12" s="120">
        <v>0</v>
      </c>
      <c r="I12" s="11"/>
      <c r="J12" s="11"/>
      <c r="K12" s="11"/>
      <c r="L12" s="11"/>
      <c r="M12" s="11"/>
      <c r="N12" s="11"/>
      <c r="O12" s="11"/>
      <c r="P12" s="11"/>
      <c r="Q12" s="92"/>
    </row>
    <row r="13" spans="2:18" ht="18.5" x14ac:dyDescent="0.45">
      <c r="B13" s="11"/>
      <c r="C13" s="132" t="s">
        <v>122</v>
      </c>
      <c r="D13" s="11"/>
      <c r="E13" s="11"/>
      <c r="F13" s="11"/>
      <c r="G13" s="120"/>
      <c r="H13" s="120"/>
      <c r="I13" s="11"/>
      <c r="J13" s="11"/>
      <c r="K13" s="11"/>
      <c r="L13" s="11"/>
      <c r="M13" s="11"/>
      <c r="N13" s="11"/>
      <c r="O13" s="11"/>
      <c r="P13" s="11"/>
      <c r="Q13" s="92"/>
    </row>
    <row r="14" spans="2:18" ht="18.5" x14ac:dyDescent="0.45">
      <c r="B14" s="11"/>
      <c r="C14" s="132" t="s">
        <v>116</v>
      </c>
      <c r="D14" s="120"/>
      <c r="E14" s="120"/>
      <c r="F14" s="120">
        <v>1</v>
      </c>
      <c r="G14" s="120">
        <v>1</v>
      </c>
      <c r="H14" s="120">
        <v>10</v>
      </c>
      <c r="I14" s="11"/>
      <c r="J14" s="11"/>
      <c r="K14" s="11"/>
      <c r="L14" s="11"/>
      <c r="M14" s="11"/>
      <c r="N14" s="11"/>
      <c r="O14" s="11"/>
      <c r="P14" s="11"/>
      <c r="Q14" s="92"/>
    </row>
    <row r="15" spans="2:18" ht="19" thickBot="1" x14ac:dyDescent="0.5">
      <c r="B15" s="11"/>
      <c r="C15" s="175" t="s">
        <v>117</v>
      </c>
      <c r="D15" s="94"/>
      <c r="E15" s="94"/>
      <c r="F15" s="94"/>
      <c r="G15" s="94"/>
      <c r="H15" s="123"/>
      <c r="I15" s="94"/>
      <c r="J15" s="94"/>
      <c r="K15" s="94"/>
      <c r="L15" s="94"/>
      <c r="M15" s="94"/>
      <c r="N15" s="94"/>
      <c r="O15" s="94"/>
      <c r="P15" s="94"/>
      <c r="Q15" s="146"/>
    </row>
    <row r="16" spans="2:18" x14ac:dyDescent="0.35">
      <c r="I16" s="11"/>
      <c r="J16" s="11"/>
      <c r="K16" s="11"/>
      <c r="L16" s="11"/>
    </row>
    <row r="26" spans="11:11" x14ac:dyDescent="0.35">
      <c r="K26" t="s">
        <v>23</v>
      </c>
    </row>
  </sheetData>
  <mergeCells count="1">
    <mergeCell ref="C5:Q5"/>
  </mergeCell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D11:Q11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C4:V45"/>
  <sheetViews>
    <sheetView zoomScale="83" zoomScaleNormal="83" workbookViewId="0">
      <selection activeCell="E8" sqref="E8"/>
    </sheetView>
  </sheetViews>
  <sheetFormatPr baseColWidth="10" defaultRowHeight="14.5" x14ac:dyDescent="0.35"/>
  <cols>
    <col min="4" max="4" width="21.26953125" bestFit="1" customWidth="1"/>
    <col min="5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221" t="s">
        <v>211</v>
      </c>
      <c r="D5" s="368" t="s">
        <v>104</v>
      </c>
      <c r="E5" s="369"/>
      <c r="F5" s="369"/>
      <c r="G5" s="369"/>
      <c r="H5" s="369"/>
      <c r="I5" s="369"/>
      <c r="J5" s="369"/>
      <c r="K5" s="369"/>
      <c r="L5" s="369"/>
      <c r="M5" s="369"/>
      <c r="N5" s="369"/>
      <c r="O5" s="370"/>
      <c r="P5" s="11"/>
      <c r="Q5" s="11"/>
    </row>
    <row r="6" spans="3:17" ht="18.5" x14ac:dyDescent="0.45">
      <c r="C6" s="222" t="s">
        <v>182</v>
      </c>
      <c r="D6" s="147" t="s">
        <v>1</v>
      </c>
      <c r="E6" s="210" t="s">
        <v>174</v>
      </c>
      <c r="F6" s="211" t="s">
        <v>178</v>
      </c>
      <c r="G6" s="211" t="s">
        <v>110</v>
      </c>
      <c r="H6" s="211" t="s">
        <v>233</v>
      </c>
      <c r="I6" s="148"/>
      <c r="J6" s="148"/>
      <c r="K6" s="148"/>
      <c r="L6" s="148"/>
      <c r="M6" s="148"/>
      <c r="N6" s="148"/>
      <c r="O6" s="149"/>
      <c r="P6" s="11"/>
      <c r="Q6" s="11"/>
    </row>
    <row r="7" spans="3:17" ht="18.5" x14ac:dyDescent="0.45">
      <c r="C7" s="223" t="s">
        <v>182</v>
      </c>
      <c r="D7" s="147" t="s">
        <v>102</v>
      </c>
      <c r="E7" s="161">
        <v>11</v>
      </c>
      <c r="F7" s="150">
        <v>22</v>
      </c>
      <c r="G7" s="150">
        <v>33</v>
      </c>
      <c r="H7" s="150">
        <v>44</v>
      </c>
      <c r="I7" s="150"/>
      <c r="J7" s="150"/>
      <c r="K7" s="150"/>
      <c r="L7" s="150"/>
      <c r="M7" s="150"/>
      <c r="N7" s="150"/>
      <c r="O7" s="151"/>
      <c r="P7" s="11"/>
      <c r="Q7" s="11"/>
    </row>
    <row r="8" spans="3:17" ht="18.5" x14ac:dyDescent="0.45">
      <c r="C8" s="224" t="s">
        <v>212</v>
      </c>
      <c r="D8" s="147" t="s">
        <v>105</v>
      </c>
      <c r="E8" s="161">
        <v>200</v>
      </c>
      <c r="F8" s="150">
        <v>0</v>
      </c>
      <c r="G8" s="150">
        <v>0</v>
      </c>
      <c r="H8" s="150">
        <v>200</v>
      </c>
      <c r="I8" s="150"/>
      <c r="J8" s="150"/>
      <c r="K8" s="150"/>
      <c r="L8" s="150"/>
      <c r="M8" s="150"/>
      <c r="N8" s="150"/>
      <c r="O8" s="151"/>
      <c r="P8" s="11"/>
      <c r="Q8" s="11"/>
    </row>
    <row r="9" spans="3:17" ht="18.5" x14ac:dyDescent="0.45">
      <c r="C9" s="224" t="s">
        <v>192</v>
      </c>
      <c r="D9" s="147" t="s">
        <v>214</v>
      </c>
      <c r="E9" s="161">
        <v>1000</v>
      </c>
      <c r="F9" s="150"/>
      <c r="G9" s="150"/>
      <c r="H9" s="150"/>
      <c r="I9" s="150"/>
      <c r="J9" s="150"/>
      <c r="K9" s="150"/>
      <c r="L9" s="150"/>
      <c r="M9" s="150"/>
      <c r="N9" s="150"/>
      <c r="O9" s="151"/>
      <c r="P9" s="11"/>
      <c r="Q9" s="11"/>
    </row>
    <row r="10" spans="3:17" ht="18.5" x14ac:dyDescent="0.45">
      <c r="C10" s="224" t="s">
        <v>192</v>
      </c>
      <c r="D10" s="147" t="s">
        <v>215</v>
      </c>
      <c r="E10" s="161">
        <v>1000</v>
      </c>
      <c r="F10" s="150"/>
      <c r="G10" s="150"/>
      <c r="H10" s="150"/>
      <c r="I10" s="150"/>
      <c r="J10" s="150"/>
      <c r="K10" s="150"/>
      <c r="L10" s="150"/>
      <c r="M10" s="150"/>
      <c r="N10" s="150"/>
      <c r="O10" s="151"/>
      <c r="P10" s="11"/>
      <c r="Q10" s="11"/>
    </row>
    <row r="11" spans="3:17" ht="18.5" x14ac:dyDescent="0.45">
      <c r="C11" s="223" t="s">
        <v>182</v>
      </c>
      <c r="D11" s="147" t="s">
        <v>106</v>
      </c>
      <c r="E11" s="161"/>
      <c r="F11" s="150"/>
      <c r="G11" s="150"/>
      <c r="H11" s="150"/>
      <c r="I11" s="150"/>
      <c r="J11" s="150"/>
      <c r="K11" s="150"/>
      <c r="L11" s="150"/>
      <c r="M11" s="150"/>
      <c r="N11" s="150"/>
      <c r="O11" s="151"/>
      <c r="P11" s="11"/>
      <c r="Q11" s="11"/>
    </row>
    <row r="12" spans="3:17" ht="18.5" x14ac:dyDescent="0.45">
      <c r="C12" s="223" t="s">
        <v>182</v>
      </c>
      <c r="D12" s="147" t="s">
        <v>213</v>
      </c>
      <c r="E12" s="182">
        <v>0</v>
      </c>
      <c r="F12" s="208">
        <v>1</v>
      </c>
      <c r="G12" s="208">
        <v>0</v>
      </c>
      <c r="H12" s="11"/>
      <c r="I12" s="11"/>
      <c r="J12" s="11"/>
      <c r="K12" s="11"/>
      <c r="L12" s="11"/>
      <c r="M12" s="11"/>
      <c r="N12" s="11"/>
      <c r="O12" s="92"/>
      <c r="P12" s="11"/>
      <c r="Q12" s="11"/>
    </row>
    <row r="13" spans="3:17" ht="19" thickBot="1" x14ac:dyDescent="0.5">
      <c r="C13" s="225" t="s">
        <v>182</v>
      </c>
      <c r="D13" s="147" t="s">
        <v>107</v>
      </c>
      <c r="E13" s="162">
        <f>SUM(E14:E37)</f>
        <v>1</v>
      </c>
      <c r="F13" s="158">
        <f t="shared" ref="F13:O13" si="0">SUM(F14:F37)</f>
        <v>1</v>
      </c>
      <c r="G13" s="158">
        <f t="shared" si="0"/>
        <v>1</v>
      </c>
      <c r="H13" s="158">
        <f t="shared" si="0"/>
        <v>1</v>
      </c>
      <c r="I13" s="158">
        <f t="shared" si="0"/>
        <v>0</v>
      </c>
      <c r="J13" s="158">
        <f t="shared" si="0"/>
        <v>0</v>
      </c>
      <c r="K13" s="158">
        <f t="shared" si="0"/>
        <v>0</v>
      </c>
      <c r="L13" s="158">
        <f t="shared" si="0"/>
        <v>0</v>
      </c>
      <c r="M13" s="158">
        <f t="shared" si="0"/>
        <v>0</v>
      </c>
      <c r="N13" s="158">
        <f t="shared" si="0"/>
        <v>0</v>
      </c>
      <c r="O13" s="159">
        <f t="shared" si="0"/>
        <v>0</v>
      </c>
      <c r="P13" s="11"/>
      <c r="Q13" s="11"/>
    </row>
    <row r="14" spans="3:17" ht="18.5" x14ac:dyDescent="0.45">
      <c r="C14" s="226"/>
      <c r="D14" s="152" t="s">
        <v>175</v>
      </c>
      <c r="E14" s="211">
        <v>0.25</v>
      </c>
      <c r="F14" s="148"/>
      <c r="G14" s="148"/>
      <c r="H14" s="148"/>
      <c r="I14" s="148"/>
      <c r="J14" s="148"/>
      <c r="K14" s="148"/>
      <c r="L14" s="148"/>
      <c r="M14" s="148"/>
      <c r="N14" s="148"/>
      <c r="O14" s="149"/>
      <c r="P14" s="11"/>
      <c r="Q14" s="11"/>
    </row>
    <row r="15" spans="3:17" ht="18.5" x14ac:dyDescent="0.45">
      <c r="C15" s="176"/>
      <c r="D15" s="153" t="s">
        <v>176</v>
      </c>
      <c r="E15" s="212">
        <v>0.13</v>
      </c>
      <c r="F15" s="150"/>
      <c r="G15" s="150"/>
      <c r="H15" s="154"/>
      <c r="I15" s="150"/>
      <c r="J15" s="150"/>
      <c r="K15" s="150"/>
      <c r="L15" s="150"/>
      <c r="M15" s="150"/>
      <c r="N15" s="150"/>
      <c r="O15" s="151"/>
      <c r="P15" s="11"/>
      <c r="Q15" s="11"/>
    </row>
    <row r="16" spans="3:17" ht="18.5" x14ac:dyDescent="0.45">
      <c r="C16" s="176"/>
      <c r="D16" s="153" t="s">
        <v>177</v>
      </c>
      <c r="E16" s="212">
        <v>0.55000000000000004</v>
      </c>
      <c r="F16" s="150"/>
      <c r="G16" s="150"/>
      <c r="H16" s="150"/>
      <c r="I16" s="150"/>
      <c r="J16" s="150"/>
      <c r="K16" s="155"/>
      <c r="L16" s="150"/>
      <c r="M16" s="150"/>
      <c r="N16" s="150"/>
      <c r="O16" s="151"/>
      <c r="P16" s="11"/>
      <c r="Q16" s="11"/>
    </row>
    <row r="17" spans="3:22" ht="18.5" x14ac:dyDescent="0.45">
      <c r="C17" s="176"/>
      <c r="D17" s="153" t="s">
        <v>173</v>
      </c>
      <c r="E17" s="212">
        <v>7.0000000000000007E-2</v>
      </c>
      <c r="F17" s="150"/>
      <c r="G17" s="150"/>
      <c r="H17" s="154"/>
      <c r="I17" s="150"/>
      <c r="J17" s="150"/>
      <c r="K17" s="155"/>
      <c r="L17" s="150"/>
      <c r="M17" s="150"/>
      <c r="N17" s="150"/>
      <c r="O17" s="151"/>
      <c r="P17" s="11"/>
      <c r="Q17" s="11"/>
    </row>
    <row r="18" spans="3:22" ht="18.5" x14ac:dyDescent="0.45">
      <c r="C18" s="176"/>
      <c r="D18" s="153" t="s">
        <v>14</v>
      </c>
      <c r="E18" s="212"/>
      <c r="F18" s="150">
        <v>1</v>
      </c>
      <c r="G18" s="150"/>
      <c r="H18" s="150"/>
      <c r="I18" s="150"/>
      <c r="J18" s="150"/>
      <c r="K18" s="155"/>
      <c r="L18" s="150"/>
      <c r="M18" s="150"/>
      <c r="N18" s="150"/>
      <c r="O18" s="151"/>
      <c r="P18" s="11"/>
      <c r="Q18" s="11"/>
    </row>
    <row r="19" spans="3:22" ht="18.5" x14ac:dyDescent="0.45">
      <c r="C19" s="176"/>
      <c r="D19" s="153" t="s">
        <v>4</v>
      </c>
      <c r="E19" s="212"/>
      <c r="F19" s="150"/>
      <c r="G19" s="150">
        <v>0.22</v>
      </c>
      <c r="H19" s="150"/>
      <c r="I19" s="150"/>
      <c r="J19" s="150"/>
      <c r="K19" s="155"/>
      <c r="L19" s="150"/>
      <c r="M19" s="150"/>
      <c r="N19" s="150"/>
      <c r="O19" s="151"/>
      <c r="P19" s="11"/>
      <c r="Q19" s="11"/>
    </row>
    <row r="20" spans="3:22" ht="18.5" x14ac:dyDescent="0.45">
      <c r="C20" s="176"/>
      <c r="D20" s="153" t="s">
        <v>17</v>
      </c>
      <c r="E20" s="212"/>
      <c r="F20" s="212"/>
      <c r="G20" s="150">
        <v>0.78</v>
      </c>
      <c r="H20" s="156"/>
      <c r="I20" s="150"/>
      <c r="J20" s="150"/>
      <c r="K20" s="155"/>
      <c r="L20" s="150"/>
      <c r="M20" s="150"/>
      <c r="N20" s="150"/>
      <c r="O20" s="151"/>
      <c r="P20" s="11"/>
      <c r="Q20" s="11"/>
    </row>
    <row r="21" spans="3:22" ht="18.5" x14ac:dyDescent="0.45">
      <c r="C21" s="176"/>
      <c r="D21" s="153" t="s">
        <v>234</v>
      </c>
      <c r="E21" s="150"/>
      <c r="F21" s="150"/>
      <c r="G21" s="150"/>
      <c r="H21" s="156">
        <v>1</v>
      </c>
      <c r="I21" s="150"/>
      <c r="J21" s="150"/>
      <c r="K21" s="150"/>
      <c r="L21" s="150"/>
      <c r="M21" s="150"/>
      <c r="N21" s="150"/>
      <c r="O21" s="151"/>
      <c r="P21" s="11"/>
      <c r="Q21" s="11"/>
    </row>
    <row r="22" spans="3:22" ht="18.5" x14ac:dyDescent="0.45">
      <c r="C22" s="176"/>
      <c r="D22" s="153"/>
      <c r="E22" s="150"/>
      <c r="F22" s="150"/>
      <c r="G22" s="150"/>
      <c r="H22" s="150"/>
      <c r="I22" s="150"/>
      <c r="J22" s="150"/>
      <c r="K22" s="150"/>
      <c r="L22" s="150"/>
      <c r="M22" s="150"/>
      <c r="N22" s="150"/>
      <c r="O22" s="151"/>
      <c r="P22" s="11"/>
      <c r="Q22" s="11"/>
    </row>
    <row r="23" spans="3:22" ht="18.5" x14ac:dyDescent="0.45">
      <c r="C23" s="176"/>
      <c r="D23" s="153"/>
      <c r="E23" s="150"/>
      <c r="F23" s="150"/>
      <c r="G23" s="150"/>
      <c r="H23" s="150"/>
      <c r="I23" s="150"/>
      <c r="J23" s="150"/>
      <c r="K23" s="150"/>
      <c r="L23" s="150"/>
      <c r="M23" s="150"/>
      <c r="N23" s="150"/>
      <c r="O23" s="151"/>
      <c r="P23" s="11"/>
      <c r="Q23" s="11"/>
    </row>
    <row r="24" spans="3:22" ht="18.5" x14ac:dyDescent="0.45">
      <c r="C24" s="176"/>
      <c r="D24" s="153"/>
      <c r="E24" s="150"/>
      <c r="F24" s="150"/>
      <c r="G24" s="150"/>
      <c r="H24" s="150"/>
      <c r="I24" s="150"/>
      <c r="J24" s="150"/>
      <c r="K24" s="150"/>
      <c r="L24" s="150"/>
      <c r="M24" s="150"/>
      <c r="N24" s="150"/>
      <c r="O24" s="151"/>
      <c r="P24" s="11"/>
      <c r="V24" s="11" t="s">
        <v>23</v>
      </c>
    </row>
    <row r="25" spans="3:22" ht="18.5" x14ac:dyDescent="0.45">
      <c r="C25" s="176"/>
      <c r="D25" s="153"/>
      <c r="E25" s="150"/>
      <c r="F25" s="150"/>
      <c r="G25" s="150"/>
      <c r="H25" s="150"/>
      <c r="I25" s="150"/>
      <c r="J25" s="150"/>
      <c r="K25" s="150"/>
      <c r="L25" s="150"/>
      <c r="M25" s="150"/>
      <c r="N25" s="150"/>
      <c r="O25" s="151"/>
      <c r="P25" s="11"/>
      <c r="Q25" s="11"/>
    </row>
    <row r="26" spans="3:22" x14ac:dyDescent="0.35">
      <c r="C26" s="176"/>
      <c r="D26" s="176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92"/>
      <c r="P26" s="11"/>
      <c r="Q26" s="11"/>
    </row>
    <row r="27" spans="3:22" x14ac:dyDescent="0.35">
      <c r="C27" s="176"/>
      <c r="D27" s="176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92"/>
      <c r="P27" s="11"/>
      <c r="Q27" s="11"/>
    </row>
    <row r="28" spans="3:22" x14ac:dyDescent="0.35">
      <c r="C28" s="227"/>
      <c r="D28" s="176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92"/>
    </row>
    <row r="29" spans="3:22" x14ac:dyDescent="0.35">
      <c r="C29" s="227"/>
      <c r="D29" s="176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92"/>
    </row>
    <row r="30" spans="3:22" x14ac:dyDescent="0.35">
      <c r="C30" s="227"/>
      <c r="D30" s="176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92"/>
    </row>
    <row r="31" spans="3:22" x14ac:dyDescent="0.35">
      <c r="C31" s="227"/>
      <c r="D31" s="176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92"/>
    </row>
    <row r="32" spans="3:22" x14ac:dyDescent="0.35">
      <c r="C32" s="227"/>
      <c r="D32" s="176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92"/>
    </row>
    <row r="33" spans="3:15" x14ac:dyDescent="0.35">
      <c r="C33" s="227"/>
      <c r="D33" s="176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92"/>
    </row>
    <row r="34" spans="3:15" x14ac:dyDescent="0.35">
      <c r="C34" s="227"/>
      <c r="D34" s="176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92"/>
    </row>
    <row r="35" spans="3:15" x14ac:dyDescent="0.35">
      <c r="C35" s="227"/>
      <c r="D35" s="176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92"/>
    </row>
    <row r="36" spans="3:15" x14ac:dyDescent="0.35">
      <c r="C36" s="227"/>
      <c r="D36" s="176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92"/>
    </row>
    <row r="37" spans="3:15" ht="15" thickBot="1" x14ac:dyDescent="0.4">
      <c r="C37" s="228"/>
      <c r="D37" s="177"/>
      <c r="E37" s="94"/>
      <c r="F37" s="94"/>
      <c r="G37" s="94"/>
      <c r="H37" s="94"/>
      <c r="I37" s="94"/>
      <c r="J37" s="94"/>
      <c r="K37" s="94"/>
      <c r="L37" s="94"/>
      <c r="M37" s="94"/>
      <c r="N37" s="94"/>
      <c r="O37" s="146"/>
    </row>
    <row r="45" spans="3:15" x14ac:dyDescent="0.35">
      <c r="N45" s="11" t="s">
        <v>23</v>
      </c>
    </row>
  </sheetData>
  <mergeCells count="1">
    <mergeCell ref="D5:O5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>
    <tabColor rgb="FFFF0000"/>
  </sheetPr>
  <dimension ref="C3:T36"/>
  <sheetViews>
    <sheetView workbookViewId="0">
      <selection activeCell="D25" sqref="D25"/>
    </sheetView>
  </sheetViews>
  <sheetFormatPr baseColWidth="10" defaultRowHeight="14.5" x14ac:dyDescent="0.35"/>
  <cols>
    <col min="4" max="4" width="21.54296875" bestFit="1" customWidth="1"/>
    <col min="5" max="5" width="11.81640625" bestFit="1" customWidth="1"/>
    <col min="6" max="7" width="23" bestFit="1" customWidth="1"/>
    <col min="8" max="8" width="11.81640625" bestFit="1" customWidth="1"/>
    <col min="9" max="9" width="8.453125" customWidth="1"/>
    <col min="10" max="10" width="11.81640625" bestFit="1" customWidth="1"/>
    <col min="11" max="11" width="23" bestFit="1" customWidth="1"/>
    <col min="12" max="12" width="11" bestFit="1" customWidth="1"/>
    <col min="14" max="14" width="11.81640625" bestFit="1" customWidth="1"/>
    <col min="15" max="15" width="22.1796875" bestFit="1" customWidth="1"/>
    <col min="16" max="16" width="11" bestFit="1" customWidth="1"/>
  </cols>
  <sheetData>
    <row r="3" spans="3:20" x14ac:dyDescent="0.35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 x14ac:dyDescent="0.35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" thickBot="1" x14ac:dyDescent="0.4">
      <c r="C5" s="11"/>
      <c r="D5" s="11"/>
      <c r="E5" s="11"/>
      <c r="F5" s="208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" thickBot="1" x14ac:dyDescent="0.4">
      <c r="C6" s="270" t="s">
        <v>248</v>
      </c>
      <c r="D6" s="273" t="s">
        <v>252</v>
      </c>
      <c r="E6" s="208"/>
      <c r="F6" s="278" t="s">
        <v>249</v>
      </c>
      <c r="G6" s="278" t="s">
        <v>253</v>
      </c>
      <c r="H6" s="278" t="s">
        <v>251</v>
      </c>
      <c r="I6" s="208"/>
      <c r="J6" s="268" t="s">
        <v>249</v>
      </c>
      <c r="K6" s="268" t="s">
        <v>253</v>
      </c>
      <c r="L6" s="268" t="s">
        <v>251</v>
      </c>
      <c r="M6" s="264"/>
      <c r="N6" s="268" t="s">
        <v>249</v>
      </c>
      <c r="O6" s="272" t="s">
        <v>250</v>
      </c>
      <c r="P6" s="268" t="s">
        <v>251</v>
      </c>
      <c r="Q6" s="208"/>
      <c r="R6" s="11"/>
      <c r="S6" s="11"/>
      <c r="T6" s="11"/>
    </row>
    <row r="7" spans="3:20" x14ac:dyDescent="0.35">
      <c r="C7" s="282" t="s">
        <v>240</v>
      </c>
      <c r="D7" s="283">
        <f>1/8</f>
        <v>0.125</v>
      </c>
      <c r="E7" s="208"/>
      <c r="F7" s="284">
        <v>11</v>
      </c>
      <c r="G7" s="279">
        <v>0.15</v>
      </c>
      <c r="H7" s="285" t="s">
        <v>177</v>
      </c>
      <c r="I7" s="208"/>
      <c r="J7" s="282">
        <v>11</v>
      </c>
      <c r="K7" s="293"/>
      <c r="L7" s="297" t="s">
        <v>173</v>
      </c>
      <c r="M7" s="208"/>
      <c r="N7" s="208"/>
      <c r="O7" s="208"/>
      <c r="P7" s="208"/>
      <c r="Q7" s="208"/>
      <c r="R7" s="11"/>
      <c r="S7" s="11"/>
      <c r="T7" s="11"/>
    </row>
    <row r="8" spans="3:20" x14ac:dyDescent="0.35">
      <c r="C8" s="182" t="s">
        <v>241</v>
      </c>
      <c r="D8" s="286">
        <f t="shared" ref="D8:D14" si="0">1/8</f>
        <v>0.125</v>
      </c>
      <c r="E8" s="208"/>
      <c r="F8" s="287">
        <v>11</v>
      </c>
      <c r="G8" s="280">
        <v>0.15</v>
      </c>
      <c r="H8" s="288" t="s">
        <v>177</v>
      </c>
      <c r="I8" s="208"/>
      <c r="J8" s="182">
        <v>11</v>
      </c>
      <c r="K8" s="208"/>
      <c r="L8" s="295"/>
      <c r="M8" s="208"/>
      <c r="N8" s="208"/>
      <c r="O8" s="208"/>
      <c r="P8" s="208"/>
      <c r="Q8" s="208"/>
      <c r="R8" s="11"/>
      <c r="S8" s="11"/>
      <c r="T8" s="11"/>
    </row>
    <row r="9" spans="3:20" x14ac:dyDescent="0.35">
      <c r="C9" s="182" t="s">
        <v>242</v>
      </c>
      <c r="D9" s="286">
        <f t="shared" si="0"/>
        <v>0.125</v>
      </c>
      <c r="E9" s="208"/>
      <c r="F9" s="287">
        <v>11</v>
      </c>
      <c r="G9" s="280">
        <v>-0.15</v>
      </c>
      <c r="H9" s="288" t="s">
        <v>177</v>
      </c>
      <c r="I9" s="208"/>
      <c r="J9" s="182">
        <v>11</v>
      </c>
      <c r="K9" s="208"/>
      <c r="L9" s="295"/>
      <c r="M9" s="208"/>
      <c r="N9" s="208"/>
      <c r="O9" s="208"/>
      <c r="P9" s="208"/>
      <c r="Q9" s="208"/>
      <c r="R9" s="11"/>
      <c r="S9" s="11"/>
      <c r="T9" s="11"/>
    </row>
    <row r="10" spans="3:20" x14ac:dyDescent="0.35">
      <c r="C10" s="182" t="s">
        <v>243</v>
      </c>
      <c r="D10" s="286">
        <f t="shared" si="0"/>
        <v>0.125</v>
      </c>
      <c r="E10" s="208"/>
      <c r="F10" s="287">
        <v>11</v>
      </c>
      <c r="G10" s="280">
        <v>-0.15</v>
      </c>
      <c r="H10" s="288" t="s">
        <v>177</v>
      </c>
      <c r="I10" s="208"/>
      <c r="J10" s="182">
        <v>11</v>
      </c>
      <c r="K10" s="208"/>
      <c r="L10" s="295"/>
      <c r="M10" s="208"/>
      <c r="N10" s="208"/>
      <c r="O10" s="208"/>
      <c r="P10" s="208"/>
      <c r="Q10" s="208"/>
      <c r="R10" s="11"/>
      <c r="S10" s="11"/>
      <c r="T10" s="11"/>
    </row>
    <row r="11" spans="3:20" x14ac:dyDescent="0.35">
      <c r="C11" s="182" t="s">
        <v>244</v>
      </c>
      <c r="D11" s="286">
        <f t="shared" si="0"/>
        <v>0.125</v>
      </c>
      <c r="E11" s="208"/>
      <c r="F11" s="287">
        <v>11</v>
      </c>
      <c r="G11" s="280">
        <v>0.15</v>
      </c>
      <c r="H11" s="288" t="s">
        <v>177</v>
      </c>
      <c r="I11" s="208"/>
      <c r="J11" s="182">
        <v>11</v>
      </c>
      <c r="K11" s="208"/>
      <c r="L11" s="295"/>
      <c r="M11" s="208"/>
      <c r="N11" s="208"/>
      <c r="O11" s="208"/>
      <c r="P11" s="208"/>
      <c r="Q11" s="208"/>
      <c r="R11" s="11"/>
      <c r="S11" s="11"/>
      <c r="T11" s="11"/>
    </row>
    <row r="12" spans="3:20" x14ac:dyDescent="0.35">
      <c r="C12" s="182" t="s">
        <v>245</v>
      </c>
      <c r="D12" s="286">
        <f>1/8</f>
        <v>0.125</v>
      </c>
      <c r="E12" s="208"/>
      <c r="F12" s="287">
        <v>11</v>
      </c>
      <c r="G12" s="280">
        <v>0.15</v>
      </c>
      <c r="H12" s="288" t="s">
        <v>177</v>
      </c>
      <c r="I12" s="208"/>
      <c r="J12" s="182">
        <v>11</v>
      </c>
      <c r="K12" s="208"/>
      <c r="L12" s="295"/>
      <c r="M12" s="208"/>
      <c r="N12" s="208"/>
      <c r="O12" s="208"/>
      <c r="P12" s="208"/>
      <c r="Q12" s="208"/>
      <c r="R12" s="11"/>
      <c r="S12" s="11"/>
      <c r="T12" s="11"/>
    </row>
    <row r="13" spans="3:20" x14ac:dyDescent="0.35">
      <c r="C13" s="182" t="s">
        <v>246</v>
      </c>
      <c r="D13" s="286">
        <f t="shared" si="0"/>
        <v>0.125</v>
      </c>
      <c r="E13" s="208"/>
      <c r="F13" s="287">
        <v>11</v>
      </c>
      <c r="G13" s="280">
        <v>-0.15</v>
      </c>
      <c r="H13" s="288" t="s">
        <v>177</v>
      </c>
      <c r="I13" s="208"/>
      <c r="J13" s="182">
        <v>11</v>
      </c>
      <c r="K13" s="208"/>
      <c r="L13" s="295"/>
      <c r="M13" s="208"/>
      <c r="N13" s="208"/>
      <c r="O13" s="208"/>
      <c r="P13" s="208"/>
      <c r="Q13" s="208"/>
      <c r="R13" s="11"/>
      <c r="S13" s="11"/>
      <c r="T13" s="11"/>
    </row>
    <row r="14" spans="3:20" ht="15" thickBot="1" x14ac:dyDescent="0.4">
      <c r="C14" s="289" t="s">
        <v>247</v>
      </c>
      <c r="D14" s="290">
        <f t="shared" si="0"/>
        <v>0.125</v>
      </c>
      <c r="E14" s="208"/>
      <c r="F14" s="291">
        <v>11</v>
      </c>
      <c r="G14" s="281">
        <v>-0.15</v>
      </c>
      <c r="H14" s="292" t="s">
        <v>177</v>
      </c>
      <c r="I14" s="208"/>
      <c r="J14" s="289">
        <v>11</v>
      </c>
      <c r="K14" s="163"/>
      <c r="L14" s="296"/>
      <c r="M14" s="208"/>
      <c r="N14" s="208"/>
      <c r="O14" s="208"/>
      <c r="P14" s="208"/>
      <c r="Q14" s="208"/>
      <c r="R14" s="11"/>
      <c r="S14" s="11"/>
      <c r="T14" s="11"/>
    </row>
    <row r="15" spans="3:20" x14ac:dyDescent="0.35">
      <c r="C15" s="208"/>
      <c r="D15" s="208"/>
      <c r="E15" s="208"/>
      <c r="F15" s="208"/>
      <c r="G15" s="208"/>
      <c r="H15" s="208"/>
      <c r="I15" s="208"/>
      <c r="J15" s="208"/>
      <c r="K15" s="208"/>
      <c r="L15" s="208"/>
      <c r="M15" s="208"/>
      <c r="N15" s="208"/>
      <c r="O15" s="208"/>
      <c r="P15" s="208"/>
      <c r="Q15" s="208"/>
      <c r="R15" s="11"/>
      <c r="S15" s="11"/>
      <c r="T15" s="11"/>
    </row>
    <row r="16" spans="3:20" x14ac:dyDescent="0.35">
      <c r="C16" s="208"/>
      <c r="D16" s="208"/>
      <c r="E16" s="208"/>
      <c r="F16" s="208"/>
      <c r="G16" s="208"/>
      <c r="H16" s="208"/>
      <c r="I16" s="208"/>
      <c r="J16" s="208"/>
      <c r="K16" s="208"/>
      <c r="L16" s="208"/>
      <c r="M16" s="208"/>
      <c r="N16" s="208"/>
      <c r="O16" s="208"/>
      <c r="P16" s="208"/>
      <c r="Q16" s="208"/>
      <c r="R16" s="11"/>
      <c r="S16" s="11"/>
      <c r="T16" s="11"/>
    </row>
    <row r="17" spans="3:20" x14ac:dyDescent="0.35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 x14ac:dyDescent="0.35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 x14ac:dyDescent="0.35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 x14ac:dyDescent="0.35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" thickBot="1" x14ac:dyDescent="0.4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" thickBot="1" x14ac:dyDescent="0.4">
      <c r="C22" s="371" t="s">
        <v>254</v>
      </c>
      <c r="D22" s="372"/>
      <c r="E22" s="372"/>
      <c r="F22" s="373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" thickBot="1" x14ac:dyDescent="0.4">
      <c r="C23" s="274" t="s">
        <v>255</v>
      </c>
      <c r="D23" s="275" t="s">
        <v>256</v>
      </c>
      <c r="E23" s="274" t="s">
        <v>257</v>
      </c>
      <c r="F23" s="267" t="s">
        <v>252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 x14ac:dyDescent="0.35">
      <c r="C24" s="298">
        <v>11</v>
      </c>
      <c r="D24" s="299" t="s">
        <v>177</v>
      </c>
      <c r="E24" s="299">
        <v>0.15</v>
      </c>
      <c r="F24" s="164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 x14ac:dyDescent="0.35">
      <c r="C25" s="93"/>
      <c r="D25" s="276" t="s">
        <v>173</v>
      </c>
      <c r="E25" s="208">
        <v>0.1</v>
      </c>
      <c r="F25" s="92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 x14ac:dyDescent="0.35">
      <c r="C26" s="93"/>
      <c r="D26" s="276"/>
      <c r="E26" s="11"/>
      <c r="F26" s="92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 x14ac:dyDescent="0.35">
      <c r="C27" s="93"/>
      <c r="D27" s="276"/>
      <c r="E27" s="11"/>
      <c r="F27" s="92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 x14ac:dyDescent="0.35">
      <c r="C28" s="93"/>
      <c r="D28" s="276"/>
      <c r="E28" s="11"/>
      <c r="F28" s="92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 x14ac:dyDescent="0.35">
      <c r="C29" s="93"/>
      <c r="D29" s="276"/>
      <c r="E29" s="11"/>
      <c r="F29" s="92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 x14ac:dyDescent="0.35">
      <c r="C30" s="93"/>
      <c r="D30" s="276"/>
      <c r="E30" s="11"/>
      <c r="F30" s="92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 x14ac:dyDescent="0.35">
      <c r="C31" s="93"/>
      <c r="D31" s="276"/>
      <c r="E31" s="11"/>
      <c r="F31" s="92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 x14ac:dyDescent="0.35">
      <c r="C32" s="93"/>
      <c r="D32" s="276"/>
      <c r="E32" s="11"/>
      <c r="F32" s="92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 x14ac:dyDescent="0.35">
      <c r="C33" s="93"/>
      <c r="D33" s="11"/>
      <c r="E33" s="11"/>
      <c r="F33" s="92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 x14ac:dyDescent="0.35">
      <c r="C34" s="93"/>
      <c r="D34" s="11"/>
      <c r="E34" s="11"/>
      <c r="F34" s="92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 x14ac:dyDescent="0.35">
      <c r="C35" s="93"/>
      <c r="D35" s="11"/>
      <c r="E35" s="11"/>
      <c r="F35" s="92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" thickBot="1" x14ac:dyDescent="0.4">
      <c r="C36" s="269"/>
      <c r="D36" s="94"/>
      <c r="E36" s="94"/>
      <c r="F36" s="146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Sources!$D$14:$D$21</xm:f>
          </x14:formula1>
          <xm:sqref>H7:H14 D24:D32 L7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topLeftCell="A4" workbookViewId="0">
      <selection activeCell="H13" sqref="H13"/>
    </sheetView>
  </sheetViews>
  <sheetFormatPr baseColWidth="10" defaultRowHeight="14.5" x14ac:dyDescent="0.35"/>
  <cols>
    <col min="4" max="4" width="17.7265625" bestFit="1" customWidth="1"/>
    <col min="5" max="5" width="17" bestFit="1" customWidth="1"/>
    <col min="6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11"/>
      <c r="D5" s="374" t="s">
        <v>113</v>
      </c>
      <c r="E5" s="375"/>
      <c r="F5" s="375"/>
      <c r="G5" s="375"/>
      <c r="H5" s="375"/>
      <c r="I5" s="375"/>
      <c r="J5" s="375"/>
      <c r="K5" s="375"/>
      <c r="L5" s="375"/>
      <c r="M5" s="375"/>
      <c r="N5" s="375"/>
      <c r="O5" s="376"/>
      <c r="P5" s="11"/>
      <c r="Q5" s="11"/>
    </row>
    <row r="6" spans="3:17" ht="18.5" x14ac:dyDescent="0.45">
      <c r="C6" s="11"/>
      <c r="D6" s="220" t="s">
        <v>1</v>
      </c>
      <c r="E6" s="211" t="s">
        <v>220</v>
      </c>
      <c r="F6" s="211" t="s">
        <v>236</v>
      </c>
      <c r="G6" s="160"/>
      <c r="H6" s="148"/>
      <c r="I6" s="148"/>
      <c r="J6" s="148"/>
      <c r="K6" s="148"/>
      <c r="L6" s="148"/>
      <c r="M6" s="148"/>
      <c r="N6" s="148"/>
      <c r="O6" s="149"/>
      <c r="P6" s="11"/>
      <c r="Q6" s="11"/>
    </row>
    <row r="7" spans="3:17" ht="18.5" x14ac:dyDescent="0.45">
      <c r="C7" s="11"/>
      <c r="D7" s="147" t="s">
        <v>102</v>
      </c>
      <c r="E7" s="150">
        <v>888</v>
      </c>
      <c r="F7" s="150">
        <v>777</v>
      </c>
      <c r="G7" s="150"/>
      <c r="H7" s="150"/>
      <c r="I7" s="150"/>
      <c r="J7" s="150"/>
      <c r="K7" s="150"/>
      <c r="L7" s="150"/>
      <c r="M7" s="150"/>
      <c r="N7" s="150"/>
      <c r="O7" s="151"/>
      <c r="P7" s="11"/>
      <c r="Q7" s="11"/>
    </row>
    <row r="8" spans="3:17" ht="15" thickBot="1" x14ac:dyDescent="0.4">
      <c r="C8" s="11"/>
      <c r="D8" s="177" t="s">
        <v>115</v>
      </c>
      <c r="E8" s="163">
        <v>5</v>
      </c>
      <c r="F8" s="163">
        <v>5</v>
      </c>
      <c r="G8" s="94"/>
      <c r="H8" s="94"/>
      <c r="I8" s="94"/>
      <c r="J8" s="94"/>
      <c r="K8" s="94"/>
      <c r="L8" s="94"/>
      <c r="M8" s="94"/>
      <c r="N8" s="94"/>
      <c r="O8" s="146"/>
      <c r="P8" s="11"/>
      <c r="Q8" s="11"/>
    </row>
    <row r="9" spans="3:17" ht="18.5" x14ac:dyDescent="0.45">
      <c r="C9" s="11"/>
      <c r="D9" s="147" t="s">
        <v>114</v>
      </c>
      <c r="E9" s="161">
        <v>200</v>
      </c>
      <c r="F9" s="150">
        <v>300</v>
      </c>
      <c r="G9" s="150"/>
      <c r="H9" s="150"/>
      <c r="I9" s="150"/>
      <c r="J9" s="150"/>
      <c r="K9" s="150"/>
      <c r="L9" s="150"/>
      <c r="M9" s="150"/>
      <c r="N9" s="150"/>
      <c r="O9" s="151"/>
      <c r="P9" s="11"/>
      <c r="Q9" s="11"/>
    </row>
    <row r="10" spans="3:17" ht="18.5" x14ac:dyDescent="0.45">
      <c r="C10" s="11"/>
      <c r="D10" s="147"/>
      <c r="E10" s="266">
        <v>210</v>
      </c>
      <c r="F10" s="150">
        <v>310</v>
      </c>
      <c r="G10" s="150"/>
      <c r="H10" s="150"/>
      <c r="I10" s="150"/>
      <c r="J10" s="150"/>
      <c r="K10" s="150"/>
      <c r="L10" s="150"/>
      <c r="M10" s="150"/>
      <c r="N10" s="150"/>
      <c r="O10" s="151"/>
      <c r="P10" s="11"/>
      <c r="Q10" s="11"/>
    </row>
    <row r="11" spans="3:17" ht="18.5" x14ac:dyDescent="0.45">
      <c r="C11" s="11"/>
      <c r="D11" s="147"/>
      <c r="E11" s="161">
        <v>999</v>
      </c>
      <c r="F11" s="150"/>
      <c r="G11" s="150"/>
      <c r="H11" s="150"/>
      <c r="I11" s="150"/>
      <c r="J11" s="150"/>
      <c r="K11" s="150"/>
      <c r="L11" s="150"/>
      <c r="M11" s="150"/>
      <c r="N11" s="150"/>
      <c r="O11" s="151"/>
      <c r="P11" s="11"/>
      <c r="Q11" s="11"/>
    </row>
    <row r="12" spans="3:17" ht="18.5" x14ac:dyDescent="0.45">
      <c r="C12" s="11"/>
      <c r="D12" s="147"/>
      <c r="E12" s="161"/>
      <c r="F12" s="150"/>
      <c r="G12" s="150"/>
      <c r="H12" s="150"/>
      <c r="I12" s="150"/>
      <c r="J12" s="150"/>
      <c r="K12" s="150"/>
      <c r="L12" s="150"/>
      <c r="M12" s="150"/>
      <c r="N12" s="150"/>
      <c r="O12" s="151"/>
      <c r="P12" s="11"/>
      <c r="Q12" s="11"/>
    </row>
    <row r="13" spans="3:17" ht="18.5" x14ac:dyDescent="0.45">
      <c r="C13" s="11"/>
      <c r="D13" s="153"/>
      <c r="E13" s="93"/>
      <c r="F13" s="150"/>
      <c r="G13" s="150"/>
      <c r="H13" s="150"/>
      <c r="I13" s="150"/>
      <c r="J13" s="150"/>
      <c r="K13" s="150"/>
      <c r="L13" s="150"/>
      <c r="M13" s="150"/>
      <c r="N13" s="150"/>
      <c r="O13" s="151"/>
      <c r="P13" s="11"/>
      <c r="Q13" s="11"/>
    </row>
    <row r="14" spans="3:17" ht="18.5" x14ac:dyDescent="0.45">
      <c r="C14" s="11"/>
      <c r="D14" s="153"/>
      <c r="E14" s="161"/>
      <c r="F14" s="150"/>
      <c r="G14" s="150"/>
      <c r="H14" s="150"/>
      <c r="I14" s="150"/>
      <c r="J14" s="150"/>
      <c r="K14" s="155"/>
      <c r="L14" s="150"/>
      <c r="M14" s="150"/>
      <c r="N14" s="150"/>
      <c r="O14" s="151"/>
      <c r="P14" s="11"/>
      <c r="Q14" s="11"/>
    </row>
    <row r="15" spans="3:17" ht="18.5" x14ac:dyDescent="0.45">
      <c r="C15" s="11"/>
      <c r="D15" s="153"/>
      <c r="E15" s="161"/>
      <c r="F15" s="150"/>
      <c r="G15" s="150"/>
      <c r="H15" s="154"/>
      <c r="I15" s="150"/>
      <c r="J15" s="150"/>
      <c r="K15" s="155"/>
      <c r="L15" s="150"/>
      <c r="M15" s="150"/>
      <c r="N15" s="150"/>
      <c r="O15" s="151"/>
      <c r="P15" s="11"/>
      <c r="Q15" s="11"/>
    </row>
    <row r="16" spans="3:17" ht="18.5" x14ac:dyDescent="0.45">
      <c r="C16" s="11"/>
      <c r="D16" s="153"/>
      <c r="E16" s="161"/>
      <c r="F16" s="150"/>
      <c r="G16" s="150"/>
      <c r="H16" s="150"/>
      <c r="I16" s="150"/>
      <c r="J16" s="150"/>
      <c r="K16" s="155"/>
      <c r="L16" s="150"/>
      <c r="M16" s="150"/>
      <c r="N16" s="150"/>
      <c r="O16" s="151"/>
      <c r="P16" s="11"/>
      <c r="Q16" s="11"/>
    </row>
    <row r="17" spans="3:17" ht="18.5" x14ac:dyDescent="0.45">
      <c r="C17" s="11"/>
      <c r="D17" s="153"/>
      <c r="E17" s="161"/>
      <c r="F17" s="150"/>
      <c r="G17" s="150"/>
      <c r="H17" s="150"/>
      <c r="I17" s="150"/>
      <c r="J17" s="150"/>
      <c r="K17" s="155"/>
      <c r="L17" s="150"/>
      <c r="M17" s="150"/>
      <c r="N17" s="150"/>
      <c r="O17" s="151"/>
      <c r="P17" s="11"/>
      <c r="Q17" s="11"/>
    </row>
    <row r="18" spans="3:17" ht="18.5" x14ac:dyDescent="0.45">
      <c r="C18" s="11"/>
      <c r="D18" s="153"/>
      <c r="E18" s="161"/>
      <c r="F18" s="150"/>
      <c r="G18" s="150"/>
      <c r="H18" s="156"/>
      <c r="I18" s="150"/>
      <c r="J18" s="150"/>
      <c r="K18" s="155"/>
      <c r="L18" s="150"/>
      <c r="M18" s="150"/>
      <c r="N18" s="150"/>
      <c r="O18" s="151"/>
      <c r="P18" s="11"/>
      <c r="Q18" s="11"/>
    </row>
    <row r="19" spans="3:17" ht="18.5" x14ac:dyDescent="0.45">
      <c r="C19" s="11"/>
      <c r="D19" s="153"/>
      <c r="E19" s="161"/>
      <c r="F19" s="150"/>
      <c r="G19" s="150"/>
      <c r="H19" s="156"/>
      <c r="I19" s="150"/>
      <c r="J19" s="150"/>
      <c r="K19" s="150"/>
      <c r="L19" s="150"/>
      <c r="M19" s="150"/>
      <c r="N19" s="150"/>
      <c r="O19" s="151"/>
      <c r="P19" s="11"/>
      <c r="Q19" s="11"/>
    </row>
    <row r="20" spans="3:17" ht="18.5" x14ac:dyDescent="0.45">
      <c r="C20" s="11"/>
      <c r="D20" s="153"/>
      <c r="E20" s="161"/>
      <c r="F20" s="150"/>
      <c r="G20" s="150"/>
      <c r="H20" s="150"/>
      <c r="I20" s="150"/>
      <c r="J20" s="150"/>
      <c r="K20" s="150"/>
      <c r="L20" s="150"/>
      <c r="M20" s="150"/>
      <c r="N20" s="150"/>
      <c r="O20" s="151"/>
      <c r="P20" s="11"/>
      <c r="Q20" s="11"/>
    </row>
    <row r="21" spans="3:17" ht="18.5" x14ac:dyDescent="0.45">
      <c r="C21" s="11"/>
      <c r="D21" s="153"/>
      <c r="E21" s="161"/>
      <c r="F21" s="150"/>
      <c r="G21" s="150"/>
      <c r="H21" s="150"/>
      <c r="I21" s="150"/>
      <c r="J21" s="150"/>
      <c r="K21" s="150"/>
      <c r="L21" s="150"/>
      <c r="M21" s="150"/>
      <c r="N21" s="150"/>
      <c r="O21" s="151"/>
      <c r="P21" s="11"/>
      <c r="Q21" s="11"/>
    </row>
    <row r="22" spans="3:17" ht="18.5" x14ac:dyDescent="0.45">
      <c r="C22" s="11"/>
      <c r="D22" s="153"/>
      <c r="E22" s="161"/>
      <c r="F22" s="150"/>
      <c r="G22" s="150"/>
      <c r="H22" s="150"/>
      <c r="I22" s="150"/>
      <c r="J22" s="150"/>
      <c r="K22" s="150"/>
      <c r="L22" s="150"/>
      <c r="M22" s="150"/>
      <c r="N22" s="150"/>
      <c r="O22" s="151"/>
      <c r="P22" s="11"/>
      <c r="Q22" s="11"/>
    </row>
    <row r="23" spans="3:17" ht="19" thickBot="1" x14ac:dyDescent="0.5">
      <c r="C23" s="11"/>
      <c r="D23" s="157"/>
      <c r="E23" s="162"/>
      <c r="F23" s="158"/>
      <c r="G23" s="158"/>
      <c r="H23" s="158"/>
      <c r="I23" s="158"/>
      <c r="J23" s="158"/>
      <c r="K23" s="158"/>
      <c r="L23" s="158"/>
      <c r="M23" s="158"/>
      <c r="N23" s="158"/>
      <c r="O23" s="159"/>
      <c r="P23" s="11"/>
      <c r="Q23" s="11" t="s">
        <v>23</v>
      </c>
    </row>
    <row r="24" spans="3:17" x14ac:dyDescent="0.35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 x14ac:dyDescent="0.35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 x14ac:dyDescent="0.35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23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1B74-8B2D-4299-BF87-D3DDB2E46E02}">
  <sheetPr>
    <tabColor rgb="FFFF0000"/>
  </sheetPr>
  <dimension ref="A2:AI67"/>
  <sheetViews>
    <sheetView tabSelected="1" topLeftCell="A3" zoomScale="90" zoomScaleNormal="90" workbookViewId="0">
      <selection activeCell="M30" sqref="M30"/>
    </sheetView>
  </sheetViews>
  <sheetFormatPr baseColWidth="10" defaultRowHeight="14.5" x14ac:dyDescent="0.35"/>
  <cols>
    <col min="2" max="2" width="21.1796875" bestFit="1" customWidth="1"/>
    <col min="3" max="3" width="14" bestFit="1" customWidth="1"/>
    <col min="4" max="4" width="16.54296875" bestFit="1" customWidth="1"/>
    <col min="5" max="5" width="15.7265625" customWidth="1"/>
    <col min="6" max="6" width="11.81640625" bestFit="1" customWidth="1"/>
    <col min="7" max="7" width="11.1796875" bestFit="1" customWidth="1"/>
    <col min="8" max="8" width="10.26953125" customWidth="1"/>
    <col min="9" max="9" width="17.90625" customWidth="1"/>
    <col min="10" max="11" width="16.54296875" bestFit="1" customWidth="1"/>
    <col min="12" max="12" width="12.26953125" bestFit="1" customWidth="1"/>
    <col min="13" max="13" width="12.7265625" bestFit="1" customWidth="1"/>
    <col min="14" max="14" width="11.7265625" bestFit="1" customWidth="1"/>
    <col min="15" max="15" width="13" customWidth="1"/>
    <col min="16" max="16" width="14.7265625" bestFit="1" customWidth="1"/>
    <col min="17" max="17" width="12.26953125" bestFit="1" customWidth="1"/>
    <col min="18" max="18" width="17.26953125" bestFit="1" customWidth="1"/>
    <col min="19" max="19" width="12.7265625" bestFit="1" customWidth="1"/>
    <col min="20" max="20" width="12.26953125" bestFit="1" customWidth="1"/>
    <col min="21" max="21" width="16.54296875" bestFit="1" customWidth="1"/>
    <col min="24" max="24" width="16.54296875" bestFit="1" customWidth="1"/>
  </cols>
  <sheetData>
    <row r="2" spans="1:35" ht="15" thickBot="1" x14ac:dyDescent="0.4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" thickBot="1" x14ac:dyDescent="0.4">
      <c r="A3" s="11"/>
      <c r="B3" s="371" t="s">
        <v>262</v>
      </c>
      <c r="C3" s="373"/>
      <c r="D3" s="11"/>
      <c r="E3" s="267" t="s">
        <v>271</v>
      </c>
      <c r="F3" s="302" t="s">
        <v>270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" thickBot="1" x14ac:dyDescent="0.4">
      <c r="A4" s="11"/>
      <c r="B4" s="277" t="s">
        <v>263</v>
      </c>
      <c r="C4" s="387">
        <v>3</v>
      </c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 t="s">
        <v>303</v>
      </c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" thickBot="1" x14ac:dyDescent="0.4">
      <c r="A5" s="11"/>
      <c r="B5" s="93" t="s">
        <v>264</v>
      </c>
      <c r="C5" s="309" t="s">
        <v>266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P5" s="270" t="s">
        <v>275</v>
      </c>
      <c r="Q5" s="271"/>
      <c r="R5" s="305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" thickBot="1" x14ac:dyDescent="0.4">
      <c r="A6" s="11"/>
      <c r="B6" s="269"/>
      <c r="C6" s="146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82">
        <v>2</v>
      </c>
      <c r="Q6" s="310" t="s">
        <v>301</v>
      </c>
      <c r="R6" s="92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x14ac:dyDescent="0.35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P7" s="182">
        <v>3</v>
      </c>
      <c r="Q7" s="310" t="s">
        <v>300</v>
      </c>
      <c r="R7" s="92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" thickBot="1" x14ac:dyDescent="0.4">
      <c r="A8" s="11"/>
      <c r="B8" s="311" t="s">
        <v>280</v>
      </c>
      <c r="C8" s="11"/>
      <c r="D8" s="11"/>
      <c r="E8" s="11"/>
      <c r="F8" s="11"/>
      <c r="G8" s="11"/>
      <c r="H8" s="11"/>
      <c r="I8" s="312" t="s">
        <v>282</v>
      </c>
      <c r="J8" s="11"/>
      <c r="K8" s="11"/>
      <c r="L8" s="11"/>
      <c r="M8" s="11"/>
      <c r="N8" s="11"/>
      <c r="O8" s="11"/>
      <c r="P8" s="182">
        <v>4</v>
      </c>
      <c r="Q8" s="310"/>
      <c r="R8" s="92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" thickBot="1" x14ac:dyDescent="0.4">
      <c r="A9" s="11"/>
      <c r="B9" s="380" t="s">
        <v>289</v>
      </c>
      <c r="C9" s="381"/>
      <c r="D9" s="381"/>
      <c r="E9" s="381"/>
      <c r="F9" s="382"/>
      <c r="G9" s="208"/>
      <c r="H9" s="11"/>
      <c r="I9" s="377" t="s">
        <v>290</v>
      </c>
      <c r="J9" s="378"/>
      <c r="K9" s="378"/>
      <c r="L9" s="378"/>
      <c r="M9" s="379"/>
      <c r="N9" s="268"/>
      <c r="O9" s="208"/>
      <c r="P9" s="269"/>
      <c r="Q9" s="94" t="s">
        <v>277</v>
      </c>
      <c r="R9" s="146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" thickBot="1" x14ac:dyDescent="0.4">
      <c r="A10" s="11"/>
      <c r="B10" s="304" t="s">
        <v>273</v>
      </c>
      <c r="C10" s="306" t="s">
        <v>35</v>
      </c>
      <c r="D10" s="307" t="s">
        <v>276</v>
      </c>
      <c r="E10" s="273" t="s">
        <v>274</v>
      </c>
      <c r="F10" s="301" t="s">
        <v>278</v>
      </c>
      <c r="G10" s="208"/>
      <c r="H10" s="11"/>
      <c r="I10" s="304" t="s">
        <v>273</v>
      </c>
      <c r="J10" s="304" t="s">
        <v>35</v>
      </c>
      <c r="K10" s="308" t="s">
        <v>272</v>
      </c>
      <c r="L10" s="304" t="s">
        <v>276</v>
      </c>
      <c r="M10" s="304" t="s">
        <v>274</v>
      </c>
      <c r="N10" s="268" t="s">
        <v>278</v>
      </c>
      <c r="O10" s="208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" thickBot="1" x14ac:dyDescent="0.4">
      <c r="A11" s="11"/>
      <c r="B11" s="298">
        <v>11</v>
      </c>
      <c r="C11" s="299" t="s">
        <v>177</v>
      </c>
      <c r="D11" s="293">
        <v>0.1</v>
      </c>
      <c r="E11" s="299">
        <v>1</v>
      </c>
      <c r="F11" s="301" t="s">
        <v>284</v>
      </c>
      <c r="G11" s="208"/>
      <c r="H11" s="11"/>
      <c r="I11" s="182">
        <v>200</v>
      </c>
      <c r="J11" s="383" t="s">
        <v>177</v>
      </c>
      <c r="K11" s="208">
        <v>1</v>
      </c>
      <c r="L11" s="208">
        <v>0.2</v>
      </c>
      <c r="M11" s="295">
        <v>2</v>
      </c>
      <c r="N11" s="303" t="s">
        <v>284</v>
      </c>
      <c r="O11" s="208"/>
      <c r="P11" s="388" t="s">
        <v>302</v>
      </c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" thickBot="1" x14ac:dyDescent="0.4">
      <c r="A12" s="11"/>
      <c r="B12" s="182">
        <v>11</v>
      </c>
      <c r="C12" s="276" t="s">
        <v>173</v>
      </c>
      <c r="D12" s="208">
        <v>0.15</v>
      </c>
      <c r="E12" s="208">
        <v>1</v>
      </c>
      <c r="F12" s="303" t="s">
        <v>283</v>
      </c>
      <c r="G12" s="208"/>
      <c r="H12" s="11"/>
      <c r="I12" s="182">
        <v>210</v>
      </c>
      <c r="J12" s="383" t="s">
        <v>177</v>
      </c>
      <c r="K12" s="208">
        <v>1</v>
      </c>
      <c r="L12" s="208">
        <v>0.1</v>
      </c>
      <c r="M12" s="295">
        <v>2</v>
      </c>
      <c r="N12" s="303" t="s">
        <v>283</v>
      </c>
      <c r="O12" s="208"/>
      <c r="P12" s="226" t="s">
        <v>298</v>
      </c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 x14ac:dyDescent="0.35">
      <c r="A13" s="11"/>
      <c r="B13" s="182"/>
      <c r="C13" s="276"/>
      <c r="D13" s="208"/>
      <c r="E13" s="208"/>
      <c r="F13" s="303"/>
      <c r="G13" s="208"/>
      <c r="H13" s="11"/>
      <c r="I13" s="182"/>
      <c r="J13" s="383"/>
      <c r="K13" s="208"/>
      <c r="L13" s="208"/>
      <c r="M13" s="295"/>
      <c r="N13" s="303"/>
      <c r="O13" s="208"/>
      <c r="P13" s="226">
        <v>1</v>
      </c>
      <c r="Q13" s="384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 x14ac:dyDescent="0.35">
      <c r="A14" s="11"/>
      <c r="B14" s="182"/>
      <c r="C14" s="276"/>
      <c r="D14" s="208"/>
      <c r="E14" s="208"/>
      <c r="F14" s="303"/>
      <c r="G14" s="208"/>
      <c r="H14" s="11"/>
      <c r="I14" s="182"/>
      <c r="J14" s="383"/>
      <c r="K14" s="208"/>
      <c r="L14" s="208"/>
      <c r="M14" s="295"/>
      <c r="N14" s="303"/>
      <c r="O14" s="208"/>
      <c r="P14" s="176">
        <v>0.8</v>
      </c>
      <c r="Q14" s="386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 x14ac:dyDescent="0.35">
      <c r="A15" s="11"/>
      <c r="B15" s="182"/>
      <c r="C15" s="276"/>
      <c r="D15" s="208"/>
      <c r="E15" s="208"/>
      <c r="F15" s="303"/>
      <c r="G15" s="208"/>
      <c r="H15" s="11"/>
      <c r="I15" s="182"/>
      <c r="J15" s="383"/>
      <c r="K15" s="208"/>
      <c r="L15" s="208"/>
      <c r="M15" s="295"/>
      <c r="N15" s="303"/>
      <c r="O15" s="208"/>
      <c r="P15" s="176">
        <v>0.2</v>
      </c>
      <c r="Q15" s="386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 x14ac:dyDescent="0.35">
      <c r="A16" s="11"/>
      <c r="B16" s="182"/>
      <c r="C16" s="276"/>
      <c r="D16" s="208"/>
      <c r="E16" s="208"/>
      <c r="F16" s="303"/>
      <c r="G16" s="208"/>
      <c r="H16" s="11"/>
      <c r="I16" s="182"/>
      <c r="J16" s="383"/>
      <c r="K16" s="208"/>
      <c r="L16" s="208"/>
      <c r="M16" s="295"/>
      <c r="N16" s="303"/>
      <c r="O16" s="208"/>
      <c r="P16" s="176">
        <v>0</v>
      </c>
      <c r="Q16" s="386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 x14ac:dyDescent="0.35">
      <c r="A17" s="11"/>
      <c r="B17" s="182"/>
      <c r="C17" s="276"/>
      <c r="D17" s="208"/>
      <c r="E17" s="208"/>
      <c r="F17" s="303"/>
      <c r="G17" s="208"/>
      <c r="H17" s="11"/>
      <c r="I17" s="182"/>
      <c r="J17" s="383"/>
      <c r="K17" s="208"/>
      <c r="L17" s="208"/>
      <c r="M17" s="295"/>
      <c r="N17" s="303"/>
      <c r="O17" s="208"/>
      <c r="P17" s="176">
        <v>-0.2</v>
      </c>
      <c r="Q17" s="386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 x14ac:dyDescent="0.35">
      <c r="A18" s="11"/>
      <c r="B18" s="182"/>
      <c r="C18" s="276"/>
      <c r="D18" s="208"/>
      <c r="E18" s="208"/>
      <c r="F18" s="303"/>
      <c r="G18" s="208"/>
      <c r="H18" s="11"/>
      <c r="I18" s="182"/>
      <c r="J18" s="383"/>
      <c r="K18" s="208"/>
      <c r="L18" s="208"/>
      <c r="M18" s="295"/>
      <c r="N18" s="303"/>
      <c r="O18" s="208"/>
      <c r="P18" s="176">
        <v>-0.8</v>
      </c>
      <c r="Q18" s="386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 x14ac:dyDescent="0.35">
      <c r="A19" s="11"/>
      <c r="B19" s="182"/>
      <c r="C19" s="276"/>
      <c r="D19" s="208"/>
      <c r="E19" s="208"/>
      <c r="F19" s="303"/>
      <c r="G19" s="208"/>
      <c r="H19" s="11"/>
      <c r="I19" s="182"/>
      <c r="J19" s="383"/>
      <c r="K19" s="208"/>
      <c r="L19" s="208"/>
      <c r="M19" s="295"/>
      <c r="N19" s="303"/>
      <c r="O19" s="208"/>
      <c r="P19" s="176">
        <v>-1</v>
      </c>
      <c r="Q19" s="386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" thickBot="1" x14ac:dyDescent="0.4">
      <c r="A20" s="11"/>
      <c r="B20" s="182"/>
      <c r="C20" s="276"/>
      <c r="D20" s="208"/>
      <c r="E20" s="208"/>
      <c r="F20" s="303"/>
      <c r="G20" s="208"/>
      <c r="H20" s="11"/>
      <c r="I20" s="182"/>
      <c r="J20" s="383"/>
      <c r="K20" s="208"/>
      <c r="L20" s="208"/>
      <c r="M20" s="295"/>
      <c r="N20" s="303"/>
      <c r="O20" s="208"/>
      <c r="P20" s="177"/>
      <c r="Q20" s="386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</row>
    <row r="21" spans="1:35" x14ac:dyDescent="0.35">
      <c r="A21" s="11"/>
      <c r="B21" s="182"/>
      <c r="C21" s="276"/>
      <c r="D21" s="208"/>
      <c r="E21" s="208"/>
      <c r="F21" s="303"/>
      <c r="G21" s="208"/>
      <c r="H21" s="11"/>
      <c r="I21" s="182"/>
      <c r="J21" s="383"/>
      <c r="K21" s="208"/>
      <c r="L21" s="208"/>
      <c r="M21" s="295"/>
      <c r="N21" s="303"/>
      <c r="O21" s="208"/>
      <c r="Q21" s="386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x14ac:dyDescent="0.35">
      <c r="A22" s="11"/>
      <c r="B22" s="182"/>
      <c r="C22" s="276"/>
      <c r="D22" s="208"/>
      <c r="E22" s="208"/>
      <c r="F22" s="303"/>
      <c r="G22" s="208"/>
      <c r="H22" s="11"/>
      <c r="I22" s="182"/>
      <c r="J22" s="383"/>
      <c r="K22" s="208"/>
      <c r="L22" s="208"/>
      <c r="M22" s="295"/>
      <c r="N22" s="303"/>
      <c r="O22" s="208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" thickBot="1" x14ac:dyDescent="0.4">
      <c r="A23" s="11"/>
      <c r="B23" s="289"/>
      <c r="C23" s="300"/>
      <c r="D23" s="163"/>
      <c r="E23" s="163"/>
      <c r="F23" s="304"/>
      <c r="G23" s="208"/>
      <c r="H23" s="11"/>
      <c r="I23" s="289"/>
      <c r="J23" s="163"/>
      <c r="K23" s="163"/>
      <c r="L23" s="163"/>
      <c r="M23" s="296"/>
      <c r="N23" s="304"/>
      <c r="O23" s="208"/>
      <c r="P23" s="386"/>
      <c r="Q23" s="386"/>
      <c r="R23" s="386"/>
      <c r="S23" s="386"/>
      <c r="T23" s="386"/>
      <c r="U23" s="386"/>
      <c r="V23" s="386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 x14ac:dyDescent="0.35">
      <c r="A24" s="11"/>
      <c r="B24" s="208"/>
      <c r="C24" s="208"/>
      <c r="D24" s="208"/>
      <c r="E24" s="208"/>
      <c r="F24" s="208"/>
      <c r="G24" s="208"/>
      <c r="H24" s="11"/>
      <c r="I24" s="208"/>
      <c r="J24" s="208"/>
      <c r="K24" s="208"/>
      <c r="L24" s="208"/>
      <c r="M24" s="208"/>
      <c r="N24" s="208"/>
      <c r="O24" s="208"/>
      <c r="P24" s="386"/>
      <c r="Q24" s="386"/>
      <c r="R24" s="386"/>
      <c r="S24" s="386"/>
      <c r="T24" s="386"/>
      <c r="U24" s="386"/>
      <c r="V24" s="386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x14ac:dyDescent="0.35">
      <c r="A25" s="11"/>
      <c r="B25" s="208"/>
      <c r="C25" s="208"/>
      <c r="D25" s="208"/>
      <c r="E25" s="208"/>
      <c r="F25" s="208"/>
      <c r="G25" s="208"/>
      <c r="H25" s="11"/>
      <c r="I25" s="208"/>
      <c r="J25" s="208"/>
      <c r="K25" s="208"/>
      <c r="L25" s="208"/>
      <c r="M25" s="208"/>
      <c r="N25" s="208"/>
      <c r="O25" s="208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" thickBot="1" x14ac:dyDescent="0.4">
      <c r="A26" s="11"/>
      <c r="B26" s="312" t="s">
        <v>286</v>
      </c>
      <c r="C26" s="208"/>
      <c r="D26" s="208"/>
      <c r="E26" s="208"/>
      <c r="F26" s="208"/>
      <c r="G26" s="208"/>
      <c r="H26" s="208"/>
      <c r="I26" s="312" t="s">
        <v>282</v>
      </c>
      <c r="J26" s="208"/>
      <c r="K26" s="208"/>
      <c r="L26" s="208"/>
      <c r="M26" s="208"/>
      <c r="N26" s="208"/>
      <c r="O26" s="208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" thickBot="1" x14ac:dyDescent="0.4">
      <c r="A27" s="11"/>
      <c r="B27" s="270" t="s">
        <v>287</v>
      </c>
      <c r="C27" s="271"/>
      <c r="D27" s="271"/>
      <c r="E27" s="271"/>
      <c r="F27" s="272"/>
      <c r="G27" s="208"/>
      <c r="H27" s="208"/>
      <c r="I27" s="377" t="s">
        <v>288</v>
      </c>
      <c r="J27" s="378"/>
      <c r="K27" s="378"/>
      <c r="L27" s="378"/>
      <c r="M27" s="378"/>
      <c r="N27" s="379"/>
      <c r="O27" s="208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" thickBot="1" x14ac:dyDescent="0.4">
      <c r="A28" s="11"/>
      <c r="B28" s="268" t="s">
        <v>273</v>
      </c>
      <c r="C28" s="268" t="s">
        <v>35</v>
      </c>
      <c r="D28" s="273" t="s">
        <v>276</v>
      </c>
      <c r="E28" s="268" t="s">
        <v>274</v>
      </c>
      <c r="F28" s="301" t="s">
        <v>278</v>
      </c>
      <c r="G28" s="208"/>
      <c r="H28" s="208"/>
      <c r="I28" s="301" t="s">
        <v>273</v>
      </c>
      <c r="J28" s="268" t="s">
        <v>35</v>
      </c>
      <c r="K28" s="273" t="s">
        <v>272</v>
      </c>
      <c r="L28" s="294" t="s">
        <v>276</v>
      </c>
      <c r="M28" s="301" t="s">
        <v>274</v>
      </c>
      <c r="N28" s="301" t="s">
        <v>278</v>
      </c>
      <c r="O28" s="208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x14ac:dyDescent="0.35">
      <c r="A29" s="11"/>
      <c r="B29" s="282">
        <v>220</v>
      </c>
      <c r="C29" s="383" t="s">
        <v>173</v>
      </c>
      <c r="D29" s="293">
        <v>0.1</v>
      </c>
      <c r="E29" s="294">
        <v>3</v>
      </c>
      <c r="F29" s="294" t="s">
        <v>284</v>
      </c>
      <c r="G29" s="208"/>
      <c r="H29" s="208"/>
      <c r="I29" s="282">
        <v>200</v>
      </c>
      <c r="J29" s="383" t="s">
        <v>177</v>
      </c>
      <c r="K29" s="208">
        <v>2</v>
      </c>
      <c r="L29" s="293">
        <v>0.1</v>
      </c>
      <c r="M29" s="293">
        <v>3</v>
      </c>
      <c r="N29" s="301" t="s">
        <v>283</v>
      </c>
      <c r="O29" s="208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 x14ac:dyDescent="0.35">
      <c r="A30" s="11"/>
      <c r="B30" s="182"/>
      <c r="C30" s="383"/>
      <c r="D30" s="208"/>
      <c r="E30" s="295"/>
      <c r="F30" s="295"/>
      <c r="G30" s="208"/>
      <c r="H30" s="208"/>
      <c r="I30" s="182"/>
      <c r="J30" s="383"/>
      <c r="K30" s="208"/>
      <c r="L30" s="208"/>
      <c r="M30" s="208"/>
      <c r="N30" s="303"/>
      <c r="O30" s="208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 x14ac:dyDescent="0.35">
      <c r="A31" s="11"/>
      <c r="B31" s="182"/>
      <c r="C31" s="383"/>
      <c r="D31" s="208"/>
      <c r="E31" s="295"/>
      <c r="F31" s="295"/>
      <c r="G31" s="208"/>
      <c r="H31" s="208"/>
      <c r="I31" s="182"/>
      <c r="J31" s="383"/>
      <c r="K31" s="208"/>
      <c r="L31" s="208"/>
      <c r="M31" s="208"/>
      <c r="N31" s="303"/>
      <c r="O31" s="208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 x14ac:dyDescent="0.35">
      <c r="A32" s="11"/>
      <c r="B32" s="182"/>
      <c r="C32" s="383"/>
      <c r="D32" s="208"/>
      <c r="E32" s="295"/>
      <c r="F32" s="295"/>
      <c r="G32" s="208"/>
      <c r="H32" s="208"/>
      <c r="I32" s="182"/>
      <c r="J32" s="383"/>
      <c r="K32" s="208"/>
      <c r="L32" s="208"/>
      <c r="M32" s="208"/>
      <c r="N32" s="303"/>
      <c r="O32" s="208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 x14ac:dyDescent="0.35">
      <c r="A33" s="11"/>
      <c r="B33" s="182"/>
      <c r="C33" s="383"/>
      <c r="D33" s="208"/>
      <c r="E33" s="295"/>
      <c r="F33" s="295"/>
      <c r="G33" s="208"/>
      <c r="H33" s="208"/>
      <c r="I33" s="182"/>
      <c r="J33" s="383"/>
      <c r="K33" s="208"/>
      <c r="L33" s="208"/>
      <c r="M33" s="208"/>
      <c r="N33" s="303"/>
      <c r="O33" s="208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 x14ac:dyDescent="0.35">
      <c r="A34" s="11"/>
      <c r="B34" s="182"/>
      <c r="C34" s="383"/>
      <c r="D34" s="208"/>
      <c r="E34" s="295"/>
      <c r="F34" s="295"/>
      <c r="G34" s="208"/>
      <c r="H34" s="208"/>
      <c r="I34" s="182"/>
      <c r="J34" s="383"/>
      <c r="K34" s="208"/>
      <c r="L34" s="208"/>
      <c r="M34" s="208"/>
      <c r="N34" s="303"/>
      <c r="O34" s="208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 x14ac:dyDescent="0.35">
      <c r="A35" s="11"/>
      <c r="B35" s="182"/>
      <c r="C35" s="383"/>
      <c r="D35" s="208"/>
      <c r="E35" s="295"/>
      <c r="F35" s="295"/>
      <c r="G35" s="208"/>
      <c r="H35" s="208"/>
      <c r="I35" s="182"/>
      <c r="J35" s="383"/>
      <c r="K35" s="208"/>
      <c r="L35" s="208"/>
      <c r="M35" s="208"/>
      <c r="N35" s="303"/>
      <c r="O35" s="208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 x14ac:dyDescent="0.35">
      <c r="A36" s="11"/>
      <c r="B36" s="182"/>
      <c r="C36" s="383"/>
      <c r="D36" s="208"/>
      <c r="E36" s="295"/>
      <c r="F36" s="295"/>
      <c r="G36" s="208"/>
      <c r="H36" s="208"/>
      <c r="I36" s="182"/>
      <c r="J36" s="383"/>
      <c r="K36" s="208"/>
      <c r="L36" s="208"/>
      <c r="M36" s="208"/>
      <c r="N36" s="303"/>
      <c r="O36" s="208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 x14ac:dyDescent="0.35">
      <c r="A37" s="11"/>
      <c r="B37" s="182"/>
      <c r="C37" s="383"/>
      <c r="D37" s="208"/>
      <c r="E37" s="295"/>
      <c r="F37" s="295"/>
      <c r="G37" s="208"/>
      <c r="H37" s="208"/>
      <c r="I37" s="182"/>
      <c r="J37" s="383"/>
      <c r="K37" s="208"/>
      <c r="L37" s="208"/>
      <c r="M37" s="208"/>
      <c r="N37" s="303"/>
      <c r="O37" s="208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 x14ac:dyDescent="0.35">
      <c r="A38" s="11"/>
      <c r="B38" s="182"/>
      <c r="C38" s="383"/>
      <c r="D38" s="208"/>
      <c r="E38" s="295"/>
      <c r="F38" s="295"/>
      <c r="G38" s="208"/>
      <c r="H38" s="208"/>
      <c r="I38" s="182"/>
      <c r="J38" s="383"/>
      <c r="K38" s="208"/>
      <c r="L38" s="208"/>
      <c r="M38" s="208"/>
      <c r="N38" s="303"/>
      <c r="O38" s="208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 x14ac:dyDescent="0.35">
      <c r="B39" s="182"/>
      <c r="C39" s="383"/>
      <c r="D39" s="208"/>
      <c r="E39" s="295"/>
      <c r="F39" s="295"/>
      <c r="G39" s="208"/>
      <c r="H39" s="208"/>
      <c r="I39" s="182"/>
      <c r="J39" s="383"/>
      <c r="K39" s="208"/>
      <c r="L39" s="208"/>
      <c r="M39" s="208"/>
      <c r="N39" s="303"/>
      <c r="O39" s="208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 x14ac:dyDescent="0.35">
      <c r="B40" s="182"/>
      <c r="C40" s="383"/>
      <c r="D40" s="208"/>
      <c r="E40" s="295"/>
      <c r="F40" s="295"/>
      <c r="G40" s="208"/>
      <c r="H40" s="208"/>
      <c r="I40" s="182"/>
      <c r="J40" s="383"/>
      <c r="K40" s="208"/>
      <c r="L40" s="208"/>
      <c r="M40" s="208"/>
      <c r="N40" s="303"/>
      <c r="O40" s="208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" thickBot="1" x14ac:dyDescent="0.4">
      <c r="A41" s="11"/>
      <c r="B41" s="289"/>
      <c r="C41" s="163"/>
      <c r="D41" s="163"/>
      <c r="E41" s="296"/>
      <c r="F41" s="296"/>
      <c r="G41" s="208"/>
      <c r="H41" s="208"/>
      <c r="I41" s="289"/>
      <c r="J41" s="163"/>
      <c r="K41" s="163"/>
      <c r="L41" s="163"/>
      <c r="M41" s="163"/>
      <c r="N41" s="304"/>
      <c r="O41" s="208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 x14ac:dyDescent="0.35">
      <c r="A42" s="11"/>
      <c r="B42" s="11"/>
      <c r="C42" s="11"/>
      <c r="D42" s="11"/>
      <c r="E42" s="11"/>
      <c r="F42" s="11"/>
      <c r="G42" s="208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 x14ac:dyDescent="0.3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 x14ac:dyDescent="0.3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" thickBot="1" x14ac:dyDescent="0.4">
      <c r="A45" s="11"/>
      <c r="B45" s="312" t="s">
        <v>281</v>
      </c>
      <c r="C45" s="11"/>
      <c r="D45" s="11"/>
      <c r="E45" s="11"/>
      <c r="F45" s="11"/>
      <c r="G45" s="11"/>
      <c r="H45" s="11"/>
      <c r="I45" s="312" t="s">
        <v>294</v>
      </c>
      <c r="J45" s="11"/>
      <c r="K45" s="11"/>
      <c r="L45" s="11"/>
      <c r="M45" s="11"/>
      <c r="N45" s="312" t="s">
        <v>295</v>
      </c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" thickBot="1" x14ac:dyDescent="0.4">
      <c r="A46" s="11"/>
      <c r="B46" s="377" t="s">
        <v>279</v>
      </c>
      <c r="C46" s="378"/>
      <c r="D46" s="378"/>
      <c r="E46" s="378"/>
      <c r="F46" s="379"/>
      <c r="G46" s="385"/>
      <c r="H46" s="11"/>
      <c r="I46" s="377" t="s">
        <v>296</v>
      </c>
      <c r="J46" s="378"/>
      <c r="K46" s="378"/>
      <c r="L46" s="379"/>
      <c r="M46" s="11"/>
      <c r="N46" s="377" t="s">
        <v>297</v>
      </c>
      <c r="O46" s="378"/>
      <c r="P46" s="378"/>
      <c r="Q46" s="379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" thickBot="1" x14ac:dyDescent="0.4">
      <c r="A47" s="11"/>
      <c r="B47" s="301" t="s">
        <v>273</v>
      </c>
      <c r="C47" s="301" t="s">
        <v>35</v>
      </c>
      <c r="D47" s="294" t="s">
        <v>276</v>
      </c>
      <c r="E47" s="301" t="s">
        <v>274</v>
      </c>
      <c r="F47" s="301" t="s">
        <v>278</v>
      </c>
      <c r="G47" s="11"/>
      <c r="H47" s="11"/>
      <c r="I47" s="301" t="s">
        <v>273</v>
      </c>
      <c r="J47" s="294" t="s">
        <v>276</v>
      </c>
      <c r="K47" s="301" t="s">
        <v>274</v>
      </c>
      <c r="L47" s="301" t="s">
        <v>278</v>
      </c>
      <c r="M47" s="11"/>
      <c r="N47" s="301" t="s">
        <v>273</v>
      </c>
      <c r="O47" s="294" t="s">
        <v>276</v>
      </c>
      <c r="P47" s="301" t="s">
        <v>274</v>
      </c>
      <c r="Q47" s="301" t="s">
        <v>278</v>
      </c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</row>
    <row r="48" spans="1:35" x14ac:dyDescent="0.35">
      <c r="A48" s="11"/>
      <c r="B48" s="282">
        <v>555</v>
      </c>
      <c r="C48" s="299" t="s">
        <v>292</v>
      </c>
      <c r="D48" s="293">
        <v>0.2</v>
      </c>
      <c r="E48" s="293">
        <v>3</v>
      </c>
      <c r="F48" s="301" t="s">
        <v>285</v>
      </c>
      <c r="G48" s="11"/>
      <c r="H48" s="11"/>
      <c r="I48" s="282">
        <v>11</v>
      </c>
      <c r="J48" s="293">
        <v>0.2</v>
      </c>
      <c r="K48" s="294">
        <v>3</v>
      </c>
      <c r="L48" s="301" t="s">
        <v>283</v>
      </c>
      <c r="M48" s="11"/>
      <c r="N48" s="282">
        <v>3000</v>
      </c>
      <c r="O48" s="293">
        <v>0.2</v>
      </c>
      <c r="P48" s="294">
        <v>3</v>
      </c>
      <c r="Q48" s="301" t="s">
        <v>283</v>
      </c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</row>
    <row r="49" spans="1:30" x14ac:dyDescent="0.35">
      <c r="A49" s="11"/>
      <c r="B49" s="182"/>
      <c r="C49" s="383"/>
      <c r="D49" s="384"/>
      <c r="E49" s="384"/>
      <c r="F49" s="303"/>
      <c r="G49" s="11"/>
      <c r="H49" s="11"/>
      <c r="I49" s="182"/>
      <c r="J49" s="384"/>
      <c r="K49" s="295"/>
      <c r="L49" s="303"/>
      <c r="M49" s="11"/>
      <c r="N49" s="182"/>
      <c r="O49" s="384"/>
      <c r="P49" s="295"/>
      <c r="Q49" s="303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</row>
    <row r="50" spans="1:30" x14ac:dyDescent="0.35">
      <c r="A50" s="11"/>
      <c r="B50" s="182"/>
      <c r="C50" s="383"/>
      <c r="D50" s="384"/>
      <c r="E50" s="384"/>
      <c r="F50" s="303"/>
      <c r="G50" s="11"/>
      <c r="H50" s="11"/>
      <c r="I50" s="182"/>
      <c r="J50" s="384"/>
      <c r="K50" s="295"/>
      <c r="L50" s="303"/>
      <c r="M50" s="11"/>
      <c r="N50" s="182"/>
      <c r="O50" s="384"/>
      <c r="P50" s="295"/>
      <c r="Q50" s="303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</row>
    <row r="51" spans="1:30" x14ac:dyDescent="0.35">
      <c r="A51" s="11"/>
      <c r="B51" s="182"/>
      <c r="C51" s="383"/>
      <c r="D51" s="384"/>
      <c r="E51" s="384"/>
      <c r="F51" s="303"/>
      <c r="G51" s="11"/>
      <c r="H51" s="11"/>
      <c r="I51" s="182"/>
      <c r="J51" s="384"/>
      <c r="K51" s="295"/>
      <c r="L51" s="303"/>
      <c r="M51" s="11"/>
      <c r="N51" s="182"/>
      <c r="O51" s="384"/>
      <c r="P51" s="295"/>
      <c r="Q51" s="303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</row>
    <row r="52" spans="1:30" x14ac:dyDescent="0.35">
      <c r="A52" s="11"/>
      <c r="B52" s="182"/>
      <c r="C52" s="383"/>
      <c r="D52" s="384"/>
      <c r="E52" s="384"/>
      <c r="F52" s="303"/>
      <c r="G52" s="11"/>
      <c r="H52" s="11"/>
      <c r="I52" s="182"/>
      <c r="J52" s="384"/>
      <c r="K52" s="295"/>
      <c r="L52" s="303"/>
      <c r="M52" s="11"/>
      <c r="N52" s="182"/>
      <c r="O52" s="384"/>
      <c r="P52" s="295"/>
      <c r="Q52" s="303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</row>
    <row r="53" spans="1:30" x14ac:dyDescent="0.35">
      <c r="A53" s="11"/>
      <c r="B53" s="182"/>
      <c r="C53" s="383"/>
      <c r="D53" s="384"/>
      <c r="E53" s="384"/>
      <c r="F53" s="303"/>
      <c r="G53" s="11"/>
      <c r="H53" s="11"/>
      <c r="I53" s="182"/>
      <c r="J53" s="384"/>
      <c r="K53" s="295"/>
      <c r="L53" s="303"/>
      <c r="M53" s="11"/>
      <c r="N53" s="182"/>
      <c r="O53" s="384"/>
      <c r="P53" s="295"/>
      <c r="Q53" s="303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</row>
    <row r="54" spans="1:30" x14ac:dyDescent="0.35">
      <c r="A54" s="11"/>
      <c r="B54" s="182"/>
      <c r="C54" s="383"/>
      <c r="D54" s="384"/>
      <c r="E54" s="384"/>
      <c r="F54" s="303"/>
      <c r="G54" s="11"/>
      <c r="H54" s="11"/>
      <c r="I54" s="182"/>
      <c r="J54" s="384"/>
      <c r="K54" s="295"/>
      <c r="L54" s="303"/>
      <c r="M54" s="11"/>
      <c r="N54" s="182"/>
      <c r="O54" s="384"/>
      <c r="P54" s="295"/>
      <c r="Q54" s="303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</row>
    <row r="55" spans="1:30" x14ac:dyDescent="0.35">
      <c r="A55" s="11"/>
      <c r="B55" s="182"/>
      <c r="C55" s="383"/>
      <c r="D55" s="384"/>
      <c r="E55" s="384"/>
      <c r="F55" s="303"/>
      <c r="G55" s="11"/>
      <c r="H55" s="11"/>
      <c r="I55" s="182"/>
      <c r="J55" s="384"/>
      <c r="K55" s="295"/>
      <c r="L55" s="303"/>
      <c r="M55" s="11"/>
      <c r="N55" s="182"/>
      <c r="O55" s="384"/>
      <c r="P55" s="295"/>
      <c r="Q55" s="303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</row>
    <row r="56" spans="1:30" x14ac:dyDescent="0.35">
      <c r="A56" s="11"/>
      <c r="B56" s="182"/>
      <c r="C56" s="383"/>
      <c r="D56" s="384"/>
      <c r="E56" s="384"/>
      <c r="F56" s="303"/>
      <c r="G56" s="11"/>
      <c r="H56" s="11"/>
      <c r="I56" s="182"/>
      <c r="J56" s="384"/>
      <c r="K56" s="295"/>
      <c r="L56" s="303"/>
      <c r="M56" s="11"/>
      <c r="N56" s="182"/>
      <c r="O56" s="384"/>
      <c r="P56" s="295"/>
      <c r="Q56" s="303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</row>
    <row r="57" spans="1:30" x14ac:dyDescent="0.35">
      <c r="A57" s="11"/>
      <c r="B57" s="182"/>
      <c r="C57" s="383"/>
      <c r="D57" s="384"/>
      <c r="E57" s="384"/>
      <c r="F57" s="303"/>
      <c r="G57" s="11"/>
      <c r="H57" s="11"/>
      <c r="I57" s="182"/>
      <c r="J57" s="384"/>
      <c r="K57" s="295"/>
      <c r="L57" s="303"/>
      <c r="M57" s="11"/>
      <c r="N57" s="182"/>
      <c r="O57" s="384"/>
      <c r="P57" s="295"/>
      <c r="Q57" s="303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</row>
    <row r="58" spans="1:30" x14ac:dyDescent="0.35">
      <c r="A58" s="11"/>
      <c r="B58" s="182"/>
      <c r="C58" s="383"/>
      <c r="D58" s="384"/>
      <c r="E58" s="384"/>
      <c r="F58" s="303"/>
      <c r="G58" s="11"/>
      <c r="H58" s="11"/>
      <c r="I58" s="182"/>
      <c r="J58" s="384"/>
      <c r="K58" s="295"/>
      <c r="L58" s="303"/>
      <c r="M58" s="11"/>
      <c r="N58" s="182"/>
      <c r="O58" s="384"/>
      <c r="P58" s="295"/>
      <c r="Q58" s="303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</row>
    <row r="59" spans="1:30" x14ac:dyDescent="0.35">
      <c r="A59" s="11"/>
      <c r="B59" s="182"/>
      <c r="C59" s="383"/>
      <c r="D59" s="384"/>
      <c r="E59" s="384"/>
      <c r="F59" s="303"/>
      <c r="G59" s="11"/>
      <c r="H59" s="11"/>
      <c r="I59" s="182"/>
      <c r="J59" s="384"/>
      <c r="K59" s="295"/>
      <c r="L59" s="303"/>
      <c r="M59" s="11"/>
      <c r="N59" s="182"/>
      <c r="O59" s="384"/>
      <c r="P59" s="295"/>
      <c r="Q59" s="303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" thickBot="1" x14ac:dyDescent="0.4">
      <c r="A60" s="11"/>
      <c r="B60" s="289"/>
      <c r="C60" s="300"/>
      <c r="D60" s="163"/>
      <c r="E60" s="163"/>
      <c r="F60" s="304"/>
      <c r="G60" s="11"/>
      <c r="H60" s="11"/>
      <c r="I60" s="289"/>
      <c r="J60" s="163"/>
      <c r="K60" s="296"/>
      <c r="L60" s="304"/>
      <c r="M60" s="11"/>
      <c r="N60" s="289"/>
      <c r="O60" s="163"/>
      <c r="P60" s="296"/>
      <c r="Q60" s="304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</row>
    <row r="61" spans="1:30" x14ac:dyDescent="0.35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 x14ac:dyDescent="0.3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 x14ac:dyDescent="0.35"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 x14ac:dyDescent="0.35"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 x14ac:dyDescent="0.35">
      <c r="B65" t="s">
        <v>23</v>
      </c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</row>
    <row r="66" spans="2:30" x14ac:dyDescent="0.35"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x14ac:dyDescent="0.35"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</sheetData>
  <mergeCells count="7">
    <mergeCell ref="I46:L46"/>
    <mergeCell ref="N46:Q46"/>
    <mergeCell ref="I9:M9"/>
    <mergeCell ref="I27:N27"/>
    <mergeCell ref="B9:F9"/>
    <mergeCell ref="B3:C3"/>
    <mergeCell ref="B46:F46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89FADE1F-C18D-4177-9188-2E8A55B0CCD1}">
          <x14:formula1>
            <xm:f>Sources!$D$14:$D$21</xm:f>
          </x14:formula1>
          <xm:sqref>C11:C23</xm:sqref>
        </x14:dataValidation>
        <x14:dataValidation type="list" allowBlank="1" showInputMessage="1" showErrorMessage="1" xr:uid="{9EBF2C47-D862-4F94-8CEE-900D26429509}">
          <x14:formula1>
            <xm:f>DataBank!$O$17:$O$18</xm:f>
          </x14:formula1>
          <xm:sqref>C5</xm:sqref>
        </x14:dataValidation>
        <x14:dataValidation type="list" allowBlank="1" showInputMessage="1" showErrorMessage="1" xr:uid="{D06AE56B-B9D4-498A-B378-027BD51A40F9}">
          <x14:formula1>
            <xm:f>DataBank!$U$17:$U$19</xm:f>
          </x14:formula1>
          <xm:sqref>F11:F23 N29:N41 F29:F41 F48:F60 N11:N23 L48:L60 Q48:Q60</xm:sqref>
        </x14:dataValidation>
        <x14:dataValidation type="list" allowBlank="1" showInputMessage="1" showErrorMessage="1" xr:uid="{A5696FB3-84E9-4321-84E2-28D8B3189C79}">
          <x14:formula1>
            <xm:f>Systemblatt!$N$5:$N$9</xm:f>
          </x14:formula1>
          <xm:sqref>K11 K29</xm:sqref>
        </x14:dataValidation>
        <x14:dataValidation type="list" allowBlank="1" showInputMessage="1" showErrorMessage="1" xr:uid="{C9BDD8B0-BE4B-451C-A109-DCE94FE42E32}">
          <x14:formula1>
            <xm:f>Systemblatt!$E$5:$E$17</xm:f>
          </x14:formula1>
          <xm:sqref>C48:C60 J11:J22 J29:J40 C29:C40</xm:sqref>
        </x14:dataValidation>
        <x14:dataValidation type="list" allowBlank="1" showInputMessage="1" showErrorMessage="1" xr:uid="{82897C83-6917-43F5-A602-1C3BEEC270CE}">
          <x14:formula1>
            <xm:f>Sources!$E$7:$O$7</xm:f>
          </x14:formula1>
          <xm:sqref>I48:I60</xm:sqref>
        </x14:dataValidation>
        <x14:dataValidation type="list" allowBlank="1" showInputMessage="1" showErrorMessage="1" xr:uid="{3CF658D1-BAE7-49AD-A9DC-4FC0EE308098}">
          <x14:formula1>
            <xm:f>Pools!$D$7:$Q$7</xm:f>
          </x14:formula1>
          <xm:sqref>N48:N60</xm:sqref>
        </x14:dataValidation>
        <x14:dataValidation type="list" allowBlank="1" showInputMessage="1" showErrorMessage="1" xr:uid="{4BBC2FB3-5C1A-4BD1-88DC-8D4881E8B4AA}">
          <x14:formula1>
            <xm:f>DataBank!$M$17:$M$19</xm:f>
          </x14:formula1>
          <xm:sqref>C4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C0A6C-4743-4FFE-BD33-048604A28EA1}">
  <sheetPr codeName="Tabelle12"/>
  <dimension ref="A1:AO137"/>
  <sheetViews>
    <sheetView topLeftCell="U1" zoomScale="76" zoomScaleNormal="60" workbookViewId="0">
      <selection activeCell="AI11" sqref="AI11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2.1796875" style="3" customWidth="1"/>
    <col min="5" max="5" width="18.26953125" style="3" customWidth="1"/>
    <col min="6" max="6" width="15.26953125" style="3" customWidth="1"/>
    <col min="7" max="7" width="6.26953125" style="3" customWidth="1"/>
    <col min="8" max="8" width="21.453125" style="3" customWidth="1"/>
    <col min="9" max="11" width="15.26953125" style="3" customWidth="1"/>
    <col min="12" max="12" width="4.26953125" style="3" customWidth="1"/>
    <col min="13" max="13" width="29.453125" style="3" customWidth="1"/>
    <col min="14" max="14" width="21.1796875" style="3" customWidth="1"/>
    <col min="15" max="15" width="32.7265625" style="3" customWidth="1"/>
    <col min="16" max="16" width="27.7265625" style="3" customWidth="1"/>
    <col min="17" max="17" width="15.26953125" style="3" customWidth="1"/>
    <col min="18" max="18" width="17.81640625" style="3" bestFit="1" customWidth="1"/>
    <col min="19" max="19" width="22.81640625" style="3" customWidth="1"/>
    <col min="20" max="20" width="26.26953125" style="3" customWidth="1"/>
    <col min="21" max="22" width="10.81640625" style="3"/>
    <col min="23" max="23" width="14.7265625" style="3" customWidth="1"/>
    <col min="24" max="24" width="19.453125" style="3" bestFit="1" customWidth="1"/>
    <col min="25" max="25" width="18.1796875" style="3" bestFit="1" customWidth="1"/>
    <col min="26" max="26" width="21.81640625" style="3" customWidth="1"/>
    <col min="27" max="27" width="10.81640625" style="3"/>
    <col min="28" max="28" width="15.269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1" style="3" bestFit="1" customWidth="1"/>
    <col min="37" max="16384" width="10.81640625" style="3"/>
  </cols>
  <sheetData>
    <row r="1" spans="1:41" ht="10.5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 x14ac:dyDescent="0.4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5">
      <c r="A3" s="5"/>
      <c r="B3" s="5"/>
      <c r="C3" s="90"/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  <c r="AC3" s="95"/>
      <c r="AD3" s="95"/>
      <c r="AE3" s="95"/>
      <c r="AF3" s="95"/>
      <c r="AG3" s="95"/>
      <c r="AH3" s="95"/>
      <c r="AI3" s="95"/>
      <c r="AJ3" s="95"/>
      <c r="AK3" s="96"/>
      <c r="AL3" s="5"/>
      <c r="AM3" s="5"/>
      <c r="AN3" s="5"/>
      <c r="AO3" s="5"/>
    </row>
    <row r="4" spans="1:41" x14ac:dyDescent="0.35">
      <c r="A4" s="5"/>
      <c r="B4" s="5"/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7"/>
      <c r="AL4" s="5"/>
      <c r="AM4" s="5"/>
      <c r="AN4" s="5"/>
      <c r="AO4" s="5"/>
    </row>
    <row r="5" spans="1:41" x14ac:dyDescent="0.35">
      <c r="A5" s="5"/>
      <c r="B5" s="5"/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7"/>
      <c r="AL5" s="5"/>
      <c r="AM5" s="5"/>
      <c r="AN5" s="5"/>
      <c r="AO5" s="5"/>
    </row>
    <row r="6" spans="1:41" x14ac:dyDescent="0.35">
      <c r="A6" s="5"/>
      <c r="B6" s="5"/>
      <c r="C6" s="86"/>
      <c r="D6" s="363"/>
      <c r="E6" s="363"/>
      <c r="F6" s="5"/>
      <c r="G6" s="5"/>
      <c r="H6" s="363"/>
      <c r="I6" s="363"/>
      <c r="J6" s="15"/>
      <c r="K6" s="15"/>
      <c r="L6" s="5"/>
      <c r="M6" s="363"/>
      <c r="N6" s="363"/>
      <c r="O6" s="363"/>
      <c r="P6" s="363"/>
      <c r="Q6" s="5"/>
      <c r="R6" s="5"/>
      <c r="S6" s="364"/>
      <c r="T6" s="364"/>
      <c r="U6" s="364"/>
      <c r="V6" s="364"/>
      <c r="W6" s="364"/>
      <c r="X6" s="364"/>
      <c r="Y6" s="364"/>
      <c r="Z6" s="364"/>
      <c r="AA6" s="364"/>
      <c r="AB6" s="364"/>
      <c r="AC6" s="364"/>
      <c r="AD6" s="364"/>
      <c r="AE6" s="364"/>
      <c r="AF6" s="364"/>
      <c r="AG6" s="11"/>
      <c r="AH6" s="11"/>
      <c r="AI6" s="11"/>
      <c r="AJ6" s="11"/>
      <c r="AK6" s="87"/>
      <c r="AL6" s="5"/>
      <c r="AM6" s="5"/>
      <c r="AN6" s="5"/>
      <c r="AO6" s="5"/>
    </row>
    <row r="7" spans="1:41" ht="15" thickBot="1" x14ac:dyDescent="0.4">
      <c r="A7" s="5"/>
      <c r="B7" s="5"/>
      <c r="C7" s="86"/>
      <c r="AK7" s="87"/>
      <c r="AL7" s="5"/>
      <c r="AM7" s="5"/>
      <c r="AN7" s="5"/>
      <c r="AO7" s="5"/>
    </row>
    <row r="8" spans="1:41" ht="24" thickBot="1" x14ac:dyDescent="0.6">
      <c r="A8" s="5"/>
      <c r="B8" s="5"/>
      <c r="C8" s="86"/>
      <c r="D8" s="344" t="s">
        <v>52</v>
      </c>
      <c r="E8" s="345"/>
      <c r="F8" s="346"/>
      <c r="G8" s="5"/>
      <c r="H8" s="347" t="s">
        <v>53</v>
      </c>
      <c r="I8" s="348"/>
      <c r="J8" s="349"/>
      <c r="K8" s="5"/>
      <c r="L8" s="5"/>
      <c r="M8" s="319" t="s">
        <v>72</v>
      </c>
      <c r="N8" s="320"/>
      <c r="O8" s="320"/>
      <c r="P8" s="320"/>
      <c r="Q8" s="321"/>
      <c r="R8" s="5"/>
      <c r="S8" s="313" t="s">
        <v>78</v>
      </c>
      <c r="T8" s="314"/>
      <c r="U8" s="315"/>
      <c r="V8" s="12"/>
      <c r="W8" s="316" t="s">
        <v>108</v>
      </c>
      <c r="X8" s="317"/>
      <c r="Y8" s="317"/>
      <c r="Z8" s="318"/>
      <c r="AA8" s="11"/>
      <c r="AB8" s="316" t="s">
        <v>85</v>
      </c>
      <c r="AC8" s="317"/>
      <c r="AD8" s="317"/>
      <c r="AE8" s="317"/>
      <c r="AF8" s="318"/>
      <c r="AG8" s="11"/>
      <c r="AH8" s="316" t="s">
        <v>7</v>
      </c>
      <c r="AI8" s="317"/>
      <c r="AJ8" s="318"/>
      <c r="AK8" s="87"/>
      <c r="AL8" s="5"/>
      <c r="AM8" s="5"/>
      <c r="AN8" s="5"/>
      <c r="AO8" s="5"/>
    </row>
    <row r="9" spans="1:41" ht="21.5" thickBot="1" x14ac:dyDescent="0.55000000000000004">
      <c r="A9" s="5"/>
      <c r="B9" s="5"/>
      <c r="C9" s="86"/>
      <c r="D9" s="73" t="s">
        <v>32</v>
      </c>
      <c r="E9" s="213" t="s">
        <v>0</v>
      </c>
      <c r="F9" s="216" t="s">
        <v>181</v>
      </c>
      <c r="G9" s="5"/>
      <c r="H9" s="99" t="s">
        <v>32</v>
      </c>
      <c r="I9" s="99" t="s">
        <v>54</v>
      </c>
      <c r="J9" s="74" t="s">
        <v>181</v>
      </c>
      <c r="K9" s="16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 t="s">
        <v>181</v>
      </c>
      <c r="S9" s="85" t="s">
        <v>79</v>
      </c>
      <c r="T9" s="85" t="s">
        <v>35</v>
      </c>
      <c r="U9" s="85" t="s">
        <v>80</v>
      </c>
      <c r="V9" s="13"/>
      <c r="W9" s="85" t="s">
        <v>104</v>
      </c>
      <c r="X9" s="200" t="s">
        <v>159</v>
      </c>
      <c r="Y9" s="200" t="s">
        <v>160</v>
      </c>
      <c r="Z9" s="201" t="s">
        <v>161</v>
      </c>
      <c r="AA9" s="11"/>
      <c r="AB9" s="85" t="s">
        <v>82</v>
      </c>
      <c r="AC9" s="85" t="s">
        <v>81</v>
      </c>
      <c r="AD9" s="85" t="s">
        <v>83</v>
      </c>
      <c r="AE9" s="85" t="s">
        <v>35</v>
      </c>
      <c r="AF9" s="85" t="s">
        <v>84</v>
      </c>
      <c r="AG9" s="11"/>
      <c r="AH9" s="178" t="s">
        <v>35</v>
      </c>
      <c r="AI9" s="178" t="s">
        <v>0</v>
      </c>
      <c r="AJ9" s="178" t="s">
        <v>125</v>
      </c>
      <c r="AK9" s="87"/>
      <c r="AL9" s="5"/>
      <c r="AM9" s="5"/>
      <c r="AN9" s="5"/>
      <c r="AO9" s="5"/>
    </row>
    <row r="10" spans="1:41" ht="18.5" x14ac:dyDescent="0.45">
      <c r="A10" s="5"/>
      <c r="B10" s="5"/>
      <c r="C10" s="86"/>
      <c r="D10" s="67" t="s">
        <v>1</v>
      </c>
      <c r="E10" s="68" t="s">
        <v>291</v>
      </c>
      <c r="F10" s="214" t="s">
        <v>182</v>
      </c>
      <c r="G10" s="5"/>
      <c r="H10" s="67" t="s">
        <v>2</v>
      </c>
      <c r="I10" s="68"/>
      <c r="J10" s="96" t="s">
        <v>182</v>
      </c>
      <c r="K10" s="17"/>
      <c r="L10" s="5"/>
      <c r="M10" s="67" t="s">
        <v>75</v>
      </c>
      <c r="N10" s="179">
        <v>2</v>
      </c>
      <c r="O10" s="179"/>
      <c r="P10" s="180"/>
      <c r="Q10" s="181"/>
      <c r="R10" s="5" t="s">
        <v>198</v>
      </c>
      <c r="S10" s="103">
        <v>4000</v>
      </c>
      <c r="T10" s="104" t="s">
        <v>292</v>
      </c>
      <c r="U10" s="105">
        <v>1</v>
      </c>
      <c r="V10" s="106"/>
      <c r="W10" s="138">
        <v>11</v>
      </c>
      <c r="X10" s="83">
        <v>4000</v>
      </c>
      <c r="Y10" s="139"/>
      <c r="Z10" s="137"/>
      <c r="AA10" s="75"/>
      <c r="AB10" s="103"/>
      <c r="AC10" s="104"/>
      <c r="AD10" s="104"/>
      <c r="AE10" s="104"/>
      <c r="AF10" s="70"/>
      <c r="AG10" s="120"/>
      <c r="AH10" s="140" t="s">
        <v>292</v>
      </c>
      <c r="AI10" s="83">
        <v>0.11</v>
      </c>
      <c r="AJ10" s="164" t="s">
        <v>14</v>
      </c>
      <c r="AK10" s="87"/>
      <c r="AL10" s="5"/>
      <c r="AM10" s="5"/>
      <c r="AN10" s="5"/>
      <c r="AO10" s="5"/>
    </row>
    <row r="11" spans="1:41" ht="19" thickBot="1" x14ac:dyDescent="0.5">
      <c r="A11" s="5"/>
      <c r="B11" s="5"/>
      <c r="C11" s="86"/>
      <c r="D11" s="69" t="s">
        <v>3</v>
      </c>
      <c r="E11" s="70">
        <v>555</v>
      </c>
      <c r="F11" s="214" t="s">
        <v>182</v>
      </c>
      <c r="G11" s="5"/>
      <c r="H11" s="69" t="s">
        <v>67</v>
      </c>
      <c r="I11" s="105">
        <v>2</v>
      </c>
      <c r="J11" s="87" t="s">
        <v>191</v>
      </c>
      <c r="K11" s="79"/>
      <c r="L11" s="79"/>
      <c r="M11" s="76" t="s">
        <v>76</v>
      </c>
      <c r="N11" s="125" t="s">
        <v>12</v>
      </c>
      <c r="O11" s="125"/>
      <c r="P11" s="79"/>
      <c r="Q11" s="127"/>
      <c r="R11" s="5" t="s">
        <v>192</v>
      </c>
      <c r="S11" s="103"/>
      <c r="T11" s="104"/>
      <c r="U11" s="105"/>
      <c r="V11" s="106"/>
      <c r="W11" s="109"/>
      <c r="X11" s="75"/>
      <c r="Y11" s="106"/>
      <c r="Z11" s="108"/>
      <c r="AA11" s="75"/>
      <c r="AB11" s="107"/>
      <c r="AC11" s="75"/>
      <c r="AD11" s="106"/>
      <c r="AE11" s="75"/>
      <c r="AF11" s="108"/>
      <c r="AG11" s="120"/>
      <c r="AH11" s="103"/>
      <c r="AI11" s="75"/>
      <c r="AJ11" s="92"/>
      <c r="AK11" s="87"/>
      <c r="AL11" s="5"/>
      <c r="AM11" s="5"/>
      <c r="AN11" s="5"/>
      <c r="AO11" s="5"/>
    </row>
    <row r="12" spans="1:41" ht="18.5" x14ac:dyDescent="0.45">
      <c r="A12" s="5"/>
      <c r="B12" s="5"/>
      <c r="C12" s="86"/>
      <c r="D12" s="69" t="s">
        <v>42</v>
      </c>
      <c r="E12" s="261" t="s">
        <v>230</v>
      </c>
      <c r="F12" s="214" t="s">
        <v>182</v>
      </c>
      <c r="G12" s="5"/>
      <c r="H12" s="69" t="s">
        <v>68</v>
      </c>
      <c r="I12" s="105">
        <v>1</v>
      </c>
      <c r="J12" s="87" t="str">
        <f>J15</f>
        <v>t/h</v>
      </c>
      <c r="K12" s="79"/>
      <c r="L12" s="79"/>
      <c r="M12" s="248" t="s">
        <v>77</v>
      </c>
      <c r="N12" s="256" t="s">
        <v>177</v>
      </c>
      <c r="O12" s="179"/>
      <c r="P12" s="180"/>
      <c r="Q12" s="181"/>
      <c r="R12" s="114"/>
      <c r="S12" s="109"/>
      <c r="T12" s="125"/>
      <c r="U12" s="70"/>
      <c r="V12" s="106"/>
      <c r="W12" s="109"/>
      <c r="X12" s="75"/>
      <c r="Y12" s="44"/>
      <c r="Z12" s="30"/>
      <c r="AA12" s="44"/>
      <c r="AB12" s="51"/>
      <c r="AC12" s="75"/>
      <c r="AD12" s="44"/>
      <c r="AE12" s="75"/>
      <c r="AF12" s="108"/>
      <c r="AG12" s="120"/>
      <c r="AH12" s="103"/>
      <c r="AI12" s="75"/>
      <c r="AJ12" s="92"/>
      <c r="AK12" s="87"/>
      <c r="AL12" s="5"/>
      <c r="AM12" s="5"/>
      <c r="AN12" s="5"/>
      <c r="AO12" s="5"/>
    </row>
    <row r="13" spans="1:41" ht="18.5" x14ac:dyDescent="0.45">
      <c r="A13" s="5"/>
      <c r="B13" s="5"/>
      <c r="C13" s="86"/>
      <c r="D13" s="69" t="s">
        <v>56</v>
      </c>
      <c r="F13" s="214" t="s">
        <v>182</v>
      </c>
      <c r="G13" s="5"/>
      <c r="H13" s="69" t="s">
        <v>69</v>
      </c>
      <c r="I13" s="105">
        <v>0.2</v>
      </c>
      <c r="J13" s="87" t="s">
        <v>182</v>
      </c>
      <c r="K13" s="79"/>
      <c r="L13" s="79"/>
      <c r="M13" s="249"/>
      <c r="N13" s="126" t="s">
        <v>173</v>
      </c>
      <c r="O13" s="75"/>
      <c r="P13" s="75"/>
      <c r="Q13" s="70"/>
      <c r="R13" s="114"/>
      <c r="S13" s="109"/>
      <c r="T13" s="120"/>
      <c r="U13" s="70"/>
      <c r="V13" s="44"/>
      <c r="W13" s="109"/>
      <c r="X13" s="75"/>
      <c r="Y13" s="44"/>
      <c r="Z13" s="30"/>
      <c r="AA13" s="44"/>
      <c r="AB13" s="51"/>
      <c r="AC13" s="75"/>
      <c r="AD13" s="44"/>
      <c r="AE13" s="75"/>
      <c r="AF13" s="108"/>
      <c r="AG13" s="120"/>
      <c r="AH13" s="103"/>
      <c r="AI13" s="75"/>
      <c r="AJ13" s="92"/>
      <c r="AK13" s="87"/>
      <c r="AL13" s="5"/>
      <c r="AM13" s="5"/>
      <c r="AN13" s="5"/>
      <c r="AO13" s="5"/>
    </row>
    <row r="14" spans="1:41" ht="18.5" x14ac:dyDescent="0.45">
      <c r="A14" s="5"/>
      <c r="B14" s="5"/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>
        <v>2018</v>
      </c>
      <c r="J14" s="87" t="s">
        <v>194</v>
      </c>
      <c r="K14" s="79"/>
      <c r="L14" s="79"/>
      <c r="M14" s="250"/>
      <c r="N14" s="109" t="s">
        <v>176</v>
      </c>
      <c r="O14" s="79"/>
      <c r="P14" s="79"/>
      <c r="Q14" s="82"/>
      <c r="R14" s="114"/>
      <c r="S14" s="109"/>
      <c r="T14" s="75"/>
      <c r="U14" s="70"/>
      <c r="V14" s="44"/>
      <c r="W14" s="109"/>
      <c r="X14" s="75"/>
      <c r="Y14" s="44"/>
      <c r="Z14" s="30"/>
      <c r="AA14" s="44"/>
      <c r="AB14" s="51"/>
      <c r="AC14" s="75"/>
      <c r="AD14" s="44"/>
      <c r="AE14" s="75"/>
      <c r="AF14" s="108"/>
      <c r="AG14" s="120"/>
      <c r="AH14" s="103"/>
      <c r="AI14" s="75"/>
      <c r="AJ14" s="92"/>
      <c r="AK14" s="87"/>
      <c r="AL14" s="5"/>
      <c r="AM14" s="5"/>
      <c r="AN14" s="5"/>
      <c r="AO14" s="5"/>
    </row>
    <row r="15" spans="1:41" ht="19" thickBot="1" x14ac:dyDescent="0.5">
      <c r="A15" s="5"/>
      <c r="B15" s="5"/>
      <c r="C15" s="86"/>
      <c r="D15" s="69" t="s">
        <v>58</v>
      </c>
      <c r="E15" s="70">
        <v>2.6</v>
      </c>
      <c r="F15" s="214" t="s">
        <v>182</v>
      </c>
      <c r="G15" s="5"/>
      <c r="H15" s="76" t="s">
        <v>71</v>
      </c>
      <c r="I15" s="70" t="s">
        <v>12</v>
      </c>
      <c r="J15" s="87" t="s">
        <v>192</v>
      </c>
      <c r="K15" s="79"/>
      <c r="L15" s="79"/>
      <c r="M15" s="250"/>
      <c r="N15" s="110"/>
      <c r="O15" s="79"/>
      <c r="P15" s="79"/>
      <c r="Q15" s="82"/>
      <c r="R15" s="114"/>
      <c r="S15" s="109"/>
      <c r="T15" s="75"/>
      <c r="U15" s="70"/>
      <c r="V15" s="44"/>
      <c r="W15" s="89"/>
      <c r="X15" s="15"/>
      <c r="Y15" s="15"/>
      <c r="Z15" s="66"/>
      <c r="AA15" s="75"/>
      <c r="AB15" s="109"/>
      <c r="AC15" s="75"/>
      <c r="AD15" s="75"/>
      <c r="AE15" s="75"/>
      <c r="AF15" s="108"/>
      <c r="AG15" s="120"/>
      <c r="AH15" s="103"/>
      <c r="AI15" s="75"/>
      <c r="AJ15" s="92"/>
      <c r="AK15" s="87"/>
      <c r="AL15" s="5"/>
      <c r="AM15" s="5"/>
      <c r="AN15" s="5"/>
      <c r="AO15" s="5"/>
    </row>
    <row r="16" spans="1:41" ht="19" thickBot="1" x14ac:dyDescent="0.5">
      <c r="A16" s="5"/>
      <c r="B16" s="5"/>
      <c r="C16" s="86"/>
      <c r="D16" s="69" t="s">
        <v>59</v>
      </c>
      <c r="E16" s="70">
        <v>1.44</v>
      </c>
      <c r="F16" s="214" t="s">
        <v>182</v>
      </c>
      <c r="G16" s="5"/>
      <c r="H16" s="242" t="s">
        <v>55</v>
      </c>
      <c r="I16" s="243" t="s">
        <v>177</v>
      </c>
      <c r="J16" s="217" t="s">
        <v>182</v>
      </c>
      <c r="K16" s="79"/>
      <c r="L16" s="79"/>
      <c r="M16" s="250"/>
      <c r="N16" s="110"/>
      <c r="O16" s="79"/>
      <c r="P16" s="79"/>
      <c r="Q16" s="82"/>
      <c r="R16" s="114"/>
      <c r="S16" s="109"/>
      <c r="T16" s="75"/>
      <c r="U16" s="70"/>
      <c r="V16" s="75"/>
      <c r="W16" s="89"/>
      <c r="X16" s="15"/>
      <c r="Y16" s="15"/>
      <c r="Z16" s="66"/>
      <c r="AA16" s="75"/>
      <c r="AB16" s="109"/>
      <c r="AC16" s="75"/>
      <c r="AD16" s="75"/>
      <c r="AE16" s="75"/>
      <c r="AF16" s="70"/>
      <c r="AG16" s="120"/>
      <c r="AH16" s="109"/>
      <c r="AI16" s="75"/>
      <c r="AJ16" s="92"/>
      <c r="AK16" s="87"/>
      <c r="AL16" s="5"/>
      <c r="AM16" s="5"/>
      <c r="AN16" s="5"/>
      <c r="AO16" s="5"/>
    </row>
    <row r="17" spans="1:41" ht="18.5" x14ac:dyDescent="0.45">
      <c r="A17" s="5"/>
      <c r="B17" s="5"/>
      <c r="C17" s="86"/>
      <c r="D17" s="69" t="s">
        <v>60</v>
      </c>
      <c r="E17" s="70">
        <v>20</v>
      </c>
      <c r="F17" s="214" t="s">
        <v>186</v>
      </c>
      <c r="G17" s="5"/>
      <c r="H17" s="76"/>
      <c r="I17" s="244" t="s">
        <v>173</v>
      </c>
      <c r="J17" s="214" t="s">
        <v>182</v>
      </c>
      <c r="K17" s="79"/>
      <c r="L17" s="79"/>
      <c r="M17" s="250"/>
      <c r="N17" s="110"/>
      <c r="O17" s="79"/>
      <c r="P17" s="79"/>
      <c r="Q17" s="82"/>
      <c r="R17" s="114"/>
      <c r="S17" s="109"/>
      <c r="T17" s="75"/>
      <c r="U17" s="70"/>
      <c r="V17" s="75"/>
      <c r="W17" s="89"/>
      <c r="X17" s="15"/>
      <c r="Y17" s="15"/>
      <c r="Z17" s="66"/>
      <c r="AA17" s="75"/>
      <c r="AB17" s="109"/>
      <c r="AC17" s="75"/>
      <c r="AD17" s="75"/>
      <c r="AE17" s="75"/>
      <c r="AF17" s="70"/>
      <c r="AG17" s="120"/>
      <c r="AH17" s="109"/>
      <c r="AI17" s="75"/>
      <c r="AJ17" s="92"/>
      <c r="AK17" s="87"/>
      <c r="AL17" s="5"/>
      <c r="AM17" s="5"/>
      <c r="AN17" s="5"/>
      <c r="AO17" s="5"/>
    </row>
    <row r="18" spans="1:41" ht="18.5" x14ac:dyDescent="0.45">
      <c r="A18" s="5"/>
      <c r="B18" s="5"/>
      <c r="C18" s="86"/>
      <c r="D18" s="71" t="s">
        <v>61</v>
      </c>
      <c r="E18" s="70">
        <v>20</v>
      </c>
      <c r="F18" s="214" t="s">
        <v>186</v>
      </c>
      <c r="G18" s="5"/>
      <c r="H18" s="77"/>
      <c r="I18" s="244" t="s">
        <v>176</v>
      </c>
      <c r="J18" s="214" t="s">
        <v>182</v>
      </c>
      <c r="K18" s="79"/>
      <c r="L18" s="79"/>
      <c r="M18" s="250"/>
      <c r="N18" s="110"/>
      <c r="O18" s="79"/>
      <c r="P18" s="79"/>
      <c r="Q18" s="82"/>
      <c r="R18" s="114"/>
      <c r="S18" s="109"/>
      <c r="T18" s="75"/>
      <c r="U18" s="70"/>
      <c r="V18" s="75"/>
      <c r="W18" s="89"/>
      <c r="X18" s="15"/>
      <c r="Y18" s="15"/>
      <c r="Z18" s="66"/>
      <c r="AA18" s="75"/>
      <c r="AB18" s="109"/>
      <c r="AC18" s="75"/>
      <c r="AD18" s="75"/>
      <c r="AE18" s="75"/>
      <c r="AF18" s="70"/>
      <c r="AG18" s="120"/>
      <c r="AH18" s="109"/>
      <c r="AI18" s="75"/>
      <c r="AJ18" s="92"/>
      <c r="AK18" s="87"/>
      <c r="AL18" s="5"/>
      <c r="AM18" s="5"/>
      <c r="AN18" s="5"/>
      <c r="AO18" s="5"/>
    </row>
    <row r="19" spans="1:41" ht="18.5" x14ac:dyDescent="0.45">
      <c r="A19" s="5"/>
      <c r="B19" s="5"/>
      <c r="C19" s="86"/>
      <c r="D19" s="69" t="s">
        <v>62</v>
      </c>
      <c r="E19" s="70"/>
      <c r="F19" s="214" t="s">
        <v>186</v>
      </c>
      <c r="G19" s="5"/>
      <c r="H19" s="77"/>
      <c r="I19" s="244"/>
      <c r="J19" s="214" t="s">
        <v>182</v>
      </c>
      <c r="K19" s="79"/>
      <c r="L19" s="79"/>
      <c r="M19" s="250"/>
      <c r="N19" s="110"/>
      <c r="O19" s="79"/>
      <c r="P19" s="79"/>
      <c r="Q19" s="82"/>
      <c r="R19" s="114"/>
      <c r="S19" s="109"/>
      <c r="T19" s="75"/>
      <c r="U19" s="70"/>
      <c r="V19" s="75"/>
      <c r="W19" s="89"/>
      <c r="X19" s="15"/>
      <c r="Y19" s="15"/>
      <c r="Z19" s="66"/>
      <c r="AA19" s="75"/>
      <c r="AB19" s="109"/>
      <c r="AC19" s="75"/>
      <c r="AD19" s="75"/>
      <c r="AE19" s="75"/>
      <c r="AF19" s="70"/>
      <c r="AG19" s="120"/>
      <c r="AH19" s="109"/>
      <c r="AI19" s="75"/>
      <c r="AJ19" s="92"/>
      <c r="AK19" s="87"/>
      <c r="AL19" s="5"/>
      <c r="AM19" s="5"/>
      <c r="AN19" s="5"/>
      <c r="AO19" s="5"/>
    </row>
    <row r="20" spans="1:41" ht="18.5" x14ac:dyDescent="0.45">
      <c r="A20" s="5"/>
      <c r="B20" s="5"/>
      <c r="C20" s="86"/>
      <c r="D20" s="71" t="s">
        <v>63</v>
      </c>
      <c r="E20" s="70"/>
      <c r="F20" s="214" t="s">
        <v>186</v>
      </c>
      <c r="G20" s="5"/>
      <c r="H20" s="77"/>
      <c r="I20" s="244"/>
      <c r="J20" s="214" t="s">
        <v>182</v>
      </c>
      <c r="K20" s="79"/>
      <c r="L20" s="79"/>
      <c r="M20" s="245"/>
      <c r="N20" s="110"/>
      <c r="O20" s="79"/>
      <c r="P20" s="79"/>
      <c r="Q20" s="82"/>
      <c r="R20" s="114"/>
      <c r="S20" s="109"/>
      <c r="T20" s="75"/>
      <c r="U20" s="70"/>
      <c r="V20" s="75"/>
      <c r="W20" s="89"/>
      <c r="X20" s="15"/>
      <c r="Y20" s="15"/>
      <c r="Z20" s="66"/>
      <c r="AA20" s="75"/>
      <c r="AB20" s="109"/>
      <c r="AC20" s="75"/>
      <c r="AD20" s="75"/>
      <c r="AE20" s="75"/>
      <c r="AF20" s="70"/>
      <c r="AG20" s="120"/>
      <c r="AH20" s="109"/>
      <c r="AI20" s="75"/>
      <c r="AJ20" s="92"/>
      <c r="AK20" s="87"/>
      <c r="AL20" s="5"/>
      <c r="AM20" s="5"/>
      <c r="AN20" s="5"/>
      <c r="AO20" s="5"/>
    </row>
    <row r="21" spans="1:41" ht="18.5" x14ac:dyDescent="0.45">
      <c r="A21" s="5"/>
      <c r="B21" s="5"/>
      <c r="C21" s="86"/>
      <c r="D21" s="71" t="s">
        <v>64</v>
      </c>
      <c r="E21" s="143" t="s">
        <v>94</v>
      </c>
      <c r="F21" s="214" t="s">
        <v>182</v>
      </c>
      <c r="G21" s="5"/>
      <c r="H21" s="110"/>
      <c r="I21" s="244"/>
      <c r="J21" s="214" t="s">
        <v>182</v>
      </c>
      <c r="K21" s="79"/>
      <c r="L21" s="79"/>
      <c r="M21" s="245"/>
      <c r="N21" s="110"/>
      <c r="O21" s="79"/>
      <c r="P21" s="79"/>
      <c r="Q21" s="82"/>
      <c r="R21" s="114"/>
      <c r="S21" s="109"/>
      <c r="T21" s="75"/>
      <c r="U21" s="70"/>
      <c r="V21" s="75"/>
      <c r="W21" s="89"/>
      <c r="X21" s="15"/>
      <c r="Y21" s="15"/>
      <c r="Z21" s="66"/>
      <c r="AA21" s="75"/>
      <c r="AB21" s="109"/>
      <c r="AC21" s="75"/>
      <c r="AD21" s="75"/>
      <c r="AE21" s="75"/>
      <c r="AF21" s="70"/>
      <c r="AG21" s="120"/>
      <c r="AH21" s="109"/>
      <c r="AI21" s="75"/>
      <c r="AJ21" s="92"/>
      <c r="AK21" s="87"/>
      <c r="AL21" s="5"/>
      <c r="AM21" s="5"/>
      <c r="AN21" s="5"/>
      <c r="AO21" s="5"/>
    </row>
    <row r="22" spans="1:41" ht="18.5" x14ac:dyDescent="0.45">
      <c r="A22" s="5"/>
      <c r="B22" s="5"/>
      <c r="C22" s="86"/>
      <c r="D22" s="71" t="s">
        <v>65</v>
      </c>
      <c r="E22" s="70"/>
      <c r="F22" s="214" t="s">
        <v>182</v>
      </c>
      <c r="G22" s="5"/>
      <c r="H22" s="110"/>
      <c r="I22" s="244"/>
      <c r="J22" s="214" t="s">
        <v>182</v>
      </c>
      <c r="K22" s="79"/>
      <c r="L22" s="79"/>
      <c r="M22" s="245"/>
      <c r="N22" s="110"/>
      <c r="O22" s="79"/>
      <c r="P22" s="79"/>
      <c r="Q22" s="82"/>
      <c r="R22" s="114"/>
      <c r="S22" s="109"/>
      <c r="T22" s="75"/>
      <c r="U22" s="70"/>
      <c r="V22" s="75"/>
      <c r="W22" s="89"/>
      <c r="X22" s="15"/>
      <c r="Y22" s="15"/>
      <c r="Z22" s="66"/>
      <c r="AA22" s="75"/>
      <c r="AB22" s="109"/>
      <c r="AC22" s="75"/>
      <c r="AD22" s="75"/>
      <c r="AE22" s="75"/>
      <c r="AF22" s="70"/>
      <c r="AG22" s="120"/>
      <c r="AH22" s="109"/>
      <c r="AI22" s="75"/>
      <c r="AJ22" s="92"/>
      <c r="AK22" s="87"/>
      <c r="AL22" s="5"/>
      <c r="AM22" s="5"/>
      <c r="AN22" s="5"/>
      <c r="AO22" s="5"/>
    </row>
    <row r="23" spans="1:41" ht="18.5" x14ac:dyDescent="0.45">
      <c r="A23" s="5"/>
      <c r="B23" s="5"/>
      <c r="C23" s="86"/>
      <c r="D23" s="71" t="s">
        <v>66</v>
      </c>
      <c r="E23" s="70"/>
      <c r="F23" s="214" t="s">
        <v>182</v>
      </c>
      <c r="G23" s="5"/>
      <c r="H23" s="110"/>
      <c r="I23" s="245"/>
      <c r="J23" s="214" t="s">
        <v>182</v>
      </c>
      <c r="K23" s="79"/>
      <c r="L23" s="79"/>
      <c r="M23" s="245"/>
      <c r="N23" s="110"/>
      <c r="O23" s="79"/>
      <c r="P23" s="79"/>
      <c r="Q23" s="82"/>
      <c r="R23" s="114"/>
      <c r="S23" s="109"/>
      <c r="T23" s="75"/>
      <c r="U23" s="70"/>
      <c r="V23" s="75"/>
      <c r="W23" s="89"/>
      <c r="X23" s="15"/>
      <c r="Y23" s="15"/>
      <c r="Z23" s="66"/>
      <c r="AA23" s="75"/>
      <c r="AB23" s="109"/>
      <c r="AC23" s="75"/>
      <c r="AD23" s="75"/>
      <c r="AE23" s="75"/>
      <c r="AF23" s="70"/>
      <c r="AG23" s="120"/>
      <c r="AH23" s="109"/>
      <c r="AI23" s="75"/>
      <c r="AJ23" s="92"/>
      <c r="AK23" s="87"/>
      <c r="AL23" s="5"/>
      <c r="AM23" s="5"/>
      <c r="AN23" s="5"/>
      <c r="AO23" s="5"/>
    </row>
    <row r="24" spans="1:41" ht="18.5" x14ac:dyDescent="0.45">
      <c r="A24" s="5"/>
      <c r="B24" s="5"/>
      <c r="C24" s="86"/>
      <c r="D24" s="132" t="s">
        <v>86</v>
      </c>
      <c r="E24" s="92"/>
      <c r="F24" s="214" t="s">
        <v>182</v>
      </c>
      <c r="G24" s="11"/>
      <c r="H24" s="110"/>
      <c r="I24" s="245"/>
      <c r="J24" s="214" t="s">
        <v>182</v>
      </c>
      <c r="K24" s="79"/>
      <c r="L24" s="79"/>
      <c r="M24" s="245"/>
      <c r="N24" s="110"/>
      <c r="O24" s="79"/>
      <c r="P24" s="79"/>
      <c r="Q24" s="82"/>
      <c r="R24" s="114"/>
      <c r="S24" s="109"/>
      <c r="T24" s="75"/>
      <c r="U24" s="70"/>
      <c r="V24" s="75"/>
      <c r="W24" s="89"/>
      <c r="X24" s="15"/>
      <c r="Y24" s="15"/>
      <c r="Z24" s="66"/>
      <c r="AA24" s="75"/>
      <c r="AB24" s="109"/>
      <c r="AC24" s="75"/>
      <c r="AD24" s="75"/>
      <c r="AE24" s="75"/>
      <c r="AF24" s="70"/>
      <c r="AG24" s="120"/>
      <c r="AH24" s="109"/>
      <c r="AI24" s="75"/>
      <c r="AJ24" s="92"/>
      <c r="AK24" s="87"/>
      <c r="AL24" s="5"/>
      <c r="AM24" s="5"/>
      <c r="AN24" s="5"/>
      <c r="AO24" s="5"/>
    </row>
    <row r="25" spans="1:41" ht="18.5" x14ac:dyDescent="0.45">
      <c r="A25" s="5"/>
      <c r="B25" s="5"/>
      <c r="C25" s="86"/>
      <c r="D25" s="132" t="s">
        <v>87</v>
      </c>
      <c r="E25" s="92"/>
      <c r="F25" s="214" t="s">
        <v>182</v>
      </c>
      <c r="G25" s="11"/>
      <c r="H25" s="110"/>
      <c r="I25" s="245"/>
      <c r="J25" s="214" t="s">
        <v>182</v>
      </c>
      <c r="K25" s="79"/>
      <c r="L25" s="79"/>
      <c r="M25" s="245"/>
      <c r="N25" s="110"/>
      <c r="O25" s="79"/>
      <c r="P25" s="79"/>
      <c r="Q25" s="82"/>
      <c r="R25" s="114"/>
      <c r="S25" s="119"/>
      <c r="T25" s="120"/>
      <c r="U25" s="121"/>
      <c r="V25" s="120"/>
      <c r="W25" s="119"/>
      <c r="X25" s="120"/>
      <c r="Y25" s="120"/>
      <c r="Z25" s="121"/>
      <c r="AA25" s="120"/>
      <c r="AB25" s="119"/>
      <c r="AC25" s="120"/>
      <c r="AD25" s="120"/>
      <c r="AE25" s="120"/>
      <c r="AF25" s="121"/>
      <c r="AG25" s="120"/>
      <c r="AH25" s="109"/>
      <c r="AI25" s="75"/>
      <c r="AJ25" s="92"/>
      <c r="AK25" s="87"/>
      <c r="AL25" s="5"/>
      <c r="AM25" s="5"/>
      <c r="AN25" s="5"/>
      <c r="AO25" s="5"/>
    </row>
    <row r="26" spans="1:41" ht="19" thickBot="1" x14ac:dyDescent="0.5">
      <c r="A26" s="5"/>
      <c r="B26" s="5"/>
      <c r="C26" s="86"/>
      <c r="D26" s="133" t="s">
        <v>88</v>
      </c>
      <c r="E26" s="65"/>
      <c r="F26" s="215" t="s">
        <v>182</v>
      </c>
      <c r="G26" s="5"/>
      <c r="H26" s="110"/>
      <c r="I26" s="245"/>
      <c r="J26" s="214" t="s">
        <v>182</v>
      </c>
      <c r="K26" s="79"/>
      <c r="L26" s="79"/>
      <c r="M26" s="245"/>
      <c r="N26" s="110"/>
      <c r="O26" s="79"/>
      <c r="P26" s="79"/>
      <c r="Q26" s="82"/>
      <c r="R26" s="114"/>
      <c r="S26" s="119"/>
      <c r="T26" s="120"/>
      <c r="U26" s="121"/>
      <c r="V26" s="120"/>
      <c r="W26" s="119"/>
      <c r="X26" s="120"/>
      <c r="Y26" s="120"/>
      <c r="Z26" s="121"/>
      <c r="AA26" s="120"/>
      <c r="AB26" s="119"/>
      <c r="AC26" s="120"/>
      <c r="AD26" s="120"/>
      <c r="AE26" s="120"/>
      <c r="AF26" s="121"/>
      <c r="AG26" s="120"/>
      <c r="AH26" s="109"/>
      <c r="AI26" s="75"/>
      <c r="AJ26" s="92"/>
      <c r="AK26" s="87"/>
      <c r="AL26" s="5"/>
      <c r="AM26" s="5"/>
      <c r="AN26" s="5"/>
      <c r="AO26" s="5"/>
    </row>
    <row r="27" spans="1:41" ht="19" thickBot="1" x14ac:dyDescent="0.5">
      <c r="A27" s="5"/>
      <c r="B27" s="5"/>
      <c r="C27" s="86"/>
      <c r="D27" s="133" t="s">
        <v>109</v>
      </c>
      <c r="E27" s="72">
        <f>Systemblatt!C11</f>
        <v>8000</v>
      </c>
      <c r="F27" s="215" t="s">
        <v>184</v>
      </c>
      <c r="G27" s="5"/>
      <c r="H27" s="111"/>
      <c r="I27" s="246"/>
      <c r="J27" s="215" t="s">
        <v>182</v>
      </c>
      <c r="K27" s="79"/>
      <c r="L27" s="79"/>
      <c r="M27" s="246"/>
      <c r="N27" s="111"/>
      <c r="O27" s="80"/>
      <c r="P27" s="80"/>
      <c r="Q27" s="81"/>
      <c r="R27" s="114"/>
      <c r="S27" s="122"/>
      <c r="T27" s="123"/>
      <c r="U27" s="124"/>
      <c r="V27" s="120"/>
      <c r="W27" s="122"/>
      <c r="X27" s="123"/>
      <c r="Y27" s="123"/>
      <c r="Z27" s="124"/>
      <c r="AA27" s="120"/>
      <c r="AB27" s="122"/>
      <c r="AC27" s="123"/>
      <c r="AD27" s="123"/>
      <c r="AE27" s="123"/>
      <c r="AF27" s="124"/>
      <c r="AG27" s="120"/>
      <c r="AH27" s="112"/>
      <c r="AI27" s="113"/>
      <c r="AJ27" s="146"/>
      <c r="AK27" s="87"/>
      <c r="AL27" s="5"/>
      <c r="AM27" s="5"/>
      <c r="AN27" s="5"/>
      <c r="AO27" s="5"/>
    </row>
    <row r="28" spans="1:41" x14ac:dyDescent="0.35">
      <c r="A28" s="5"/>
      <c r="B28" s="5"/>
      <c r="C28" s="8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7"/>
      <c r="AL28" s="5"/>
      <c r="AM28" s="5"/>
      <c r="AN28" s="5"/>
      <c r="AO28" s="5"/>
    </row>
    <row r="29" spans="1:41" x14ac:dyDescent="0.35">
      <c r="A29" s="5"/>
      <c r="B29" s="5"/>
      <c r="C29" s="8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7"/>
      <c r="AL29" s="5"/>
      <c r="AM29" s="5"/>
      <c r="AN29" s="5"/>
      <c r="AO29" s="5"/>
    </row>
    <row r="30" spans="1:41" x14ac:dyDescent="0.35">
      <c r="A30" s="5"/>
      <c r="B30" s="5"/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7"/>
      <c r="AL30" s="5"/>
      <c r="AM30" s="5"/>
      <c r="AN30" s="5"/>
      <c r="AO30" s="5"/>
    </row>
    <row r="31" spans="1:41" x14ac:dyDescent="0.35">
      <c r="A31" s="5"/>
      <c r="B31" s="5"/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7"/>
      <c r="AL31" s="5"/>
      <c r="AM31" s="5"/>
      <c r="AN31" s="5"/>
      <c r="AO31" s="5"/>
    </row>
    <row r="32" spans="1:41" x14ac:dyDescent="0.35">
      <c r="A32" s="5"/>
      <c r="B32" s="5"/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7"/>
      <c r="AL32" s="5"/>
      <c r="AM32" s="5"/>
      <c r="AN32" s="5"/>
      <c r="AO32" s="5"/>
    </row>
    <row r="33" spans="1:41" x14ac:dyDescent="0.35">
      <c r="A33" s="5"/>
      <c r="B33" s="5"/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7"/>
      <c r="AL33" s="5"/>
      <c r="AM33" s="5"/>
      <c r="AN33" s="5"/>
      <c r="AO33" s="5"/>
    </row>
    <row r="34" spans="1:41" x14ac:dyDescent="0.35">
      <c r="A34" s="5"/>
      <c r="B34" s="5"/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7"/>
      <c r="AL34" s="5"/>
      <c r="AM34" s="5"/>
      <c r="AN34" s="5"/>
      <c r="AO34" s="5"/>
    </row>
    <row r="35" spans="1:41" x14ac:dyDescent="0.35">
      <c r="A35" s="5"/>
      <c r="B35" s="5"/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7"/>
      <c r="AL35" s="5"/>
      <c r="AM35" s="5"/>
      <c r="AN35" s="5"/>
      <c r="AO35" s="5"/>
    </row>
    <row r="36" spans="1:41" x14ac:dyDescent="0.35">
      <c r="A36" s="5"/>
      <c r="B36" s="5"/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7"/>
      <c r="AL36" s="5"/>
      <c r="AM36" s="5"/>
      <c r="AN36" s="5"/>
      <c r="AO36" s="5"/>
    </row>
    <row r="37" spans="1:41" x14ac:dyDescent="0.35">
      <c r="A37" s="5"/>
      <c r="B37" s="5"/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7"/>
      <c r="AL37" s="5"/>
      <c r="AM37" s="5"/>
      <c r="AN37" s="5"/>
      <c r="AO37" s="5"/>
    </row>
    <row r="38" spans="1:41" x14ac:dyDescent="0.35">
      <c r="A38" s="5"/>
      <c r="B38" s="5"/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7"/>
      <c r="AL38" s="5"/>
      <c r="AM38" s="5"/>
      <c r="AN38" s="5"/>
      <c r="AO38" s="5"/>
    </row>
    <row r="39" spans="1:41" x14ac:dyDescent="0.35">
      <c r="A39" s="5"/>
      <c r="B39" s="5"/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7"/>
      <c r="AL39" s="5"/>
      <c r="AM39" s="5"/>
      <c r="AN39" s="5"/>
      <c r="AO39" s="5"/>
    </row>
    <row r="40" spans="1:41" x14ac:dyDescent="0.35">
      <c r="A40" s="5"/>
      <c r="B40" s="5"/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7"/>
      <c r="AL40" s="5"/>
      <c r="AM40" s="5"/>
      <c r="AN40" s="5"/>
      <c r="AO40" s="5"/>
    </row>
    <row r="41" spans="1:41" x14ac:dyDescent="0.35">
      <c r="A41" s="5"/>
      <c r="B41" s="5"/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7"/>
      <c r="AL41" s="5"/>
      <c r="AM41" s="5"/>
      <c r="AN41" s="5"/>
      <c r="AO41" s="5"/>
    </row>
    <row r="42" spans="1:41" x14ac:dyDescent="0.35">
      <c r="A42" s="5"/>
      <c r="B42" s="5"/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7"/>
      <c r="AL42" s="5"/>
      <c r="AM42" s="5"/>
      <c r="AN42" s="5"/>
      <c r="AO42" s="5"/>
    </row>
    <row r="43" spans="1:41" x14ac:dyDescent="0.35">
      <c r="A43" s="5"/>
      <c r="B43" s="5"/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7"/>
      <c r="AL43" s="5"/>
      <c r="AM43" s="5"/>
      <c r="AN43" s="5"/>
      <c r="AO43" s="5"/>
    </row>
    <row r="44" spans="1:41" x14ac:dyDescent="0.35">
      <c r="A44" s="5"/>
      <c r="B44" s="5"/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7"/>
      <c r="AL44" s="5"/>
      <c r="AM44" s="5"/>
      <c r="AN44" s="5"/>
      <c r="AO44" s="5"/>
    </row>
    <row r="45" spans="1:41" x14ac:dyDescent="0.35">
      <c r="A45" s="5"/>
      <c r="B45" s="5"/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7"/>
      <c r="AL45" s="5"/>
      <c r="AM45" s="5"/>
      <c r="AN45" s="5"/>
      <c r="AO45" s="5"/>
    </row>
    <row r="46" spans="1:41" x14ac:dyDescent="0.35">
      <c r="A46" s="5"/>
      <c r="B46" s="5"/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7"/>
      <c r="AL46" s="5"/>
      <c r="AM46" s="5"/>
      <c r="AN46" s="5"/>
      <c r="AO46" s="5"/>
    </row>
    <row r="47" spans="1:41" ht="18.5" x14ac:dyDescent="0.35">
      <c r="A47" s="5"/>
      <c r="B47" s="5"/>
      <c r="C47" s="86"/>
      <c r="D47" s="5"/>
      <c r="E47" s="5"/>
      <c r="F47" s="5"/>
      <c r="G47" s="5"/>
      <c r="H47" s="5"/>
      <c r="I47" s="5"/>
      <c r="J47" s="5"/>
      <c r="K47" s="98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7"/>
      <c r="AL47" s="5"/>
      <c r="AM47" s="5"/>
      <c r="AN47" s="5"/>
      <c r="AO47" s="5"/>
    </row>
    <row r="48" spans="1:41" ht="15.5" x14ac:dyDescent="0.35">
      <c r="A48" s="5"/>
      <c r="B48" s="5"/>
      <c r="C48" s="86"/>
      <c r="D48" s="5"/>
      <c r="E48" s="5"/>
      <c r="F48" s="5"/>
      <c r="G48" s="5"/>
      <c r="H48" s="5"/>
      <c r="I48" s="5"/>
      <c r="J48" s="5"/>
      <c r="K48" s="97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7"/>
      <c r="AL48" s="5"/>
      <c r="AM48" s="5"/>
      <c r="AN48" s="5"/>
      <c r="AO48" s="5"/>
    </row>
    <row r="49" spans="1:41" ht="15.5" x14ac:dyDescent="0.35">
      <c r="A49" s="5"/>
      <c r="B49" s="5"/>
      <c r="C49" s="86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7"/>
      <c r="AL49" s="5"/>
      <c r="AM49" s="5"/>
      <c r="AN49" s="5"/>
      <c r="AO49" s="5"/>
    </row>
    <row r="50" spans="1:41" ht="15.5" x14ac:dyDescent="0.35">
      <c r="A50" s="5"/>
      <c r="B50" s="5"/>
      <c r="C50" s="86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7"/>
      <c r="AL50" s="5"/>
      <c r="AM50" s="5"/>
      <c r="AN50" s="5"/>
      <c r="AO50" s="5"/>
    </row>
    <row r="51" spans="1:41" ht="15.5" x14ac:dyDescent="0.35">
      <c r="A51" s="5"/>
      <c r="B51" s="5"/>
      <c r="C51" s="86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7"/>
      <c r="AL51" s="5"/>
      <c r="AM51" s="5"/>
      <c r="AN51" s="5"/>
      <c r="AO51" s="5"/>
    </row>
    <row r="52" spans="1:41" ht="15.5" x14ac:dyDescent="0.35">
      <c r="A52" s="5"/>
      <c r="B52" s="5"/>
      <c r="C52" s="86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7"/>
      <c r="AL52" s="5"/>
      <c r="AM52" s="5"/>
      <c r="AN52" s="5"/>
      <c r="AO52" s="5"/>
    </row>
    <row r="53" spans="1:41" ht="15.5" x14ac:dyDescent="0.35">
      <c r="A53" s="5"/>
      <c r="B53" s="5"/>
      <c r="C53" s="86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7"/>
      <c r="AL53" s="5"/>
      <c r="AM53" s="5"/>
      <c r="AN53" s="5"/>
      <c r="AO53" s="5"/>
    </row>
    <row r="54" spans="1:41" ht="15.5" x14ac:dyDescent="0.35">
      <c r="A54" s="5"/>
      <c r="B54" s="5"/>
      <c r="C54" s="86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7"/>
      <c r="AL54" s="5"/>
      <c r="AM54" s="5"/>
      <c r="AN54" s="5"/>
      <c r="AO54" s="5"/>
    </row>
    <row r="55" spans="1:41" x14ac:dyDescent="0.35">
      <c r="A55" s="5"/>
      <c r="B55" s="5"/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7"/>
      <c r="AL55" s="5"/>
      <c r="AM55" s="5"/>
      <c r="AN55" s="5"/>
      <c r="AO55" s="5"/>
    </row>
    <row r="56" spans="1:41" x14ac:dyDescent="0.35">
      <c r="A56" s="5"/>
      <c r="B56" s="5"/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7"/>
      <c r="AL56" s="5"/>
      <c r="AM56" s="5"/>
      <c r="AN56" s="5"/>
      <c r="AO56" s="5"/>
    </row>
    <row r="57" spans="1:41" x14ac:dyDescent="0.35">
      <c r="A57" s="5"/>
      <c r="B57" s="5"/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7"/>
      <c r="AL57" s="5"/>
      <c r="AM57" s="5"/>
      <c r="AN57" s="5"/>
      <c r="AO57" s="5"/>
    </row>
    <row r="58" spans="1:41" x14ac:dyDescent="0.35">
      <c r="A58" s="5"/>
      <c r="B58" s="5"/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7"/>
      <c r="AL58" s="5"/>
      <c r="AM58" s="5"/>
      <c r="AN58" s="5"/>
      <c r="AO58" s="5"/>
    </row>
    <row r="59" spans="1:41" x14ac:dyDescent="0.35">
      <c r="A59" s="5"/>
      <c r="B59" s="5"/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7"/>
      <c r="AL59" s="5"/>
      <c r="AM59" s="5"/>
      <c r="AN59" s="5"/>
      <c r="AO59" s="5"/>
    </row>
    <row r="60" spans="1:41" x14ac:dyDescent="0.35">
      <c r="A60" s="5"/>
      <c r="B60" s="5"/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7"/>
      <c r="AL60" s="5"/>
      <c r="AM60" s="5"/>
      <c r="AN60" s="5"/>
      <c r="AO60" s="5"/>
    </row>
    <row r="61" spans="1:41" x14ac:dyDescent="0.35">
      <c r="A61" s="5"/>
      <c r="B61" s="5"/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7"/>
      <c r="AL61" s="5"/>
      <c r="AM61" s="5"/>
      <c r="AN61" s="5"/>
      <c r="AO61" s="5"/>
    </row>
    <row r="62" spans="1:41" x14ac:dyDescent="0.35">
      <c r="A62" s="5"/>
      <c r="B62" s="5"/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7"/>
      <c r="AL62" s="5"/>
      <c r="AM62" s="5"/>
      <c r="AN62" s="5"/>
      <c r="AO62" s="5"/>
    </row>
    <row r="63" spans="1:41" x14ac:dyDescent="0.35">
      <c r="A63" s="5"/>
      <c r="B63" s="5"/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7"/>
      <c r="AL63" s="5"/>
      <c r="AM63" s="5"/>
      <c r="AN63" s="5"/>
      <c r="AO63" s="5"/>
    </row>
    <row r="64" spans="1:41" x14ac:dyDescent="0.35">
      <c r="A64" s="5"/>
      <c r="B64" s="5"/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7"/>
      <c r="AL64" s="5"/>
      <c r="AM64" s="5"/>
      <c r="AN64" s="5"/>
      <c r="AO64" s="5"/>
    </row>
    <row r="65" spans="1:41" x14ac:dyDescent="0.35">
      <c r="A65" s="5"/>
      <c r="B65" s="5"/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7"/>
      <c r="AL65" s="5"/>
      <c r="AM65" s="5"/>
      <c r="AN65" s="5"/>
      <c r="AO65" s="5"/>
    </row>
    <row r="66" spans="1:41" x14ac:dyDescent="0.35">
      <c r="A66" s="5"/>
      <c r="B66" s="5"/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7"/>
      <c r="AL66" s="5"/>
      <c r="AM66" s="5"/>
      <c r="AN66" s="5"/>
      <c r="AO66" s="5"/>
    </row>
    <row r="67" spans="1:41" x14ac:dyDescent="0.35">
      <c r="A67" s="5"/>
      <c r="B67" s="5"/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7"/>
      <c r="AL67" s="5"/>
      <c r="AM67" s="5"/>
      <c r="AN67" s="5"/>
      <c r="AO67" s="5"/>
    </row>
    <row r="68" spans="1:41" x14ac:dyDescent="0.35">
      <c r="A68" s="5"/>
      <c r="B68" s="5"/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7"/>
      <c r="AL68" s="5"/>
      <c r="AM68" s="5"/>
      <c r="AN68" s="5"/>
      <c r="AO68" s="5"/>
    </row>
    <row r="69" spans="1:41" x14ac:dyDescent="0.35">
      <c r="A69" s="5"/>
      <c r="B69" s="5"/>
      <c r="C69" s="86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7"/>
      <c r="AL69" s="5"/>
      <c r="AM69" s="5"/>
      <c r="AN69" s="5"/>
      <c r="AO69" s="5"/>
    </row>
    <row r="70" spans="1:41" ht="15" thickBot="1" x14ac:dyDescent="0.4">
      <c r="A70" s="5"/>
      <c r="B70" s="5"/>
      <c r="C70" s="7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  <c r="AI70" s="94"/>
      <c r="AJ70" s="94"/>
      <c r="AK70" s="65"/>
      <c r="AL70" s="5"/>
      <c r="AM70" s="5"/>
      <c r="AN70" s="5"/>
      <c r="AO70" s="5"/>
    </row>
    <row r="71" spans="1:4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5">
      <c r="Q119" s="3" t="s">
        <v>23</v>
      </c>
    </row>
    <row r="137" spans="18:18" x14ac:dyDescent="0.35">
      <c r="R137" s="3" t="s">
        <v>23</v>
      </c>
    </row>
  </sheetData>
  <mergeCells count="6">
    <mergeCell ref="D6:E6"/>
    <mergeCell ref="H6:I6"/>
    <mergeCell ref="M6:P6"/>
    <mergeCell ref="S6:AF6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AF91ADB5-D55F-465B-AB9A-1B8852CCF633}">
          <x14:formula1>
            <xm:f>DataBank!$A$3:$A$11</xm:f>
          </x14:formula1>
          <xm:sqref>N11</xm:sqref>
        </x14:dataValidation>
        <x14:dataValidation type="list" allowBlank="1" showInputMessage="1" showErrorMessage="1" xr:uid="{2B502081-4938-45BC-97BA-4B89C6F5D82A}">
          <x14:formula1>
            <xm:f>Sources!$E$6:$O$6</xm:f>
          </x14:formula1>
          <xm:sqref>O13:Q13</xm:sqref>
        </x14:dataValidation>
        <x14:dataValidation type="list" allowBlank="1" showInputMessage="1" showErrorMessage="1" xr:uid="{58C2537A-A72F-4BEF-9473-72268FC8E19E}">
          <x14:formula1>
            <xm:f>DataBank!$B$2:$B$3</xm:f>
          </x14:formula1>
          <xm:sqref>J15</xm:sqref>
        </x14:dataValidation>
        <x14:dataValidation type="list" allowBlank="1" showInputMessage="1" showErrorMessage="1" xr:uid="{08A55661-1EFB-47D8-852D-B1BCC5252CB2}">
          <x14:formula1>
            <xm:f>DataBank!$C$2:$C$7</xm:f>
          </x14:formula1>
          <xm:sqref>I15</xm:sqref>
        </x14:dataValidation>
        <x14:dataValidation type="list" allowBlank="1" showInputMessage="1" showErrorMessage="1" xr:uid="{C786BFEF-22CD-4500-8AAF-69F4D8E53DC9}">
          <x14:formula1>
            <xm:f>Systemblatt!$E$5:$E$38</xm:f>
          </x14:formula1>
          <xm:sqref>AH10:AH27 AJ10:AJ27 T10:T27 AE10:AE27 AC10:AC27 N14:Q27 N12:Q12 N13 I16:I27</xm:sqref>
        </x14:dataValidation>
        <x14:dataValidation type="list" allowBlank="1" showInputMessage="1" showErrorMessage="1" xr:uid="{D7E88136-5A5B-4950-BE64-AD4295F09CA7}">
          <x14:formula1>
            <xm:f>Sources!$E$7:$O$7</xm:f>
          </x14:formula1>
          <xm:sqref>W10:W27</xm:sqref>
        </x14:dataValidation>
        <x14:dataValidation type="list" allowBlank="1" showInputMessage="1" showErrorMessage="1" xr:uid="{2B2AED95-14B6-410B-8BC1-9282E260BE0C}">
          <x14:formula1>
            <xm:f>DataBank!$K$17:$K$18</xm:f>
          </x14:formula1>
          <xm:sqref>E26</xm:sqref>
        </x14:dataValidation>
        <x14:dataValidation type="list" allowBlank="1" showInputMessage="1" showErrorMessage="1" xr:uid="{D9C9FCEF-65C0-411A-B9B7-B33992EB2026}">
          <x14:formula1>
            <xm:f>DataBank!$A$3:$A$10</xm:f>
          </x14:formula1>
          <xm:sqref>O11:Q11</xm:sqref>
        </x14:dataValidation>
        <x14:dataValidation type="list" allowBlank="1" showInputMessage="1" showErrorMessage="1" xr:uid="{7F9B2EDA-0221-4236-AFD9-466DC6B29AF5}">
          <x14:formula1>
            <xm:f>Systemblatt!$E$5:$E$11</xm:f>
          </x14:formula1>
          <xm:sqref>AH28:AH30</xm:sqref>
        </x14:dataValidation>
        <x14:dataValidation type="list" allowBlank="1" showInputMessage="1" showErrorMessage="1" xr:uid="{22224F39-D321-49BA-984B-58418B3D0A2C}">
          <x14:formula1>
            <xm:f>DataBank!$A$3:$A$4</xm:f>
          </x14:formula1>
          <xm:sqref>AB10 AD10</xm:sqref>
        </x14:dataValidation>
        <x14:dataValidation type="whole" allowBlank="1" showInputMessage="1" showErrorMessage="1" xr:uid="{2ECE309A-BF5C-4179-8F16-6FB49B946552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FA9CD-DB6C-48C8-950E-966E4C47A5F8}">
  <sheetPr codeName="Tabelle37"/>
  <dimension ref="A1:AJ144"/>
  <sheetViews>
    <sheetView topLeftCell="A6" zoomScale="91" zoomScaleNormal="91" workbookViewId="0">
      <selection activeCell="H8" sqref="H8:Q8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60.5429687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6"/>
      <c r="AJ2" s="5"/>
    </row>
    <row r="3" spans="1:36" x14ac:dyDescent="0.35">
      <c r="A3" s="5"/>
      <c r="B3" s="5"/>
      <c r="C3" s="86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7"/>
      <c r="AJ3" s="5"/>
    </row>
    <row r="4" spans="1:36" x14ac:dyDescent="0.35">
      <c r="A4" s="5"/>
      <c r="B4" s="5"/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7"/>
      <c r="AJ4" s="5"/>
    </row>
    <row r="5" spans="1:36" x14ac:dyDescent="0.35">
      <c r="A5" s="5"/>
      <c r="B5" s="5"/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7"/>
      <c r="AJ5" s="5"/>
    </row>
    <row r="6" spans="1:36" x14ac:dyDescent="0.35">
      <c r="A6" s="5"/>
      <c r="B6" s="5"/>
      <c r="C6" s="86"/>
      <c r="D6" s="343"/>
      <c r="E6" s="343"/>
      <c r="F6" s="5"/>
      <c r="G6" s="5"/>
      <c r="H6" s="343"/>
      <c r="I6" s="343"/>
      <c r="J6" s="15"/>
      <c r="K6" s="15"/>
      <c r="L6" s="5"/>
      <c r="M6" s="343"/>
      <c r="N6" s="343"/>
      <c r="O6" s="343"/>
      <c r="P6" s="343"/>
      <c r="Q6" s="5"/>
      <c r="R6" s="5"/>
      <c r="S6" s="350"/>
      <c r="T6" s="350"/>
      <c r="U6" s="350"/>
      <c r="V6" s="350"/>
      <c r="W6" s="350"/>
      <c r="X6" s="350"/>
      <c r="Y6" s="350"/>
      <c r="Z6" s="350"/>
      <c r="AA6" s="350"/>
      <c r="AB6" s="350"/>
      <c r="AC6" s="350"/>
      <c r="AD6" s="350"/>
      <c r="AE6" s="350"/>
      <c r="AF6" s="350"/>
      <c r="AG6" s="5"/>
      <c r="AH6" s="5"/>
      <c r="AI6" s="87"/>
      <c r="AJ6" s="5"/>
    </row>
    <row r="7" spans="1:36" ht="15" thickBot="1" x14ac:dyDescent="0.4">
      <c r="A7" s="5"/>
      <c r="B7" s="5"/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7"/>
      <c r="AJ7" s="5"/>
    </row>
    <row r="8" spans="1:36" ht="24" thickBot="1" x14ac:dyDescent="0.6">
      <c r="A8" s="5"/>
      <c r="B8" s="5"/>
      <c r="C8" s="86"/>
      <c r="D8" s="344" t="s">
        <v>52</v>
      </c>
      <c r="E8" s="345"/>
      <c r="F8" s="346"/>
      <c r="G8" s="5"/>
      <c r="H8" s="347" t="s">
        <v>53</v>
      </c>
      <c r="I8" s="348"/>
      <c r="J8" s="349"/>
      <c r="K8" s="16"/>
      <c r="L8" s="5"/>
      <c r="M8" s="357" t="s">
        <v>72</v>
      </c>
      <c r="N8" s="358"/>
      <c r="O8" s="358"/>
      <c r="P8" s="358"/>
      <c r="Q8" s="359"/>
      <c r="R8" s="5"/>
      <c r="S8" s="351" t="s">
        <v>78</v>
      </c>
      <c r="T8" s="352"/>
      <c r="U8" s="353"/>
      <c r="V8" s="12"/>
      <c r="W8" s="354" t="s">
        <v>108</v>
      </c>
      <c r="X8" s="355"/>
      <c r="Y8" s="355"/>
      <c r="Z8" s="356"/>
      <c r="AA8" s="11"/>
      <c r="AB8" s="354" t="s">
        <v>85</v>
      </c>
      <c r="AC8" s="355"/>
      <c r="AD8" s="355"/>
      <c r="AE8" s="355"/>
      <c r="AF8" s="356"/>
      <c r="AG8" s="5"/>
      <c r="AH8" s="5"/>
      <c r="AI8" s="87"/>
      <c r="AJ8" s="5"/>
    </row>
    <row r="9" spans="1:36" ht="21.5" thickBot="1" x14ac:dyDescent="0.55000000000000004">
      <c r="A9" s="5"/>
      <c r="B9" s="5"/>
      <c r="C9" s="86"/>
      <c r="D9" s="73" t="s">
        <v>32</v>
      </c>
      <c r="E9" s="213" t="s">
        <v>0</v>
      </c>
      <c r="F9" s="216" t="s">
        <v>181</v>
      </c>
      <c r="G9" s="5"/>
      <c r="H9" s="74" t="s">
        <v>32</v>
      </c>
      <c r="I9" s="74" t="s">
        <v>54</v>
      </c>
      <c r="J9" s="74" t="s">
        <v>181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 t="s">
        <v>181</v>
      </c>
      <c r="S9" s="101" t="s">
        <v>79</v>
      </c>
      <c r="T9" s="101" t="s">
        <v>35</v>
      </c>
      <c r="U9" s="101" t="s">
        <v>80</v>
      </c>
      <c r="V9" s="13"/>
      <c r="W9" s="85" t="s">
        <v>104</v>
      </c>
      <c r="X9" s="200" t="s">
        <v>162</v>
      </c>
      <c r="Y9" s="200" t="s">
        <v>163</v>
      </c>
      <c r="Z9" s="201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5"/>
      <c r="AH9" s="5"/>
      <c r="AI9" s="87"/>
      <c r="AJ9" s="5"/>
    </row>
    <row r="10" spans="1:36" ht="18.5" x14ac:dyDescent="0.45">
      <c r="A10" s="5"/>
      <c r="B10" s="5"/>
      <c r="C10" s="86"/>
      <c r="D10" s="67" t="s">
        <v>1</v>
      </c>
      <c r="E10" s="68" t="s">
        <v>217</v>
      </c>
      <c r="F10" s="214" t="s">
        <v>182</v>
      </c>
      <c r="G10" s="5"/>
      <c r="H10" s="69" t="s">
        <v>2</v>
      </c>
      <c r="I10" s="70"/>
      <c r="J10" s="217" t="s">
        <v>182</v>
      </c>
      <c r="K10" s="5"/>
      <c r="L10" s="5"/>
      <c r="M10" s="67" t="s">
        <v>75</v>
      </c>
      <c r="N10" s="179">
        <v>0.5</v>
      </c>
      <c r="O10" s="179"/>
      <c r="P10" s="180"/>
      <c r="Q10" s="181"/>
      <c r="R10" s="5" t="s">
        <v>198</v>
      </c>
      <c r="S10" s="140">
        <v>888</v>
      </c>
      <c r="T10" s="141" t="s">
        <v>175</v>
      </c>
      <c r="U10" s="102">
        <v>1</v>
      </c>
      <c r="V10" s="84"/>
      <c r="W10" s="138">
        <v>11</v>
      </c>
      <c r="X10" s="83">
        <v>888</v>
      </c>
      <c r="Z10" s="137"/>
      <c r="AA10" s="15"/>
      <c r="AB10" s="136"/>
      <c r="AC10" s="83"/>
      <c r="AD10" s="139"/>
      <c r="AE10" s="83"/>
      <c r="AF10" s="137"/>
      <c r="AG10" s="5"/>
      <c r="AH10" s="5"/>
      <c r="AI10" s="87"/>
      <c r="AJ10" s="5"/>
    </row>
    <row r="11" spans="1:36" ht="18.5" x14ac:dyDescent="0.45">
      <c r="A11" s="5"/>
      <c r="B11" s="5"/>
      <c r="C11" s="86"/>
      <c r="D11" s="69" t="s">
        <v>3</v>
      </c>
      <c r="E11" s="70">
        <v>100</v>
      </c>
      <c r="F11" s="214" t="s">
        <v>182</v>
      </c>
      <c r="G11" s="5"/>
      <c r="H11" s="69" t="s">
        <v>67</v>
      </c>
      <c r="I11" s="105">
        <v>2</v>
      </c>
      <c r="J11" s="214" t="s">
        <v>191</v>
      </c>
      <c r="K11" s="5"/>
      <c r="L11" s="5"/>
      <c r="M11" s="76" t="s">
        <v>76</v>
      </c>
      <c r="N11" s="125" t="s">
        <v>12</v>
      </c>
      <c r="O11" s="125"/>
      <c r="P11" s="79"/>
      <c r="Q11" s="127"/>
      <c r="R11" s="5" t="s">
        <v>192</v>
      </c>
      <c r="S11" s="103">
        <v>888</v>
      </c>
      <c r="T11" s="104" t="s">
        <v>176</v>
      </c>
      <c r="U11" s="105">
        <v>1</v>
      </c>
      <c r="V11" s="84"/>
      <c r="W11" s="109"/>
      <c r="X11" s="75"/>
      <c r="Y11" s="106"/>
      <c r="Z11" s="108"/>
      <c r="AA11" s="15"/>
      <c r="AB11" s="107"/>
      <c r="AC11" s="75"/>
      <c r="AD11" s="106"/>
      <c r="AE11" s="75"/>
      <c r="AF11" s="108"/>
      <c r="AG11" s="5"/>
      <c r="AH11" s="5"/>
      <c r="AI11" s="87"/>
      <c r="AJ11" s="5"/>
    </row>
    <row r="12" spans="1:36" ht="18.5" x14ac:dyDescent="0.45">
      <c r="A12" s="5"/>
      <c r="B12" s="5"/>
      <c r="C12" s="86"/>
      <c r="D12" s="69" t="s">
        <v>42</v>
      </c>
      <c r="E12" s="262"/>
      <c r="F12" s="214" t="s">
        <v>182</v>
      </c>
      <c r="G12" s="5"/>
      <c r="H12" s="69" t="s">
        <v>68</v>
      </c>
      <c r="I12" s="105">
        <v>10</v>
      </c>
      <c r="J12" s="214" t="str">
        <f>J15</f>
        <v>t/h</v>
      </c>
      <c r="K12" s="5"/>
      <c r="L12" s="5"/>
      <c r="M12" s="76" t="s">
        <v>77</v>
      </c>
      <c r="N12" s="247" t="s">
        <v>177</v>
      </c>
      <c r="O12" s="125"/>
      <c r="P12" s="79"/>
      <c r="Q12" s="127"/>
      <c r="R12" s="5"/>
      <c r="S12" s="103">
        <v>888</v>
      </c>
      <c r="T12" s="125" t="s">
        <v>177</v>
      </c>
      <c r="U12" s="127">
        <v>1</v>
      </c>
      <c r="V12" s="84"/>
      <c r="W12" s="109"/>
      <c r="X12" s="75"/>
      <c r="Y12" s="44"/>
      <c r="Z12" s="30"/>
      <c r="AA12" s="42"/>
      <c r="AB12" s="51"/>
      <c r="AC12" s="75"/>
      <c r="AD12" s="44"/>
      <c r="AE12" s="75"/>
      <c r="AF12" s="108"/>
      <c r="AG12" s="5"/>
      <c r="AH12" s="5"/>
      <c r="AI12" s="87"/>
      <c r="AJ12" s="5"/>
    </row>
    <row r="13" spans="1:36" ht="18.5" x14ac:dyDescent="0.45">
      <c r="A13" s="5"/>
      <c r="B13" s="5"/>
      <c r="C13" s="86"/>
      <c r="D13" s="69" t="s">
        <v>56</v>
      </c>
      <c r="E13" s="70"/>
      <c r="F13" s="214" t="s">
        <v>182</v>
      </c>
      <c r="G13" s="5"/>
      <c r="H13" s="69" t="s">
        <v>69</v>
      </c>
      <c r="I13" s="105">
        <v>0.1</v>
      </c>
      <c r="J13" s="214" t="s">
        <v>182</v>
      </c>
      <c r="K13" s="5"/>
      <c r="L13" s="5"/>
      <c r="M13" s="76"/>
      <c r="N13" s="247" t="s">
        <v>176</v>
      </c>
      <c r="O13" s="75"/>
      <c r="P13" s="75"/>
      <c r="Q13" s="70"/>
      <c r="R13" s="5"/>
      <c r="S13" s="103">
        <v>888</v>
      </c>
      <c r="T13" s="120" t="s">
        <v>173</v>
      </c>
      <c r="U13" s="121">
        <v>1</v>
      </c>
      <c r="V13" s="42"/>
      <c r="W13" s="109"/>
      <c r="X13" s="75"/>
      <c r="Y13" s="44"/>
      <c r="Z13" s="30"/>
      <c r="AA13" s="42"/>
      <c r="AB13" s="51"/>
      <c r="AC13" s="75"/>
      <c r="AD13" s="44"/>
      <c r="AE13" s="75"/>
      <c r="AF13" s="108"/>
      <c r="AG13" s="5"/>
      <c r="AH13" s="5"/>
      <c r="AI13" s="87"/>
      <c r="AJ13" s="5"/>
    </row>
    <row r="14" spans="1:36" ht="18.5" x14ac:dyDescent="0.45">
      <c r="A14" s="5"/>
      <c r="B14" s="5"/>
      <c r="C14" s="86"/>
      <c r="D14" s="69" t="s">
        <v>57</v>
      </c>
      <c r="E14" s="70">
        <v>20</v>
      </c>
      <c r="F14" s="214" t="s">
        <v>182</v>
      </c>
      <c r="G14" s="5"/>
      <c r="H14" s="69" t="s">
        <v>70</v>
      </c>
      <c r="I14" s="105">
        <v>2018</v>
      </c>
      <c r="J14" s="214" t="s">
        <v>194</v>
      </c>
      <c r="K14" s="5"/>
      <c r="L14" s="5"/>
      <c r="M14" s="77"/>
      <c r="N14" s="79" t="s">
        <v>175</v>
      </c>
      <c r="O14" s="79"/>
      <c r="P14" s="79"/>
      <c r="Q14" s="82"/>
      <c r="R14" s="5"/>
      <c r="S14" s="103"/>
      <c r="T14" s="75"/>
      <c r="U14" s="30"/>
      <c r="V14" s="42"/>
      <c r="W14" s="109"/>
      <c r="X14" s="75"/>
      <c r="Y14" s="44"/>
      <c r="Z14" s="30"/>
      <c r="AA14" s="42"/>
      <c r="AB14" s="51"/>
      <c r="AC14" s="75"/>
      <c r="AD14" s="44"/>
      <c r="AE14" s="75"/>
      <c r="AF14" s="108"/>
      <c r="AG14" s="5"/>
      <c r="AH14" s="5"/>
      <c r="AI14" s="87"/>
      <c r="AJ14" s="5"/>
    </row>
    <row r="15" spans="1:36" ht="19" thickBot="1" x14ac:dyDescent="0.5">
      <c r="A15" s="5"/>
      <c r="B15" s="5"/>
      <c r="C15" s="86"/>
      <c r="D15" s="69" t="s">
        <v>58</v>
      </c>
      <c r="E15" s="70">
        <v>2.6</v>
      </c>
      <c r="F15" s="214" t="s">
        <v>182</v>
      </c>
      <c r="G15" s="5"/>
      <c r="H15" s="76" t="s">
        <v>71</v>
      </c>
      <c r="I15" s="70" t="s">
        <v>12</v>
      </c>
      <c r="J15" s="214" t="s">
        <v>192</v>
      </c>
      <c r="K15" s="5"/>
      <c r="L15" s="5"/>
      <c r="M15" s="77"/>
      <c r="N15" s="79" t="s">
        <v>173</v>
      </c>
      <c r="O15" s="79"/>
      <c r="P15" s="79"/>
      <c r="Q15" s="82"/>
      <c r="R15" s="5"/>
      <c r="S15" s="51"/>
      <c r="T15" s="104"/>
      <c r="U15" s="105"/>
      <c r="V15" s="42"/>
      <c r="W15" s="89"/>
      <c r="X15" s="15"/>
      <c r="Y15" s="15"/>
      <c r="Z15" s="66"/>
      <c r="AA15" s="15"/>
      <c r="AB15" s="109"/>
      <c r="AC15" s="75"/>
      <c r="AD15" s="75"/>
      <c r="AE15" s="75"/>
      <c r="AF15" s="108"/>
      <c r="AG15" s="5"/>
      <c r="AH15" s="5"/>
      <c r="AI15" s="87"/>
      <c r="AJ15" s="5"/>
    </row>
    <row r="16" spans="1:36" ht="19" thickBot="1" x14ac:dyDescent="0.5">
      <c r="A16" s="5"/>
      <c r="B16" s="5"/>
      <c r="C16" s="86"/>
      <c r="D16" s="69" t="s">
        <v>59</v>
      </c>
      <c r="E16" s="70">
        <v>1.44</v>
      </c>
      <c r="F16" s="214" t="s">
        <v>182</v>
      </c>
      <c r="G16" s="5"/>
      <c r="H16" s="242" t="s">
        <v>55</v>
      </c>
      <c r="I16" s="243" t="s">
        <v>176</v>
      </c>
      <c r="J16" s="214" t="s">
        <v>182</v>
      </c>
      <c r="K16" s="5"/>
      <c r="L16" s="5"/>
      <c r="M16" s="77"/>
      <c r="N16" s="79"/>
      <c r="O16" s="79"/>
      <c r="P16" s="79"/>
      <c r="Q16" s="82"/>
      <c r="R16" s="5"/>
      <c r="S16" s="51"/>
      <c r="T16" s="104"/>
      <c r="U16" s="105"/>
      <c r="V16" s="15"/>
      <c r="W16" s="89"/>
      <c r="X16" s="15"/>
      <c r="Y16" s="15"/>
      <c r="Z16" s="66"/>
      <c r="AA16" s="15"/>
      <c r="AB16" s="109"/>
      <c r="AC16" s="75"/>
      <c r="AD16" s="75"/>
      <c r="AE16" s="75"/>
      <c r="AF16" s="70"/>
      <c r="AG16" s="5"/>
      <c r="AH16" s="5"/>
      <c r="AI16" s="87"/>
      <c r="AJ16" s="5"/>
    </row>
    <row r="17" spans="1:36" ht="18.5" x14ac:dyDescent="0.45">
      <c r="A17" s="5"/>
      <c r="B17" s="5"/>
      <c r="C17" s="86"/>
      <c r="D17" s="69" t="s">
        <v>60</v>
      </c>
      <c r="E17" s="70">
        <v>25</v>
      </c>
      <c r="F17" s="214" t="s">
        <v>186</v>
      </c>
      <c r="G17" s="5"/>
      <c r="H17" s="218"/>
      <c r="I17" s="244" t="s">
        <v>177</v>
      </c>
      <c r="J17" s="214" t="s">
        <v>182</v>
      </c>
      <c r="K17" s="5"/>
      <c r="L17" s="5"/>
      <c r="M17" s="77"/>
      <c r="N17" s="79"/>
      <c r="O17" s="79"/>
      <c r="P17" s="79"/>
      <c r="Q17" s="82"/>
      <c r="R17" s="5"/>
      <c r="S17" s="51"/>
      <c r="T17" s="125"/>
      <c r="U17" s="127"/>
      <c r="V17" s="15"/>
      <c r="W17" s="89"/>
      <c r="X17" s="15"/>
      <c r="Y17" s="15"/>
      <c r="Z17" s="66"/>
      <c r="AA17" s="15"/>
      <c r="AB17" s="109"/>
      <c r="AC17" s="75"/>
      <c r="AD17" s="75"/>
      <c r="AE17" s="75"/>
      <c r="AF17" s="70"/>
      <c r="AG17" s="5"/>
      <c r="AH17" s="5"/>
      <c r="AI17" s="87"/>
      <c r="AJ17" s="5"/>
    </row>
    <row r="18" spans="1:36" ht="18.5" x14ac:dyDescent="0.45">
      <c r="A18" s="5"/>
      <c r="B18" s="5"/>
      <c r="C18" s="86"/>
      <c r="D18" s="71" t="s">
        <v>61</v>
      </c>
      <c r="E18" s="70">
        <v>25</v>
      </c>
      <c r="F18" s="214" t="s">
        <v>186</v>
      </c>
      <c r="G18" s="5"/>
      <c r="H18" s="77"/>
      <c r="I18" s="244" t="s">
        <v>175</v>
      </c>
      <c r="J18" s="214" t="s">
        <v>182</v>
      </c>
      <c r="K18" s="5"/>
      <c r="L18" s="5"/>
      <c r="M18" s="77"/>
      <c r="N18" s="79"/>
      <c r="O18" s="79"/>
      <c r="P18" s="79"/>
      <c r="Q18" s="82"/>
      <c r="R18" s="5"/>
      <c r="S18" s="51"/>
      <c r="T18" s="120"/>
      <c r="U18" s="121"/>
      <c r="V18" s="15"/>
      <c r="W18" s="89"/>
      <c r="X18" s="15"/>
      <c r="Y18" s="15"/>
      <c r="Z18" s="66"/>
      <c r="AA18" s="15"/>
      <c r="AB18" s="109"/>
      <c r="AC18" s="75"/>
      <c r="AD18" s="75"/>
      <c r="AE18" s="75"/>
      <c r="AF18" s="70"/>
      <c r="AG18" s="5"/>
      <c r="AH18" s="5"/>
      <c r="AI18" s="87"/>
      <c r="AJ18" s="5"/>
    </row>
    <row r="19" spans="1:36" ht="18.5" x14ac:dyDescent="0.45">
      <c r="A19" s="5"/>
      <c r="B19" s="5"/>
      <c r="C19" s="86"/>
      <c r="D19" s="69" t="s">
        <v>62</v>
      </c>
      <c r="E19" s="70"/>
      <c r="F19" s="214" t="s">
        <v>186</v>
      </c>
      <c r="G19" s="5"/>
      <c r="H19" s="77"/>
      <c r="I19" s="244" t="s">
        <v>173</v>
      </c>
      <c r="J19" s="214" t="s">
        <v>182</v>
      </c>
      <c r="K19" s="5"/>
      <c r="L19" s="5"/>
      <c r="M19" s="77"/>
      <c r="N19" s="79"/>
      <c r="O19" s="79"/>
      <c r="P19" s="79"/>
      <c r="Q19" s="82"/>
      <c r="R19" s="5"/>
      <c r="S19" s="51"/>
      <c r="T19" s="75"/>
      <c r="U19" s="30"/>
      <c r="V19" s="15"/>
      <c r="W19" s="89"/>
      <c r="X19" s="15"/>
      <c r="Y19" s="15"/>
      <c r="Z19" s="66"/>
      <c r="AA19" s="15"/>
      <c r="AB19" s="109"/>
      <c r="AC19" s="75"/>
      <c r="AD19" s="75"/>
      <c r="AE19" s="75"/>
      <c r="AF19" s="70"/>
      <c r="AG19" s="5"/>
      <c r="AH19" s="5"/>
      <c r="AI19" s="87"/>
      <c r="AJ19" s="5"/>
    </row>
    <row r="20" spans="1:36" ht="18.5" x14ac:dyDescent="0.45">
      <c r="A20" s="5"/>
      <c r="B20" s="5"/>
      <c r="C20" s="86"/>
      <c r="D20" s="71" t="s">
        <v>63</v>
      </c>
      <c r="E20" s="70"/>
      <c r="F20" s="214" t="s">
        <v>186</v>
      </c>
      <c r="G20" s="5"/>
      <c r="H20" s="77"/>
      <c r="I20" s="244"/>
      <c r="J20" s="214" t="s">
        <v>182</v>
      </c>
      <c r="K20" s="5"/>
      <c r="L20" s="5"/>
      <c r="M20" s="110"/>
      <c r="N20" s="79"/>
      <c r="O20" s="79"/>
      <c r="P20" s="79"/>
      <c r="Q20" s="82"/>
      <c r="R20" s="5"/>
      <c r="S20" s="51"/>
      <c r="T20" s="104"/>
      <c r="U20" s="105"/>
      <c r="V20" s="15"/>
      <c r="W20" s="89"/>
      <c r="X20" s="15"/>
      <c r="Y20" s="15"/>
      <c r="Z20" s="66"/>
      <c r="AA20" s="15"/>
      <c r="AB20" s="109"/>
      <c r="AC20" s="75"/>
      <c r="AD20" s="75"/>
      <c r="AE20" s="75"/>
      <c r="AF20" s="70"/>
      <c r="AG20" s="5"/>
      <c r="AH20" s="5"/>
      <c r="AI20" s="87"/>
      <c r="AJ20" s="5"/>
    </row>
    <row r="21" spans="1:36" ht="18.5" x14ac:dyDescent="0.45">
      <c r="A21" s="5"/>
      <c r="B21" s="5"/>
      <c r="C21" s="86"/>
      <c r="D21" s="71" t="s">
        <v>64</v>
      </c>
      <c r="E21" s="143" t="s">
        <v>94</v>
      </c>
      <c r="F21" s="214" t="s">
        <v>182</v>
      </c>
      <c r="G21" s="5"/>
      <c r="H21" s="110"/>
      <c r="I21" s="244"/>
      <c r="J21" s="214" t="s">
        <v>182</v>
      </c>
      <c r="K21" s="5"/>
      <c r="L21" s="5"/>
      <c r="M21" s="110"/>
      <c r="N21" s="79"/>
      <c r="O21" s="79"/>
      <c r="P21" s="79"/>
      <c r="Q21" s="82"/>
      <c r="R21" s="5"/>
      <c r="S21" s="51"/>
      <c r="T21" s="104"/>
      <c r="U21" s="105"/>
      <c r="V21" s="15"/>
      <c r="W21" s="89"/>
      <c r="X21" s="15"/>
      <c r="Y21" s="15"/>
      <c r="Z21" s="66"/>
      <c r="AA21" s="15"/>
      <c r="AB21" s="109"/>
      <c r="AC21" s="75"/>
      <c r="AD21" s="75"/>
      <c r="AE21" s="75"/>
      <c r="AF21" s="70"/>
      <c r="AG21" s="5"/>
      <c r="AH21" s="5"/>
      <c r="AI21" s="87"/>
      <c r="AJ21" s="5"/>
    </row>
    <row r="22" spans="1:36" ht="18.5" x14ac:dyDescent="0.45">
      <c r="A22" s="5"/>
      <c r="B22" s="5"/>
      <c r="C22" s="86"/>
      <c r="D22" s="71" t="s">
        <v>65</v>
      </c>
      <c r="E22" s="70"/>
      <c r="F22" s="214" t="s">
        <v>182</v>
      </c>
      <c r="G22" s="5"/>
      <c r="H22" s="110"/>
      <c r="I22" s="244"/>
      <c r="J22" s="214" t="s">
        <v>182</v>
      </c>
      <c r="K22" s="5"/>
      <c r="L22" s="5"/>
      <c r="M22" s="110"/>
      <c r="N22" s="79"/>
      <c r="O22" s="79"/>
      <c r="P22" s="79"/>
      <c r="Q22" s="82"/>
      <c r="R22" s="5"/>
      <c r="S22" s="51"/>
      <c r="T22" s="125"/>
      <c r="U22" s="127"/>
      <c r="V22" s="15"/>
      <c r="W22" s="89"/>
      <c r="X22" s="15"/>
      <c r="Y22" s="15"/>
      <c r="Z22" s="66"/>
      <c r="AA22" s="15"/>
      <c r="AB22" s="109"/>
      <c r="AC22" s="75"/>
      <c r="AD22" s="75"/>
      <c r="AE22" s="75"/>
      <c r="AF22" s="70"/>
      <c r="AG22" s="5"/>
      <c r="AH22" s="5"/>
      <c r="AI22" s="87"/>
      <c r="AJ22" s="5"/>
    </row>
    <row r="23" spans="1:36" ht="18.5" x14ac:dyDescent="0.45">
      <c r="A23" s="5"/>
      <c r="B23" s="5"/>
      <c r="C23" s="86"/>
      <c r="D23" s="71" t="s">
        <v>66</v>
      </c>
      <c r="E23" s="70"/>
      <c r="F23" s="214" t="s">
        <v>182</v>
      </c>
      <c r="G23" s="5"/>
      <c r="H23" s="110"/>
      <c r="I23" s="245"/>
      <c r="J23" s="214" t="s">
        <v>182</v>
      </c>
      <c r="K23" s="5"/>
      <c r="L23" s="5"/>
      <c r="M23" s="110"/>
      <c r="N23" s="79"/>
      <c r="O23" s="79"/>
      <c r="P23" s="79"/>
      <c r="Q23" s="82"/>
      <c r="R23" s="5"/>
      <c r="S23" s="51"/>
      <c r="T23" s="120"/>
      <c r="U23" s="121"/>
      <c r="V23" s="15"/>
      <c r="W23" s="89"/>
      <c r="X23" s="15"/>
      <c r="Y23" s="15"/>
      <c r="Z23" s="66"/>
      <c r="AA23" s="15"/>
      <c r="AB23" s="109"/>
      <c r="AC23" s="75"/>
      <c r="AD23" s="75"/>
      <c r="AE23" s="75"/>
      <c r="AF23" s="70"/>
      <c r="AG23" s="5"/>
      <c r="AH23" s="5"/>
      <c r="AI23" s="87"/>
      <c r="AJ23" s="5"/>
    </row>
    <row r="24" spans="1:36" ht="18.5" x14ac:dyDescent="0.45">
      <c r="A24" s="5"/>
      <c r="B24" s="5"/>
      <c r="C24" s="93"/>
      <c r="D24" s="132" t="s">
        <v>86</v>
      </c>
      <c r="E24" s="92"/>
      <c r="F24" s="214" t="s">
        <v>182</v>
      </c>
      <c r="G24" s="11"/>
      <c r="H24" s="110"/>
      <c r="I24" s="245"/>
      <c r="J24" s="214" t="s">
        <v>182</v>
      </c>
      <c r="K24" s="11"/>
      <c r="L24" s="11"/>
      <c r="M24" s="110"/>
      <c r="N24" s="79"/>
      <c r="O24" s="79"/>
      <c r="P24" s="79"/>
      <c r="Q24" s="82"/>
      <c r="R24" s="5"/>
      <c r="S24" s="51"/>
      <c r="T24" s="75"/>
      <c r="U24" s="30"/>
      <c r="V24" s="15"/>
      <c r="W24" s="89"/>
      <c r="X24" s="15"/>
      <c r="Y24" s="15"/>
      <c r="Z24" s="66"/>
      <c r="AA24" s="15"/>
      <c r="AB24" s="109"/>
      <c r="AC24" s="75"/>
      <c r="AD24" s="75"/>
      <c r="AE24" s="75"/>
      <c r="AF24" s="70"/>
      <c r="AG24" s="5"/>
      <c r="AH24" s="5"/>
      <c r="AI24" s="87"/>
      <c r="AJ24" s="5"/>
    </row>
    <row r="25" spans="1:36" ht="18.5" x14ac:dyDescent="0.45">
      <c r="A25" s="5"/>
      <c r="B25" s="5"/>
      <c r="C25" s="93"/>
      <c r="D25" s="132" t="s">
        <v>87</v>
      </c>
      <c r="E25" s="92"/>
      <c r="F25" s="214" t="s">
        <v>182</v>
      </c>
      <c r="G25" s="11"/>
      <c r="H25" s="110"/>
      <c r="I25" s="245"/>
      <c r="J25" s="214" t="s">
        <v>182</v>
      </c>
      <c r="K25" s="11"/>
      <c r="L25" s="11"/>
      <c r="M25" s="110"/>
      <c r="N25" s="79"/>
      <c r="O25" s="79"/>
      <c r="P25" s="79"/>
      <c r="Q25" s="82"/>
      <c r="R25" s="5"/>
      <c r="S25" s="119"/>
      <c r="T25" s="120"/>
      <c r="U25" s="121"/>
      <c r="V25" s="5"/>
      <c r="W25" s="119"/>
      <c r="X25" s="120"/>
      <c r="Y25" s="120"/>
      <c r="Z25" s="121"/>
      <c r="AA25" s="5"/>
      <c r="AB25" s="119"/>
      <c r="AC25" s="120"/>
      <c r="AD25" s="120"/>
      <c r="AE25" s="120"/>
      <c r="AF25" s="121"/>
      <c r="AG25" s="5"/>
      <c r="AH25" s="5"/>
      <c r="AI25" s="87"/>
      <c r="AJ25" s="5"/>
    </row>
    <row r="26" spans="1:36" ht="19" thickBot="1" x14ac:dyDescent="0.5">
      <c r="A26" s="5"/>
      <c r="B26" s="5"/>
      <c r="C26" s="93"/>
      <c r="D26" s="133" t="s">
        <v>88</v>
      </c>
      <c r="E26" s="65"/>
      <c r="F26" s="215" t="s">
        <v>182</v>
      </c>
      <c r="G26" s="5"/>
      <c r="H26" s="110"/>
      <c r="I26" s="245"/>
      <c r="J26" s="214" t="s">
        <v>182</v>
      </c>
      <c r="K26" s="5"/>
      <c r="L26" s="5"/>
      <c r="M26" s="110"/>
      <c r="N26" s="79"/>
      <c r="O26" s="79"/>
      <c r="P26" s="79"/>
      <c r="Q26" s="82"/>
      <c r="R26" s="5"/>
      <c r="S26" s="219"/>
      <c r="U26" s="121"/>
      <c r="V26" s="5"/>
      <c r="W26" s="119"/>
      <c r="X26" s="120"/>
      <c r="Y26" s="120"/>
      <c r="Z26" s="121"/>
      <c r="AA26" s="5"/>
      <c r="AB26" s="119"/>
      <c r="AC26" s="120"/>
      <c r="AD26" s="120"/>
      <c r="AE26" s="120"/>
      <c r="AF26" s="121"/>
      <c r="AG26" s="5"/>
      <c r="AH26" s="5"/>
      <c r="AI26" s="87"/>
      <c r="AJ26" s="5"/>
    </row>
    <row r="27" spans="1:36" ht="19" thickBot="1" x14ac:dyDescent="0.5">
      <c r="A27" s="5"/>
      <c r="B27" s="5"/>
      <c r="C27" s="93"/>
      <c r="D27" s="229" t="s">
        <v>221</v>
      </c>
      <c r="E27" s="230">
        <f>Systemblatt!C11</f>
        <v>8000</v>
      </c>
      <c r="F27" s="231" t="s">
        <v>184</v>
      </c>
      <c r="G27" s="5"/>
      <c r="H27" s="111"/>
      <c r="I27" s="246"/>
      <c r="J27" s="215" t="s">
        <v>182</v>
      </c>
      <c r="K27" s="5"/>
      <c r="L27" s="5"/>
      <c r="M27" s="111"/>
      <c r="N27" s="80"/>
      <c r="O27" s="80"/>
      <c r="P27" s="80"/>
      <c r="Q27" s="81"/>
      <c r="R27" s="5"/>
      <c r="S27" s="122"/>
      <c r="T27" s="123"/>
      <c r="U27" s="124"/>
      <c r="V27" s="5"/>
      <c r="W27" s="122"/>
      <c r="X27" s="123"/>
      <c r="Y27" s="123"/>
      <c r="Z27" s="124"/>
      <c r="AA27" s="5"/>
      <c r="AB27" s="122"/>
      <c r="AC27" s="123"/>
      <c r="AD27" s="123"/>
      <c r="AE27" s="123"/>
      <c r="AF27" s="124"/>
      <c r="AG27" s="5"/>
      <c r="AH27" s="5"/>
      <c r="AI27" s="87"/>
      <c r="AJ27" s="5"/>
    </row>
    <row r="28" spans="1:36" x14ac:dyDescent="0.35">
      <c r="A28" s="5"/>
      <c r="B28" s="5"/>
      <c r="C28" s="93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7"/>
      <c r="AJ28" s="5"/>
    </row>
    <row r="29" spans="1:36" x14ac:dyDescent="0.35">
      <c r="A29" s="5"/>
      <c r="B29" s="5"/>
      <c r="C29" s="93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7"/>
      <c r="AJ29" s="5"/>
    </row>
    <row r="30" spans="1:36" x14ac:dyDescent="0.35">
      <c r="A30" s="5"/>
      <c r="B30" s="5"/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7"/>
      <c r="AJ30" s="5"/>
    </row>
    <row r="31" spans="1:36" x14ac:dyDescent="0.35">
      <c r="A31" s="5"/>
      <c r="B31" s="5"/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7"/>
      <c r="AJ31" s="5"/>
    </row>
    <row r="32" spans="1:36" x14ac:dyDescent="0.35">
      <c r="A32" s="5"/>
      <c r="B32" s="5"/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7"/>
      <c r="AJ32" s="5"/>
    </row>
    <row r="33" spans="1:36" x14ac:dyDescent="0.35">
      <c r="A33" s="5"/>
      <c r="B33" s="5"/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7"/>
      <c r="AJ33" s="5"/>
    </row>
    <row r="34" spans="1:36" x14ac:dyDescent="0.35">
      <c r="A34" s="5"/>
      <c r="B34" s="5"/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7"/>
      <c r="AJ34" s="5"/>
    </row>
    <row r="35" spans="1:36" x14ac:dyDescent="0.35">
      <c r="A35" s="5"/>
      <c r="B35" s="5"/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7"/>
      <c r="AJ35" s="5"/>
    </row>
    <row r="36" spans="1:36" x14ac:dyDescent="0.35">
      <c r="A36" s="5"/>
      <c r="B36" s="5"/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7"/>
      <c r="AJ36" s="5"/>
    </row>
    <row r="37" spans="1:36" x14ac:dyDescent="0.35">
      <c r="A37" s="5"/>
      <c r="B37" s="5"/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7"/>
      <c r="AJ37" s="5"/>
    </row>
    <row r="38" spans="1:36" x14ac:dyDescent="0.35">
      <c r="A38" s="5"/>
      <c r="B38" s="5"/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7"/>
      <c r="AJ38" s="5"/>
    </row>
    <row r="39" spans="1:36" x14ac:dyDescent="0.35">
      <c r="A39" s="5"/>
      <c r="B39" s="5"/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7"/>
      <c r="AJ39" s="5"/>
    </row>
    <row r="40" spans="1:36" x14ac:dyDescent="0.35">
      <c r="A40" s="5"/>
      <c r="B40" s="5"/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7"/>
      <c r="AJ40" s="5"/>
    </row>
    <row r="41" spans="1:36" x14ac:dyDescent="0.35">
      <c r="A41" s="5"/>
      <c r="B41" s="5"/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7"/>
      <c r="AJ41" s="5"/>
    </row>
    <row r="42" spans="1:36" x14ac:dyDescent="0.35">
      <c r="A42" s="5"/>
      <c r="B42" s="5"/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7"/>
      <c r="AJ42" s="5"/>
    </row>
    <row r="43" spans="1:36" x14ac:dyDescent="0.35">
      <c r="A43" s="5"/>
      <c r="B43" s="5"/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7"/>
      <c r="AJ43" s="5"/>
    </row>
    <row r="44" spans="1:36" x14ac:dyDescent="0.35">
      <c r="A44" s="5"/>
      <c r="B44" s="5"/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7"/>
      <c r="AJ44" s="5"/>
    </row>
    <row r="45" spans="1:36" x14ac:dyDescent="0.35">
      <c r="A45" s="5"/>
      <c r="B45" s="5"/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7"/>
      <c r="AJ45" s="5"/>
    </row>
    <row r="46" spans="1:36" x14ac:dyDescent="0.35">
      <c r="A46" s="5"/>
      <c r="B46" s="5"/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7"/>
      <c r="AJ46" s="5"/>
    </row>
    <row r="47" spans="1:36" ht="18.5" x14ac:dyDescent="0.35">
      <c r="A47" s="5"/>
      <c r="B47" s="5"/>
      <c r="C47" s="86"/>
      <c r="D47" s="342"/>
      <c r="E47" s="342"/>
      <c r="F47" s="342"/>
      <c r="G47" s="342"/>
      <c r="H47" s="342"/>
      <c r="I47" s="342"/>
      <c r="J47" s="342"/>
      <c r="K47" s="342"/>
      <c r="L47" s="342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7"/>
      <c r="AJ47" s="5"/>
    </row>
    <row r="48" spans="1:36" ht="15.5" x14ac:dyDescent="0.35">
      <c r="A48" s="5"/>
      <c r="B48" s="5"/>
      <c r="C48" s="86"/>
      <c r="D48" s="97"/>
      <c r="E48" s="97"/>
      <c r="F48" s="97"/>
      <c r="G48" s="97"/>
      <c r="H48" s="97"/>
      <c r="I48" s="97"/>
      <c r="J48" s="97"/>
      <c r="K48" s="97"/>
      <c r="L48" s="97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7"/>
      <c r="AJ48" s="5"/>
    </row>
    <row r="49" spans="1:36" ht="15.5" x14ac:dyDescent="0.35">
      <c r="A49" s="5"/>
      <c r="B49" s="5"/>
      <c r="C49" s="86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7"/>
      <c r="AJ49" s="5"/>
    </row>
    <row r="50" spans="1:36" ht="15.5" x14ac:dyDescent="0.35">
      <c r="A50" s="5"/>
      <c r="B50" s="5"/>
      <c r="C50" s="86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7"/>
      <c r="AJ50" s="5"/>
    </row>
    <row r="51" spans="1:36" ht="15.5" x14ac:dyDescent="0.35">
      <c r="A51" s="5"/>
      <c r="B51" s="5"/>
      <c r="C51" s="86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7"/>
      <c r="AJ51" s="5"/>
    </row>
    <row r="52" spans="1:36" ht="15.5" x14ac:dyDescent="0.35">
      <c r="A52" s="5"/>
      <c r="B52" s="5"/>
      <c r="C52" s="86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7"/>
      <c r="AJ52" s="5"/>
    </row>
    <row r="53" spans="1:36" ht="15.5" x14ac:dyDescent="0.35">
      <c r="A53" s="5"/>
      <c r="B53" s="5"/>
      <c r="C53" s="86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7"/>
      <c r="AJ53" s="5"/>
    </row>
    <row r="54" spans="1:36" ht="15.5" x14ac:dyDescent="0.35">
      <c r="A54" s="5"/>
      <c r="B54" s="5"/>
      <c r="C54" s="86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7"/>
      <c r="AJ54" s="5"/>
    </row>
    <row r="55" spans="1:36" x14ac:dyDescent="0.35">
      <c r="A55" s="5"/>
      <c r="B55" s="5"/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7"/>
      <c r="AJ55" s="5"/>
    </row>
    <row r="56" spans="1:36" x14ac:dyDescent="0.35">
      <c r="A56" s="5"/>
      <c r="B56" s="5"/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7"/>
      <c r="AJ56" s="5"/>
    </row>
    <row r="57" spans="1:36" x14ac:dyDescent="0.35">
      <c r="A57" s="5"/>
      <c r="B57" s="5"/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7"/>
      <c r="AJ57" s="5"/>
    </row>
    <row r="58" spans="1:36" x14ac:dyDescent="0.35">
      <c r="A58" s="5"/>
      <c r="B58" s="5"/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7"/>
      <c r="AJ58" s="5"/>
    </row>
    <row r="59" spans="1:36" x14ac:dyDescent="0.35">
      <c r="A59" s="5"/>
      <c r="B59" s="5"/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7"/>
      <c r="AJ59" s="5"/>
    </row>
    <row r="60" spans="1:36" x14ac:dyDescent="0.35">
      <c r="A60" s="5"/>
      <c r="B60" s="5"/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7"/>
      <c r="AJ60" s="5"/>
    </row>
    <row r="61" spans="1:36" x14ac:dyDescent="0.35">
      <c r="A61" s="5"/>
      <c r="B61" s="5"/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7"/>
      <c r="AJ61" s="5"/>
    </row>
    <row r="62" spans="1:36" x14ac:dyDescent="0.35">
      <c r="A62" s="5"/>
      <c r="B62" s="5"/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7"/>
      <c r="AJ62" s="5"/>
    </row>
    <row r="63" spans="1:36" x14ac:dyDescent="0.35">
      <c r="A63" s="5"/>
      <c r="B63" s="5"/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7"/>
      <c r="AJ63" s="5"/>
    </row>
    <row r="64" spans="1:36" x14ac:dyDescent="0.35">
      <c r="A64" s="5"/>
      <c r="B64" s="5"/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7"/>
      <c r="AJ64" s="5"/>
    </row>
    <row r="65" spans="1:36" x14ac:dyDescent="0.35">
      <c r="A65" s="5"/>
      <c r="B65" s="5"/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7"/>
      <c r="AJ65" s="5"/>
    </row>
    <row r="66" spans="1:36" x14ac:dyDescent="0.35">
      <c r="A66" s="5"/>
      <c r="B66" s="5"/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7"/>
      <c r="AJ66" s="5"/>
    </row>
    <row r="67" spans="1:36" x14ac:dyDescent="0.35">
      <c r="A67" s="5"/>
      <c r="B67" s="5"/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7"/>
      <c r="AJ67" s="5"/>
    </row>
    <row r="68" spans="1:36" x14ac:dyDescent="0.35">
      <c r="A68" s="5"/>
      <c r="B68" s="5"/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7"/>
      <c r="AJ68" s="5"/>
    </row>
    <row r="69" spans="1:36" ht="15" thickBot="1" x14ac:dyDescent="0.4">
      <c r="A69" s="5"/>
      <c r="B69" s="5"/>
      <c r="C69" s="78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8"/>
      <c r="AE69" s="88"/>
      <c r="AF69" s="88"/>
      <c r="AG69" s="88"/>
      <c r="AH69" s="88"/>
      <c r="AI69" s="65"/>
      <c r="AJ69" s="5"/>
    </row>
    <row r="70" spans="1:36" x14ac:dyDescent="0.35">
      <c r="A70" s="5"/>
      <c r="B70" s="5"/>
      <c r="C70" s="91"/>
      <c r="D70" s="91"/>
      <c r="E70" s="91"/>
      <c r="F70" s="91"/>
      <c r="G70" s="91"/>
      <c r="H70" s="91"/>
      <c r="I70" s="91"/>
      <c r="J70" s="91"/>
      <c r="K70" s="91"/>
      <c r="L70" s="91"/>
      <c r="M70" s="91"/>
      <c r="N70" s="91"/>
      <c r="O70" s="91"/>
      <c r="P70" s="91"/>
      <c r="Q70" s="91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23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9748E88-67CA-4790-A137-ADA11D151918}">
          <x14:formula1>
            <xm:f>DataBank!$B$2:$B$3</xm:f>
          </x14:formula1>
          <xm:sqref>J15</xm:sqref>
        </x14:dataValidation>
        <x14:dataValidation type="list" allowBlank="1" showInputMessage="1" showErrorMessage="1" xr:uid="{250828D4-67AE-4114-86E0-EE5B4F37CA78}">
          <x14:formula1>
            <xm:f>Systemblatt!$E$5:$E$38</xm:f>
          </x14:formula1>
          <xm:sqref>AE10:AE27 AC10:AC27 N12:Q12 I16:I27 N14:Q27 T10:T25 T27 N13</xm:sqref>
        </x14:dataValidation>
        <x14:dataValidation type="list" allowBlank="1" showInputMessage="1" showErrorMessage="1" xr:uid="{75F18B6B-3F53-4BB3-A62D-77ED1C39EB43}">
          <x14:formula1>
            <xm:f>Sources!$E$7:$O$7</xm:f>
          </x14:formula1>
          <xm:sqref>W10:W27</xm:sqref>
        </x14:dataValidation>
        <x14:dataValidation type="list" allowBlank="1" showInputMessage="1" showErrorMessage="1" xr:uid="{EF33C0EC-5B9B-49D8-A658-684ACEE426B4}">
          <x14:formula1>
            <xm:f>DataBank!$K$17:$K$18</xm:f>
          </x14:formula1>
          <xm:sqref>E26</xm:sqref>
        </x14:dataValidation>
        <x14:dataValidation type="list" allowBlank="1" showInputMessage="1" showErrorMessage="1" xr:uid="{5EDC8A67-C670-45F6-8B9E-099CA47AA2AD}">
          <x14:formula1>
            <xm:f>DataBank!$A$3:$A$10</xm:f>
          </x14:formula1>
          <xm:sqref>O11:Q11</xm:sqref>
        </x14:dataValidation>
        <x14:dataValidation type="list" allowBlank="1" showInputMessage="1" showErrorMessage="1" xr:uid="{EE74F829-7EC1-4641-80E3-A70281F6DCD1}">
          <x14:formula1>
            <xm:f>DataBank!$C$2:$C$7</xm:f>
          </x14:formula1>
          <xm:sqref>I15</xm:sqref>
        </x14:dataValidation>
        <x14:dataValidation type="list" allowBlank="1" showInputMessage="1" showErrorMessage="1" xr:uid="{03BAF7CB-441A-4B97-AD91-0B643B31DD16}">
          <x14:formula1>
            <xm:f>Systemblatt!$E$5:$E$11</xm:f>
          </x14:formula1>
          <xm:sqref>K16:K17</xm:sqref>
        </x14:dataValidation>
        <x14:dataValidation type="list" allowBlank="1" showInputMessage="1" showErrorMessage="1" xr:uid="{FB9CAD9B-F596-4C5F-8F79-64753A8B886B}">
          <x14:formula1>
            <xm:f>DataBank!$A$3:$A$4</xm:f>
          </x14:formula1>
          <xm:sqref>AB10 AD10</xm:sqref>
        </x14:dataValidation>
        <x14:dataValidation type="list" allowBlank="1" showInputMessage="1" showErrorMessage="1" xr:uid="{75D7DD23-FD97-49C7-85CE-0004DCA17E59}">
          <x14:formula1>
            <xm:f>DataBank!$A$3:$A$5</xm:f>
          </x14:formula1>
          <xm:sqref>K15</xm:sqref>
        </x14:dataValidation>
        <x14:dataValidation type="whole" allowBlank="1" showInputMessage="1" showErrorMessage="1" xr:uid="{145BB259-61F8-42C0-9C8B-B29427B3C1F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3DB6B008-9032-42FB-B383-3853AF87EB01}">
          <x14:formula1>
            <xm:f>Sources!$E$6:$O$6</xm:f>
          </x14:formula1>
          <xm:sqref>O13:Q13</xm:sqref>
        </x14:dataValidation>
        <x14:dataValidation type="list" allowBlank="1" showInputMessage="1" showErrorMessage="1" xr:uid="{05F8D1D4-75F8-44BA-A76F-0F96F7C09759}">
          <x14:formula1>
            <xm:f>DataBank!$A$3:$A$11</xm:f>
          </x14:formula1>
          <xm:sqref>N11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8F234-8627-4911-BBBB-3B68DC1947CF}">
  <sheetPr codeName="Tabelle43"/>
  <dimension ref="A1:AJ144"/>
  <sheetViews>
    <sheetView topLeftCell="A4" zoomScale="75" zoomScaleNormal="47" workbookViewId="0">
      <selection activeCell="U22" sqref="U2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6"/>
      <c r="AJ2" s="5"/>
    </row>
    <row r="3" spans="1:36" x14ac:dyDescent="0.35">
      <c r="A3" s="5"/>
      <c r="B3" s="5"/>
      <c r="C3" s="86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7"/>
      <c r="AJ3" s="5"/>
    </row>
    <row r="4" spans="1:36" x14ac:dyDescent="0.35">
      <c r="A4" s="5"/>
      <c r="B4" s="5"/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7"/>
      <c r="AJ4" s="5"/>
    </row>
    <row r="5" spans="1:36" x14ac:dyDescent="0.35">
      <c r="A5" s="5"/>
      <c r="B5" s="5"/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7"/>
      <c r="AJ5" s="5"/>
    </row>
    <row r="6" spans="1:36" x14ac:dyDescent="0.35">
      <c r="A6" s="5"/>
      <c r="B6" s="5"/>
      <c r="C6" s="86"/>
      <c r="D6" s="343"/>
      <c r="E6" s="343"/>
      <c r="F6" s="5"/>
      <c r="G6" s="5"/>
      <c r="H6" s="343"/>
      <c r="I6" s="343"/>
      <c r="J6" s="15"/>
      <c r="K6" s="15"/>
      <c r="L6" s="5"/>
      <c r="M6" s="343"/>
      <c r="N6" s="343"/>
      <c r="O6" s="343"/>
      <c r="P6" s="343"/>
      <c r="Q6" s="5"/>
      <c r="R6" s="5"/>
      <c r="S6" s="350"/>
      <c r="T6" s="350"/>
      <c r="U6" s="350"/>
      <c r="V6" s="350"/>
      <c r="W6" s="350"/>
      <c r="X6" s="350"/>
      <c r="Y6" s="350"/>
      <c r="Z6" s="350"/>
      <c r="AA6" s="350"/>
      <c r="AB6" s="350"/>
      <c r="AC6" s="350"/>
      <c r="AD6" s="350"/>
      <c r="AE6" s="350"/>
      <c r="AF6" s="350"/>
      <c r="AG6" s="5"/>
      <c r="AH6" s="5"/>
      <c r="AI6" s="87"/>
      <c r="AJ6" s="5"/>
    </row>
    <row r="7" spans="1:36" ht="15" thickBot="1" x14ac:dyDescent="0.4">
      <c r="A7" s="5"/>
      <c r="B7" s="5"/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7"/>
      <c r="AJ7" s="5"/>
    </row>
    <row r="8" spans="1:36" ht="24" thickBot="1" x14ac:dyDescent="0.6">
      <c r="A8" s="5"/>
      <c r="B8" s="5"/>
      <c r="C8" s="86"/>
      <c r="D8" s="344" t="s">
        <v>52</v>
      </c>
      <c r="E8" s="345"/>
      <c r="F8" s="346"/>
      <c r="G8" s="5"/>
      <c r="H8" s="347" t="s">
        <v>53</v>
      </c>
      <c r="I8" s="348"/>
      <c r="J8" s="349"/>
      <c r="K8" s="16"/>
      <c r="L8" s="5"/>
      <c r="M8" s="357" t="s">
        <v>72</v>
      </c>
      <c r="N8" s="358"/>
      <c r="O8" s="358"/>
      <c r="P8" s="358"/>
      <c r="Q8" s="359"/>
      <c r="R8" s="5"/>
      <c r="S8" s="351" t="s">
        <v>78</v>
      </c>
      <c r="T8" s="352"/>
      <c r="U8" s="353"/>
      <c r="V8" s="12"/>
      <c r="W8" s="354" t="s">
        <v>108</v>
      </c>
      <c r="X8" s="355"/>
      <c r="Y8" s="355"/>
      <c r="Z8" s="356"/>
      <c r="AA8" s="11"/>
      <c r="AB8" s="354" t="s">
        <v>85</v>
      </c>
      <c r="AC8" s="355"/>
      <c r="AD8" s="355"/>
      <c r="AE8" s="355"/>
      <c r="AF8" s="356"/>
      <c r="AG8" s="5"/>
      <c r="AH8" s="5"/>
      <c r="AI8" s="87"/>
      <c r="AJ8" s="5"/>
    </row>
    <row r="9" spans="1:36" ht="21.5" thickBot="1" x14ac:dyDescent="0.55000000000000004">
      <c r="A9" s="5"/>
      <c r="B9" s="5"/>
      <c r="C9" s="86"/>
      <c r="D9" s="73" t="s">
        <v>32</v>
      </c>
      <c r="E9" s="213" t="s">
        <v>0</v>
      </c>
      <c r="F9" s="216" t="s">
        <v>181</v>
      </c>
      <c r="G9" s="5"/>
      <c r="H9" s="74" t="s">
        <v>32</v>
      </c>
      <c r="I9" s="74" t="s">
        <v>54</v>
      </c>
      <c r="J9" s="74" t="s">
        <v>181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/>
      <c r="S9" s="85" t="s">
        <v>79</v>
      </c>
      <c r="T9" s="85" t="s">
        <v>35</v>
      </c>
      <c r="U9" s="85" t="s">
        <v>80</v>
      </c>
      <c r="V9" s="13"/>
      <c r="W9" s="85" t="s">
        <v>104</v>
      </c>
      <c r="X9" s="200" t="s">
        <v>162</v>
      </c>
      <c r="Y9" s="200" t="s">
        <v>163</v>
      </c>
      <c r="Z9" s="201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5"/>
      <c r="AH9" s="5"/>
      <c r="AI9" s="87"/>
      <c r="AJ9" s="5"/>
    </row>
    <row r="10" spans="1:36" ht="18.5" x14ac:dyDescent="0.45">
      <c r="A10" s="5"/>
      <c r="B10" s="5"/>
      <c r="C10" s="86"/>
      <c r="D10" s="67" t="s">
        <v>1</v>
      </c>
      <c r="E10" s="68" t="s">
        <v>219</v>
      </c>
      <c r="F10" s="214" t="s">
        <v>182</v>
      </c>
      <c r="G10" s="5"/>
      <c r="H10" s="67" t="s">
        <v>2</v>
      </c>
      <c r="I10" s="68"/>
      <c r="J10" s="217" t="s">
        <v>182</v>
      </c>
      <c r="K10" s="5"/>
      <c r="L10" s="5"/>
      <c r="M10" s="67" t="s">
        <v>75</v>
      </c>
      <c r="N10" s="179"/>
      <c r="O10" s="179"/>
      <c r="P10" s="180"/>
      <c r="Q10" s="181"/>
      <c r="R10" s="5"/>
      <c r="S10" s="51">
        <v>220</v>
      </c>
      <c r="T10" s="104" t="s">
        <v>175</v>
      </c>
      <c r="U10" s="105">
        <v>1</v>
      </c>
      <c r="V10" s="84"/>
      <c r="W10" s="138"/>
      <c r="X10" s="83">
        <v>220</v>
      </c>
      <c r="Y10" s="139"/>
      <c r="Z10" s="137"/>
      <c r="AA10" s="15"/>
      <c r="AB10" s="136"/>
      <c r="AC10" s="83"/>
      <c r="AD10" s="139"/>
      <c r="AE10" s="83"/>
      <c r="AF10" s="137"/>
      <c r="AG10" s="5"/>
      <c r="AH10" s="5"/>
      <c r="AI10" s="87"/>
      <c r="AJ10" s="5"/>
    </row>
    <row r="11" spans="1:36" ht="18.5" x14ac:dyDescent="0.45">
      <c r="A11" s="5"/>
      <c r="B11" s="5"/>
      <c r="C11" s="86"/>
      <c r="D11" s="69" t="s">
        <v>3</v>
      </c>
      <c r="E11" s="70">
        <v>999</v>
      </c>
      <c r="F11" s="214" t="s">
        <v>182</v>
      </c>
      <c r="G11" s="5"/>
      <c r="H11" s="69" t="s">
        <v>67</v>
      </c>
      <c r="I11" s="105">
        <v>1.0000000000000001E-9</v>
      </c>
      <c r="J11" s="214" t="s">
        <v>191</v>
      </c>
      <c r="K11" s="5"/>
      <c r="L11" s="5"/>
      <c r="M11" s="76" t="s">
        <v>76</v>
      </c>
      <c r="N11" s="125"/>
      <c r="O11" s="125"/>
      <c r="P11" s="79"/>
      <c r="Q11" s="127"/>
      <c r="R11" s="5"/>
      <c r="S11" s="51">
        <v>220</v>
      </c>
      <c r="T11" s="104" t="s">
        <v>176</v>
      </c>
      <c r="U11" s="105">
        <v>1</v>
      </c>
      <c r="V11" s="84"/>
      <c r="W11" s="109"/>
      <c r="X11" s="75">
        <v>230</v>
      </c>
      <c r="Y11" s="106"/>
      <c r="Z11" s="108"/>
      <c r="AA11" s="15"/>
      <c r="AB11" s="107"/>
      <c r="AC11" s="75"/>
      <c r="AD11" s="106"/>
      <c r="AE11" s="75"/>
      <c r="AF11" s="108"/>
      <c r="AG11" s="5"/>
      <c r="AH11" s="5"/>
      <c r="AI11" s="87"/>
      <c r="AJ11" s="5"/>
    </row>
    <row r="12" spans="1:36" ht="18.5" x14ac:dyDescent="0.45">
      <c r="A12" s="5"/>
      <c r="B12" s="5"/>
      <c r="C12" s="86"/>
      <c r="D12" s="69" t="s">
        <v>42</v>
      </c>
      <c r="E12" s="262"/>
      <c r="F12" s="214" t="s">
        <v>182</v>
      </c>
      <c r="G12" s="5"/>
      <c r="H12" s="69" t="s">
        <v>68</v>
      </c>
      <c r="I12" s="105">
        <v>1</v>
      </c>
      <c r="J12" s="214" t="str">
        <f>J15</f>
        <v>t/h</v>
      </c>
      <c r="K12" s="5"/>
      <c r="L12" s="5"/>
      <c r="M12" s="76" t="s">
        <v>77</v>
      </c>
      <c r="N12" s="125"/>
      <c r="O12" s="125"/>
      <c r="P12" s="79"/>
      <c r="Q12" s="127"/>
      <c r="R12" s="5"/>
      <c r="S12" s="109">
        <v>220</v>
      </c>
      <c r="T12" s="125" t="s">
        <v>177</v>
      </c>
      <c r="U12" s="127">
        <v>1</v>
      </c>
      <c r="V12" s="84"/>
      <c r="W12" s="109"/>
      <c r="X12" s="75"/>
      <c r="Y12" s="44"/>
      <c r="Z12" s="30"/>
      <c r="AA12" s="42"/>
      <c r="AB12" s="51"/>
      <c r="AC12" s="75"/>
      <c r="AD12" s="44"/>
      <c r="AE12" s="75"/>
      <c r="AF12" s="108"/>
      <c r="AG12" s="5"/>
      <c r="AH12" s="5"/>
      <c r="AI12" s="87"/>
      <c r="AJ12" s="5"/>
    </row>
    <row r="13" spans="1:36" ht="18.5" x14ac:dyDescent="0.45">
      <c r="A13" s="5"/>
      <c r="B13" s="5"/>
      <c r="C13" s="86"/>
      <c r="D13" s="69" t="s">
        <v>56</v>
      </c>
      <c r="E13" s="70" t="s">
        <v>218</v>
      </c>
      <c r="F13" s="214" t="s">
        <v>182</v>
      </c>
      <c r="G13" s="5"/>
      <c r="H13" s="69" t="s">
        <v>69</v>
      </c>
      <c r="I13" s="105">
        <v>1</v>
      </c>
      <c r="J13" s="214" t="s">
        <v>182</v>
      </c>
      <c r="K13" s="5"/>
      <c r="L13" s="5"/>
      <c r="M13" s="76" t="s">
        <v>195</v>
      </c>
      <c r="N13" s="75"/>
      <c r="O13" s="75"/>
      <c r="P13" s="75"/>
      <c r="Q13" s="70"/>
      <c r="R13" s="5"/>
      <c r="S13" s="109">
        <v>220</v>
      </c>
      <c r="T13" s="120" t="s">
        <v>173</v>
      </c>
      <c r="U13" s="121">
        <v>1</v>
      </c>
      <c r="V13" s="42"/>
      <c r="W13" s="109"/>
      <c r="X13" s="75"/>
      <c r="Y13" s="44"/>
      <c r="Z13" s="30"/>
      <c r="AA13" s="42"/>
      <c r="AB13" s="51"/>
      <c r="AC13" s="75"/>
      <c r="AD13" s="44"/>
      <c r="AE13" s="75"/>
      <c r="AF13" s="108"/>
      <c r="AG13" s="5"/>
      <c r="AH13" s="5"/>
      <c r="AI13" s="87"/>
      <c r="AJ13" s="5"/>
    </row>
    <row r="14" spans="1:36" ht="18.5" x14ac:dyDescent="0.45">
      <c r="A14" s="5"/>
      <c r="B14" s="5"/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>
        <v>2018</v>
      </c>
      <c r="J14" s="214" t="s">
        <v>194</v>
      </c>
      <c r="K14" s="5"/>
      <c r="L14" s="5"/>
      <c r="M14" s="77"/>
      <c r="N14" s="79"/>
      <c r="O14" s="79"/>
      <c r="P14" s="79"/>
      <c r="Q14" s="82"/>
      <c r="R14" s="5"/>
      <c r="S14" s="51">
        <v>230</v>
      </c>
      <c r="T14" s="75" t="s">
        <v>175</v>
      </c>
      <c r="U14" s="30">
        <v>1</v>
      </c>
      <c r="V14" s="42"/>
      <c r="W14" s="109"/>
      <c r="X14" s="75"/>
      <c r="Y14" s="44"/>
      <c r="Z14" s="30"/>
      <c r="AA14" s="42"/>
      <c r="AB14" s="51"/>
      <c r="AC14" s="75"/>
      <c r="AD14" s="44"/>
      <c r="AE14" s="75"/>
      <c r="AF14" s="108"/>
      <c r="AG14" s="5"/>
      <c r="AH14" s="5"/>
      <c r="AI14" s="87"/>
      <c r="AJ14" s="5"/>
    </row>
    <row r="15" spans="1:36" ht="18.5" x14ac:dyDescent="0.45">
      <c r="A15" s="5"/>
      <c r="B15" s="5"/>
      <c r="C15" s="86"/>
      <c r="D15" s="69" t="s">
        <v>58</v>
      </c>
      <c r="E15" s="70">
        <v>2.6</v>
      </c>
      <c r="F15" s="214" t="s">
        <v>182</v>
      </c>
      <c r="G15" s="5"/>
      <c r="H15" s="218" t="s">
        <v>71</v>
      </c>
      <c r="I15" s="70" t="s">
        <v>12</v>
      </c>
      <c r="J15" s="214" t="s">
        <v>192</v>
      </c>
      <c r="K15" s="5"/>
      <c r="L15" s="5"/>
      <c r="M15" s="77"/>
      <c r="N15" s="79"/>
      <c r="O15" s="79"/>
      <c r="P15" s="79"/>
      <c r="Q15" s="82"/>
      <c r="R15" s="5"/>
      <c r="S15" s="51">
        <v>230</v>
      </c>
      <c r="T15" s="75" t="s">
        <v>176</v>
      </c>
      <c r="U15" s="30">
        <v>1</v>
      </c>
      <c r="V15" s="42"/>
      <c r="W15" s="89"/>
      <c r="X15" s="15"/>
      <c r="Y15" s="15"/>
      <c r="Z15" s="66"/>
      <c r="AA15" s="15"/>
      <c r="AB15" s="109"/>
      <c r="AC15" s="75"/>
      <c r="AD15" s="75"/>
      <c r="AE15" s="75"/>
      <c r="AF15" s="108"/>
      <c r="AG15" s="5"/>
      <c r="AH15" s="5"/>
      <c r="AI15" s="87"/>
      <c r="AJ15" s="5"/>
    </row>
    <row r="16" spans="1:36" ht="18.5" x14ac:dyDescent="0.45">
      <c r="A16" s="5"/>
      <c r="B16" s="5"/>
      <c r="C16" s="86"/>
      <c r="D16" s="69" t="s">
        <v>59</v>
      </c>
      <c r="E16" s="70">
        <v>1.44</v>
      </c>
      <c r="F16" s="214" t="s">
        <v>182</v>
      </c>
      <c r="G16" s="5"/>
      <c r="H16" s="76" t="s">
        <v>55</v>
      </c>
      <c r="I16" s="70" t="s">
        <v>177</v>
      </c>
      <c r="J16" s="214" t="s">
        <v>182</v>
      </c>
      <c r="K16" s="5"/>
      <c r="L16" s="5"/>
      <c r="M16" s="77"/>
      <c r="N16" s="79"/>
      <c r="O16" s="79"/>
      <c r="P16" s="79"/>
      <c r="Q16" s="82"/>
      <c r="R16" s="5"/>
      <c r="S16" s="109">
        <v>230</v>
      </c>
      <c r="T16" s="75" t="s">
        <v>177</v>
      </c>
      <c r="U16" s="70">
        <v>1</v>
      </c>
      <c r="V16" s="15"/>
      <c r="W16" s="89"/>
      <c r="X16" s="15"/>
      <c r="Y16" s="15"/>
      <c r="Z16" s="66"/>
      <c r="AA16" s="15"/>
      <c r="AB16" s="109"/>
      <c r="AC16" s="75"/>
      <c r="AD16" s="75"/>
      <c r="AE16" s="75"/>
      <c r="AF16" s="70"/>
      <c r="AG16" s="5"/>
      <c r="AH16" s="5"/>
      <c r="AI16" s="87"/>
      <c r="AJ16" s="5"/>
    </row>
    <row r="17" spans="1:36" ht="18.5" x14ac:dyDescent="0.45">
      <c r="A17" s="5"/>
      <c r="B17" s="5"/>
      <c r="C17" s="86"/>
      <c r="D17" s="69" t="s">
        <v>60</v>
      </c>
      <c r="E17" s="70">
        <v>25</v>
      </c>
      <c r="F17" s="214" t="s">
        <v>197</v>
      </c>
      <c r="G17" s="5"/>
      <c r="H17" s="218"/>
      <c r="I17" s="70" t="s">
        <v>175</v>
      </c>
      <c r="J17" s="214" t="s">
        <v>182</v>
      </c>
      <c r="K17" s="5"/>
      <c r="L17" s="5"/>
      <c r="M17" s="77"/>
      <c r="N17" s="79"/>
      <c r="O17" s="79"/>
      <c r="P17" s="79"/>
      <c r="Q17" s="82"/>
      <c r="R17" s="5"/>
      <c r="S17" s="109">
        <v>230</v>
      </c>
      <c r="T17" s="75" t="s">
        <v>173</v>
      </c>
      <c r="U17" s="70">
        <v>1</v>
      </c>
      <c r="V17" s="15"/>
      <c r="W17" s="89"/>
      <c r="X17" s="15"/>
      <c r="Y17" s="15"/>
      <c r="Z17" s="66"/>
      <c r="AA17" s="15"/>
      <c r="AB17" s="109"/>
      <c r="AC17" s="75"/>
      <c r="AD17" s="75"/>
      <c r="AE17" s="75"/>
      <c r="AF17" s="70"/>
      <c r="AG17" s="5"/>
      <c r="AH17" s="5"/>
      <c r="AI17" s="87"/>
      <c r="AJ17" s="5"/>
    </row>
    <row r="18" spans="1:36" ht="18.5" x14ac:dyDescent="0.45">
      <c r="A18" s="5"/>
      <c r="B18" s="5"/>
      <c r="C18" s="86"/>
      <c r="D18" s="71" t="s">
        <v>61</v>
      </c>
      <c r="E18" s="70">
        <v>25</v>
      </c>
      <c r="F18" s="214" t="s">
        <v>197</v>
      </c>
      <c r="G18" s="5"/>
      <c r="H18" s="77"/>
      <c r="I18" s="70" t="s">
        <v>176</v>
      </c>
      <c r="J18" s="214"/>
      <c r="K18" s="5"/>
      <c r="L18" s="5"/>
      <c r="M18" s="77"/>
      <c r="N18" s="79"/>
      <c r="O18" s="79"/>
      <c r="P18" s="79"/>
      <c r="Q18" s="82"/>
      <c r="R18" s="5"/>
      <c r="S18" s="109"/>
      <c r="T18" s="75"/>
      <c r="U18" s="70"/>
      <c r="V18" s="15"/>
      <c r="W18" s="89"/>
      <c r="X18" s="15"/>
      <c r="Y18" s="15"/>
      <c r="Z18" s="66"/>
      <c r="AA18" s="15"/>
      <c r="AB18" s="109"/>
      <c r="AC18" s="75"/>
      <c r="AD18" s="75"/>
      <c r="AE18" s="75"/>
      <c r="AF18" s="70"/>
      <c r="AG18" s="5"/>
      <c r="AH18" s="5"/>
      <c r="AI18" s="87"/>
      <c r="AJ18" s="5"/>
    </row>
    <row r="19" spans="1:36" ht="18.5" x14ac:dyDescent="0.45">
      <c r="A19" s="5"/>
      <c r="B19" s="5"/>
      <c r="C19" s="86"/>
      <c r="D19" s="69" t="s">
        <v>62</v>
      </c>
      <c r="E19" s="70"/>
      <c r="F19" s="214" t="s">
        <v>197</v>
      </c>
      <c r="G19" s="5"/>
      <c r="H19" s="77"/>
      <c r="I19" s="70" t="s">
        <v>173</v>
      </c>
      <c r="J19" s="214"/>
      <c r="K19" s="5"/>
      <c r="L19" s="5"/>
      <c r="M19" s="77"/>
      <c r="N19" s="79"/>
      <c r="O19" s="79"/>
      <c r="P19" s="79"/>
      <c r="Q19" s="82"/>
      <c r="R19" s="5"/>
      <c r="S19" s="109"/>
      <c r="T19" s="75"/>
      <c r="U19" s="70"/>
      <c r="V19" s="15"/>
      <c r="W19" s="89"/>
      <c r="X19" s="15"/>
      <c r="Y19" s="15"/>
      <c r="Z19" s="66"/>
      <c r="AA19" s="15"/>
      <c r="AB19" s="109"/>
      <c r="AC19" s="75"/>
      <c r="AD19" s="75"/>
      <c r="AE19" s="75"/>
      <c r="AF19" s="70"/>
      <c r="AG19" s="5"/>
      <c r="AH19" s="5"/>
      <c r="AI19" s="87"/>
      <c r="AJ19" s="5"/>
    </row>
    <row r="20" spans="1:36" ht="18.5" x14ac:dyDescent="0.45">
      <c r="A20" s="5"/>
      <c r="B20" s="5"/>
      <c r="C20" s="86"/>
      <c r="D20" s="71" t="s">
        <v>63</v>
      </c>
      <c r="E20" s="70"/>
      <c r="F20" s="214" t="s">
        <v>197</v>
      </c>
      <c r="G20" s="5"/>
      <c r="H20" s="77"/>
      <c r="I20" s="70"/>
      <c r="J20" s="214"/>
      <c r="K20" s="5"/>
      <c r="L20" s="5"/>
      <c r="M20" s="110"/>
      <c r="N20" s="79"/>
      <c r="O20" s="79"/>
      <c r="P20" s="79"/>
      <c r="Q20" s="82"/>
      <c r="R20" s="5"/>
      <c r="S20" s="109"/>
      <c r="T20" s="75"/>
      <c r="U20" s="70"/>
      <c r="V20" s="15"/>
      <c r="W20" s="89"/>
      <c r="X20" s="15"/>
      <c r="Y20" s="15"/>
      <c r="Z20" s="66"/>
      <c r="AA20" s="15"/>
      <c r="AB20" s="109"/>
      <c r="AC20" s="75"/>
      <c r="AD20" s="75"/>
      <c r="AE20" s="75"/>
      <c r="AF20" s="70"/>
      <c r="AG20" s="5"/>
      <c r="AH20" s="5"/>
      <c r="AI20" s="87"/>
      <c r="AJ20" s="5"/>
    </row>
    <row r="21" spans="1:36" ht="18.5" x14ac:dyDescent="0.45">
      <c r="A21" s="5"/>
      <c r="B21" s="5"/>
      <c r="C21" s="86"/>
      <c r="D21" s="71" t="s">
        <v>64</v>
      </c>
      <c r="E21" s="143" t="s">
        <v>94</v>
      </c>
      <c r="F21" s="214" t="s">
        <v>182</v>
      </c>
      <c r="G21" s="5"/>
      <c r="H21" s="110"/>
      <c r="I21" s="70"/>
      <c r="J21" s="214"/>
      <c r="K21" s="5"/>
      <c r="L21" s="5"/>
      <c r="M21" s="110"/>
      <c r="N21" s="79"/>
      <c r="O21" s="79"/>
      <c r="P21" s="79"/>
      <c r="Q21" s="82"/>
      <c r="R21" s="5"/>
      <c r="S21" s="109"/>
      <c r="T21" s="75"/>
      <c r="U21" s="70"/>
      <c r="V21" s="15"/>
      <c r="W21" s="89"/>
      <c r="X21" s="15"/>
      <c r="Y21" s="15"/>
      <c r="Z21" s="66"/>
      <c r="AA21" s="15"/>
      <c r="AB21" s="109"/>
      <c r="AC21" s="75"/>
      <c r="AD21" s="75"/>
      <c r="AE21" s="75"/>
      <c r="AF21" s="70"/>
      <c r="AG21" s="5"/>
      <c r="AH21" s="5"/>
      <c r="AI21" s="87"/>
      <c r="AJ21" s="5"/>
    </row>
    <row r="22" spans="1:36" ht="18.5" x14ac:dyDescent="0.45">
      <c r="A22" s="5"/>
      <c r="B22" s="5"/>
      <c r="C22" s="86"/>
      <c r="D22" s="71" t="s">
        <v>65</v>
      </c>
      <c r="E22" s="70"/>
      <c r="F22" s="214" t="s">
        <v>182</v>
      </c>
      <c r="G22" s="5"/>
      <c r="H22" s="110"/>
      <c r="I22" s="70"/>
      <c r="J22" s="214"/>
      <c r="K22" s="5"/>
      <c r="L22" s="5"/>
      <c r="M22" s="110"/>
      <c r="N22" s="79"/>
      <c r="O22" s="79"/>
      <c r="P22" s="79"/>
      <c r="Q22" s="82"/>
      <c r="R22" s="5"/>
      <c r="S22" s="109"/>
      <c r="T22" s="75"/>
      <c r="U22" s="70"/>
      <c r="V22" s="15"/>
      <c r="W22" s="89"/>
      <c r="X22" s="15"/>
      <c r="Y22" s="15"/>
      <c r="Z22" s="66"/>
      <c r="AA22" s="15"/>
      <c r="AB22" s="109"/>
      <c r="AC22" s="75"/>
      <c r="AD22" s="75"/>
      <c r="AE22" s="75"/>
      <c r="AF22" s="70"/>
      <c r="AG22" s="5"/>
      <c r="AH22" s="5"/>
      <c r="AI22" s="87"/>
      <c r="AJ22" s="5"/>
    </row>
    <row r="23" spans="1:36" ht="18.5" x14ac:dyDescent="0.45">
      <c r="A23" s="5"/>
      <c r="B23" s="5"/>
      <c r="C23" s="86"/>
      <c r="D23" s="71" t="s">
        <v>66</v>
      </c>
      <c r="E23" s="70"/>
      <c r="F23" s="214" t="s">
        <v>182</v>
      </c>
      <c r="G23" s="5"/>
      <c r="H23" s="110"/>
      <c r="I23" s="82"/>
      <c r="J23" s="214"/>
      <c r="K23" s="5"/>
      <c r="L23" s="5"/>
      <c r="M23" s="110"/>
      <c r="N23" s="79"/>
      <c r="O23" s="79"/>
      <c r="P23" s="79"/>
      <c r="Q23" s="82"/>
      <c r="R23" s="5"/>
      <c r="S23" s="109"/>
      <c r="T23" s="75"/>
      <c r="U23" s="70"/>
      <c r="V23" s="15"/>
      <c r="W23" s="89"/>
      <c r="X23" s="15"/>
      <c r="Y23" s="15"/>
      <c r="Z23" s="66"/>
      <c r="AA23" s="15"/>
      <c r="AB23" s="109"/>
      <c r="AC23" s="75"/>
      <c r="AD23" s="75"/>
      <c r="AE23" s="75"/>
      <c r="AF23" s="70"/>
      <c r="AG23" s="5"/>
      <c r="AH23" s="5"/>
      <c r="AI23" s="87"/>
      <c r="AJ23" s="5"/>
    </row>
    <row r="24" spans="1:36" ht="18.5" x14ac:dyDescent="0.45">
      <c r="A24" s="5"/>
      <c r="B24" s="5"/>
      <c r="C24" s="93"/>
      <c r="D24" s="132" t="s">
        <v>86</v>
      </c>
      <c r="E24" s="92"/>
      <c r="F24" s="214" t="s">
        <v>182</v>
      </c>
      <c r="G24" s="11"/>
      <c r="H24" s="110"/>
      <c r="I24" s="82"/>
      <c r="J24" s="176"/>
      <c r="K24" s="11"/>
      <c r="L24" s="11"/>
      <c r="M24" s="110"/>
      <c r="N24" s="79"/>
      <c r="O24" s="79"/>
      <c r="P24" s="79"/>
      <c r="Q24" s="82"/>
      <c r="R24" s="5"/>
      <c r="S24" s="109"/>
      <c r="T24" s="75"/>
      <c r="U24" s="70"/>
      <c r="V24" s="15"/>
      <c r="W24" s="89"/>
      <c r="X24" s="15"/>
      <c r="Y24" s="15"/>
      <c r="Z24" s="66"/>
      <c r="AA24" s="15"/>
      <c r="AB24" s="109"/>
      <c r="AC24" s="75"/>
      <c r="AD24" s="75"/>
      <c r="AE24" s="75"/>
      <c r="AF24" s="70"/>
      <c r="AG24" s="5"/>
      <c r="AH24" s="5"/>
      <c r="AI24" s="87"/>
      <c r="AJ24" s="5"/>
    </row>
    <row r="25" spans="1:36" ht="18.5" x14ac:dyDescent="0.45">
      <c r="A25" s="5"/>
      <c r="B25" s="5"/>
      <c r="C25" s="93"/>
      <c r="D25" s="132" t="s">
        <v>87</v>
      </c>
      <c r="E25" s="92"/>
      <c r="F25" s="214" t="s">
        <v>182</v>
      </c>
      <c r="G25" s="11"/>
      <c r="H25" s="110"/>
      <c r="I25" s="82"/>
      <c r="J25" s="176"/>
      <c r="K25" s="11"/>
      <c r="L25" s="11"/>
      <c r="M25" s="110"/>
      <c r="N25" s="79"/>
      <c r="O25" s="79"/>
      <c r="P25" s="79"/>
      <c r="Q25" s="82"/>
      <c r="R25" s="5"/>
      <c r="S25" s="119"/>
      <c r="T25" s="120"/>
      <c r="U25" s="121"/>
      <c r="V25" s="5"/>
      <c r="W25" s="119"/>
      <c r="X25" s="120"/>
      <c r="Y25" s="120"/>
      <c r="Z25" s="121"/>
      <c r="AA25" s="5"/>
      <c r="AB25" s="119"/>
      <c r="AC25" s="120"/>
      <c r="AD25" s="120"/>
      <c r="AE25" s="120"/>
      <c r="AF25" s="121"/>
      <c r="AG25" s="5"/>
      <c r="AH25" s="5"/>
      <c r="AI25" s="87"/>
      <c r="AJ25" s="5"/>
    </row>
    <row r="26" spans="1:36" ht="19" thickBot="1" x14ac:dyDescent="0.5">
      <c r="A26" s="5"/>
      <c r="B26" s="5"/>
      <c r="C26" s="93"/>
      <c r="D26" s="133" t="s">
        <v>88</v>
      </c>
      <c r="E26" s="65"/>
      <c r="F26" s="215" t="s">
        <v>182</v>
      </c>
      <c r="G26" s="5"/>
      <c r="H26" s="110"/>
      <c r="I26" s="82"/>
      <c r="J26" s="214"/>
      <c r="K26" s="5"/>
      <c r="L26" s="5"/>
      <c r="M26" s="110"/>
      <c r="N26" s="79"/>
      <c r="O26" s="79"/>
      <c r="P26" s="79"/>
      <c r="Q26" s="82"/>
      <c r="R26" s="5"/>
      <c r="S26" s="119"/>
      <c r="T26" s="120"/>
      <c r="U26" s="121"/>
      <c r="V26" s="5"/>
      <c r="W26" s="119"/>
      <c r="X26" s="120"/>
      <c r="Y26" s="120"/>
      <c r="Z26" s="121"/>
      <c r="AA26" s="5"/>
      <c r="AB26" s="119"/>
      <c r="AC26" s="120"/>
      <c r="AD26" s="120"/>
      <c r="AE26" s="120"/>
      <c r="AF26" s="121"/>
      <c r="AG26" s="5"/>
      <c r="AH26" s="5"/>
      <c r="AI26" s="87"/>
      <c r="AJ26" s="5"/>
    </row>
    <row r="27" spans="1:36" ht="19" thickBot="1" x14ac:dyDescent="0.5">
      <c r="A27" s="5"/>
      <c r="B27" s="5"/>
      <c r="C27" s="93"/>
      <c r="D27" s="229" t="s">
        <v>221</v>
      </c>
      <c r="E27" s="230">
        <f>Systemblatt!C11</f>
        <v>8000</v>
      </c>
      <c r="F27" s="231" t="s">
        <v>184</v>
      </c>
      <c r="G27" s="5"/>
      <c r="H27" s="111"/>
      <c r="I27" s="72"/>
      <c r="J27" s="215"/>
      <c r="K27" s="5"/>
      <c r="L27" s="5"/>
      <c r="M27" s="111"/>
      <c r="N27" s="80"/>
      <c r="O27" s="80"/>
      <c r="P27" s="80"/>
      <c r="Q27" s="81"/>
      <c r="R27" s="5"/>
      <c r="S27" s="122"/>
      <c r="T27" s="123"/>
      <c r="U27" s="124"/>
      <c r="V27" s="5"/>
      <c r="W27" s="122"/>
      <c r="X27" s="123"/>
      <c r="Y27" s="123"/>
      <c r="Z27" s="124"/>
      <c r="AA27" s="5"/>
      <c r="AB27" s="122"/>
      <c r="AC27" s="123"/>
      <c r="AD27" s="123"/>
      <c r="AE27" s="123"/>
      <c r="AF27" s="124"/>
      <c r="AG27" s="5"/>
      <c r="AH27" s="5"/>
      <c r="AI27" s="87"/>
      <c r="AJ27" s="5"/>
    </row>
    <row r="28" spans="1:36" x14ac:dyDescent="0.35">
      <c r="A28" s="5"/>
      <c r="B28" s="5"/>
      <c r="C28" s="93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7"/>
      <c r="AJ28" s="5"/>
    </row>
    <row r="29" spans="1:36" x14ac:dyDescent="0.35">
      <c r="A29" s="5"/>
      <c r="B29" s="5"/>
      <c r="C29" s="93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7"/>
      <c r="AJ29" s="5"/>
    </row>
    <row r="30" spans="1:36" x14ac:dyDescent="0.35">
      <c r="A30" s="5"/>
      <c r="B30" s="5"/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7"/>
      <c r="AJ30" s="5"/>
    </row>
    <row r="31" spans="1:36" x14ac:dyDescent="0.35">
      <c r="A31" s="5"/>
      <c r="B31" s="5"/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7"/>
      <c r="AJ31" s="5"/>
    </row>
    <row r="32" spans="1:36" x14ac:dyDescent="0.35">
      <c r="A32" s="5"/>
      <c r="B32" s="5"/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7"/>
      <c r="AJ32" s="5"/>
    </row>
    <row r="33" spans="1:36" x14ac:dyDescent="0.35">
      <c r="A33" s="5"/>
      <c r="B33" s="5"/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7"/>
      <c r="AJ33" s="5"/>
    </row>
    <row r="34" spans="1:36" x14ac:dyDescent="0.35">
      <c r="A34" s="5"/>
      <c r="B34" s="5"/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7"/>
      <c r="AJ34" s="5"/>
    </row>
    <row r="35" spans="1:36" x14ac:dyDescent="0.35">
      <c r="A35" s="5"/>
      <c r="B35" s="5"/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7"/>
      <c r="AJ35" s="5"/>
    </row>
    <row r="36" spans="1:36" x14ac:dyDescent="0.35">
      <c r="A36" s="5"/>
      <c r="B36" s="5"/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7"/>
      <c r="AJ36" s="5"/>
    </row>
    <row r="37" spans="1:36" x14ac:dyDescent="0.35">
      <c r="A37" s="5"/>
      <c r="B37" s="5"/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7"/>
      <c r="AJ37" s="5"/>
    </row>
    <row r="38" spans="1:36" x14ac:dyDescent="0.35">
      <c r="A38" s="5"/>
      <c r="B38" s="5"/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7"/>
      <c r="AJ38" s="5"/>
    </row>
    <row r="39" spans="1:36" x14ac:dyDescent="0.35">
      <c r="A39" s="5"/>
      <c r="B39" s="5"/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7"/>
      <c r="AJ39" s="5"/>
    </row>
    <row r="40" spans="1:36" x14ac:dyDescent="0.35">
      <c r="A40" s="5"/>
      <c r="B40" s="5"/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7"/>
      <c r="AJ40" s="5"/>
    </row>
    <row r="41" spans="1:36" x14ac:dyDescent="0.35">
      <c r="A41" s="5"/>
      <c r="B41" s="5"/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7"/>
      <c r="AJ41" s="5"/>
    </row>
    <row r="42" spans="1:36" x14ac:dyDescent="0.35">
      <c r="A42" s="5"/>
      <c r="B42" s="5"/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7"/>
      <c r="AJ42" s="5"/>
    </row>
    <row r="43" spans="1:36" x14ac:dyDescent="0.35">
      <c r="A43" s="5"/>
      <c r="B43" s="5"/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7"/>
      <c r="AJ43" s="5"/>
    </row>
    <row r="44" spans="1:36" x14ac:dyDescent="0.35">
      <c r="A44" s="5"/>
      <c r="B44" s="5"/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7"/>
      <c r="AJ44" s="5"/>
    </row>
    <row r="45" spans="1:36" x14ac:dyDescent="0.35">
      <c r="A45" s="5"/>
      <c r="B45" s="5"/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7"/>
      <c r="AJ45" s="5"/>
    </row>
    <row r="46" spans="1:36" x14ac:dyDescent="0.35">
      <c r="A46" s="5"/>
      <c r="B46" s="5"/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7"/>
      <c r="AJ46" s="5"/>
    </row>
    <row r="47" spans="1:36" ht="18.5" x14ac:dyDescent="0.35">
      <c r="A47" s="5"/>
      <c r="B47" s="5"/>
      <c r="C47" s="86"/>
      <c r="D47" s="342"/>
      <c r="E47" s="342"/>
      <c r="F47" s="342"/>
      <c r="G47" s="342"/>
      <c r="H47" s="342"/>
      <c r="I47" s="342"/>
      <c r="J47" s="342"/>
      <c r="K47" s="342"/>
      <c r="L47" s="342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7"/>
      <c r="AJ47" s="5"/>
    </row>
    <row r="48" spans="1:36" ht="15.5" x14ac:dyDescent="0.35">
      <c r="A48" s="5"/>
      <c r="B48" s="5"/>
      <c r="C48" s="86"/>
      <c r="D48" s="97"/>
      <c r="E48" s="97"/>
      <c r="F48" s="97"/>
      <c r="G48" s="97"/>
      <c r="H48" s="97"/>
      <c r="I48" s="97"/>
      <c r="J48" s="97"/>
      <c r="K48" s="97"/>
      <c r="L48" s="97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7"/>
      <c r="AJ48" s="5"/>
    </row>
    <row r="49" spans="1:36" ht="15.5" x14ac:dyDescent="0.35">
      <c r="A49" s="5"/>
      <c r="B49" s="5"/>
      <c r="C49" s="86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7"/>
      <c r="AJ49" s="5"/>
    </row>
    <row r="50" spans="1:36" ht="15.5" x14ac:dyDescent="0.35">
      <c r="A50" s="5"/>
      <c r="B50" s="5"/>
      <c r="C50" s="86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7"/>
      <c r="AJ50" s="5"/>
    </row>
    <row r="51" spans="1:36" ht="15.5" x14ac:dyDescent="0.35">
      <c r="A51" s="5"/>
      <c r="B51" s="5"/>
      <c r="C51" s="86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7"/>
      <c r="AJ51" s="5"/>
    </row>
    <row r="52" spans="1:36" ht="15.5" x14ac:dyDescent="0.35">
      <c r="A52" s="5"/>
      <c r="B52" s="5"/>
      <c r="C52" s="86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7"/>
      <c r="AJ52" s="5"/>
    </row>
    <row r="53" spans="1:36" ht="15.5" x14ac:dyDescent="0.35">
      <c r="A53" s="5"/>
      <c r="B53" s="5"/>
      <c r="C53" s="86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7"/>
      <c r="AJ53" s="5"/>
    </row>
    <row r="54" spans="1:36" ht="15.5" x14ac:dyDescent="0.35">
      <c r="A54" s="5"/>
      <c r="B54" s="5"/>
      <c r="C54" s="86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7"/>
      <c r="AJ54" s="5"/>
    </row>
    <row r="55" spans="1:36" x14ac:dyDescent="0.35">
      <c r="A55" s="5"/>
      <c r="B55" s="5"/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7"/>
      <c r="AJ55" s="5"/>
    </row>
    <row r="56" spans="1:36" x14ac:dyDescent="0.35">
      <c r="A56" s="5"/>
      <c r="B56" s="5"/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7"/>
      <c r="AJ56" s="5"/>
    </row>
    <row r="57" spans="1:36" x14ac:dyDescent="0.35">
      <c r="A57" s="5"/>
      <c r="B57" s="5"/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7"/>
      <c r="AJ57" s="5"/>
    </row>
    <row r="58" spans="1:36" x14ac:dyDescent="0.35">
      <c r="A58" s="5"/>
      <c r="B58" s="5"/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7"/>
      <c r="AJ58" s="5"/>
    </row>
    <row r="59" spans="1:36" x14ac:dyDescent="0.35">
      <c r="A59" s="5"/>
      <c r="B59" s="5"/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7"/>
      <c r="AJ59" s="5"/>
    </row>
    <row r="60" spans="1:36" x14ac:dyDescent="0.35">
      <c r="A60" s="5"/>
      <c r="B60" s="5"/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7"/>
      <c r="AJ60" s="5"/>
    </row>
    <row r="61" spans="1:36" x14ac:dyDescent="0.35">
      <c r="A61" s="5"/>
      <c r="B61" s="5"/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7"/>
      <c r="AJ61" s="5"/>
    </row>
    <row r="62" spans="1:36" x14ac:dyDescent="0.35">
      <c r="A62" s="5"/>
      <c r="B62" s="5"/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7"/>
      <c r="AJ62" s="5"/>
    </row>
    <row r="63" spans="1:36" x14ac:dyDescent="0.35">
      <c r="A63" s="5"/>
      <c r="B63" s="5"/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7"/>
      <c r="AJ63" s="5"/>
    </row>
    <row r="64" spans="1:36" x14ac:dyDescent="0.35">
      <c r="A64" s="5"/>
      <c r="B64" s="5"/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7"/>
      <c r="AJ64" s="5"/>
    </row>
    <row r="65" spans="1:36" x14ac:dyDescent="0.35">
      <c r="A65" s="5"/>
      <c r="B65" s="5"/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7"/>
      <c r="AJ65" s="5"/>
    </row>
    <row r="66" spans="1:36" x14ac:dyDescent="0.35">
      <c r="A66" s="5"/>
      <c r="B66" s="5"/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7"/>
      <c r="AJ66" s="5"/>
    </row>
    <row r="67" spans="1:36" x14ac:dyDescent="0.35">
      <c r="A67" s="5"/>
      <c r="B67" s="5"/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7"/>
      <c r="AJ67" s="5"/>
    </row>
    <row r="68" spans="1:36" x14ac:dyDescent="0.35">
      <c r="A68" s="5"/>
      <c r="B68" s="5"/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7"/>
      <c r="AJ68" s="5"/>
    </row>
    <row r="69" spans="1:36" ht="15" thickBot="1" x14ac:dyDescent="0.4">
      <c r="A69" s="5"/>
      <c r="B69" s="5"/>
      <c r="C69" s="78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8"/>
      <c r="AE69" s="88"/>
      <c r="AF69" s="88"/>
      <c r="AG69" s="88"/>
      <c r="AH69" s="88"/>
      <c r="AI69" s="65"/>
      <c r="AJ69" s="5"/>
    </row>
    <row r="70" spans="1:36" x14ac:dyDescent="0.35">
      <c r="A70" s="5"/>
      <c r="B70" s="5"/>
      <c r="C70" s="91"/>
      <c r="D70" s="91"/>
      <c r="E70" s="91"/>
      <c r="F70" s="91"/>
      <c r="G70" s="91"/>
      <c r="H70" s="91"/>
      <c r="I70" s="91"/>
      <c r="J70" s="91"/>
      <c r="K70" s="91"/>
      <c r="L70" s="91"/>
      <c r="M70" s="91"/>
      <c r="N70" s="91"/>
      <c r="O70" s="91"/>
      <c r="P70" s="91"/>
      <c r="Q70" s="91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23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993C461-662B-457B-BBEB-4F7F2C0AC331}">
          <x14:formula1>
            <xm:f>DataBank!$A$3:$A$11</xm:f>
          </x14:formula1>
          <xm:sqref>N11</xm:sqref>
        </x14:dataValidation>
        <x14:dataValidation type="list" allowBlank="1" showInputMessage="1" showErrorMessage="1" xr:uid="{6AB370E7-531E-403D-BF99-D4A997FC01FF}">
          <x14:formula1>
            <xm:f>Sources!$E$6:$O$6</xm:f>
          </x14:formula1>
          <xm:sqref>N13:Q13</xm:sqref>
        </x14:dataValidation>
        <x14:dataValidation type="list" allowBlank="1" showInputMessage="1" showErrorMessage="1" xr:uid="{81BDBB31-B7D1-4FD1-AA14-018B06BEE4C6}">
          <x14:formula1>
            <xm:f>DataBank!$B$2:$B$3</xm:f>
          </x14:formula1>
          <xm:sqref>J15</xm:sqref>
        </x14:dataValidation>
        <x14:dataValidation type="list" allowBlank="1" showInputMessage="1" showErrorMessage="1" xr:uid="{5505360F-50B2-433C-BF30-2D43A8A8021A}">
          <x14:formula1>
            <xm:f>Systemblatt!$E$5:$E$38</xm:f>
          </x14:formula1>
          <xm:sqref>N14:Q27 AE10:AE27 AC10:AC27 T10:T27 N12:Q12 I16:I27</xm:sqref>
        </x14:dataValidation>
        <x14:dataValidation type="list" allowBlank="1" showInputMessage="1" showErrorMessage="1" xr:uid="{AE1C6B0F-EA68-4B48-AC09-1EC7A84F3F8B}">
          <x14:formula1>
            <xm:f>Sources!$E$7:$O$7</xm:f>
          </x14:formula1>
          <xm:sqref>W10:W27</xm:sqref>
        </x14:dataValidation>
        <x14:dataValidation type="list" allowBlank="1" showInputMessage="1" showErrorMessage="1" xr:uid="{146B989D-BDEA-4816-9831-FFCF13DB6F9A}">
          <x14:formula1>
            <xm:f>DataBank!$K$17:$K$18</xm:f>
          </x14:formula1>
          <xm:sqref>E26</xm:sqref>
        </x14:dataValidation>
        <x14:dataValidation type="list" allowBlank="1" showInputMessage="1" showErrorMessage="1" xr:uid="{FFA8C1EF-499E-4F72-B8B2-087B1A1C9D2D}">
          <x14:formula1>
            <xm:f>DataBank!$A$3:$A$10</xm:f>
          </x14:formula1>
          <xm:sqref>O11:Q11</xm:sqref>
        </x14:dataValidation>
        <x14:dataValidation type="list" allowBlank="1" showInputMessage="1" showErrorMessage="1" xr:uid="{8F21C7A8-21DA-40F7-8611-F74C6C135CC6}">
          <x14:formula1>
            <xm:f>DataBank!$C$2:$C$7</xm:f>
          </x14:formula1>
          <xm:sqref>I15</xm:sqref>
        </x14:dataValidation>
        <x14:dataValidation type="list" allowBlank="1" showInputMessage="1" showErrorMessage="1" xr:uid="{38276A7B-6382-48C6-9E88-16574325911D}">
          <x14:formula1>
            <xm:f>Systemblatt!$E$5:$E$11</xm:f>
          </x14:formula1>
          <xm:sqref>K16:K17</xm:sqref>
        </x14:dataValidation>
        <x14:dataValidation type="list" allowBlank="1" showInputMessage="1" showErrorMessage="1" xr:uid="{49E6F580-1435-41E2-96DC-CEFB695A891C}">
          <x14:formula1>
            <xm:f>DataBank!$A$3:$A$4</xm:f>
          </x14:formula1>
          <xm:sqref>AB10 AD10</xm:sqref>
        </x14:dataValidation>
        <x14:dataValidation type="list" allowBlank="1" showInputMessage="1" showErrorMessage="1" xr:uid="{756CE829-090F-433D-AB77-8329025992B0}">
          <x14:formula1>
            <xm:f>DataBank!$A$3:$A$5</xm:f>
          </x14:formula1>
          <xm:sqref>K15</xm:sqref>
        </x14:dataValidation>
        <x14:dataValidation type="whole" allowBlank="1" showInputMessage="1" showErrorMessage="1" xr:uid="{4310EE87-777F-4A59-A368-998D4B411851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43492-F349-4B97-A5B8-540D6E5F6EAA}">
  <sheetPr codeName="Tabelle39"/>
  <dimension ref="A1:AJ144"/>
  <sheetViews>
    <sheetView topLeftCell="A7" zoomScale="75" zoomScaleNormal="47" workbookViewId="0">
      <selection activeCell="R41" sqref="R41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7.269531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6"/>
      <c r="AJ2" s="5"/>
    </row>
    <row r="3" spans="1:36" x14ac:dyDescent="0.35">
      <c r="A3" s="5"/>
      <c r="B3" s="5"/>
      <c r="C3" s="86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7"/>
      <c r="AJ3" s="5"/>
    </row>
    <row r="4" spans="1:36" x14ac:dyDescent="0.35">
      <c r="A4" s="5"/>
      <c r="B4" s="5"/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7"/>
      <c r="AJ4" s="5"/>
    </row>
    <row r="5" spans="1:36" x14ac:dyDescent="0.35">
      <c r="A5" s="5"/>
      <c r="B5" s="5"/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7"/>
      <c r="AJ5" s="5"/>
    </row>
    <row r="6" spans="1:36" x14ac:dyDescent="0.35">
      <c r="A6" s="5"/>
      <c r="B6" s="5"/>
      <c r="C6" s="86"/>
      <c r="D6" s="343"/>
      <c r="E6" s="343"/>
      <c r="F6" s="5"/>
      <c r="G6" s="5"/>
      <c r="H6" s="343"/>
      <c r="I6" s="343"/>
      <c r="J6" s="15"/>
      <c r="K6" s="15"/>
      <c r="L6" s="5"/>
      <c r="M6" s="343"/>
      <c r="N6" s="343"/>
      <c r="O6" s="343"/>
      <c r="P6" s="343"/>
      <c r="Q6" s="5"/>
      <c r="R6" s="5"/>
      <c r="S6" s="350"/>
      <c r="T6" s="350"/>
      <c r="U6" s="350"/>
      <c r="V6" s="350"/>
      <c r="W6" s="350"/>
      <c r="X6" s="350"/>
      <c r="Y6" s="350"/>
      <c r="Z6" s="350"/>
      <c r="AA6" s="350"/>
      <c r="AB6" s="350"/>
      <c r="AC6" s="350"/>
      <c r="AD6" s="350"/>
      <c r="AE6" s="350"/>
      <c r="AF6" s="350"/>
      <c r="AG6" s="5"/>
      <c r="AH6" s="5"/>
      <c r="AI6" s="87"/>
      <c r="AJ6" s="5"/>
    </row>
    <row r="7" spans="1:36" ht="15" thickBot="1" x14ac:dyDescent="0.4">
      <c r="A7" s="5"/>
      <c r="B7" s="5"/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7"/>
      <c r="AJ7" s="5"/>
    </row>
    <row r="8" spans="1:36" ht="24" thickBot="1" x14ac:dyDescent="0.6">
      <c r="A8" s="5"/>
      <c r="B8" s="5"/>
      <c r="C8" s="86"/>
      <c r="D8" s="344" t="s">
        <v>52</v>
      </c>
      <c r="E8" s="345"/>
      <c r="F8" s="346"/>
      <c r="G8" s="5"/>
      <c r="H8" s="347" t="s">
        <v>53</v>
      </c>
      <c r="I8" s="348"/>
      <c r="J8" s="349"/>
      <c r="K8" s="16"/>
      <c r="L8" s="5"/>
      <c r="M8" s="357" t="s">
        <v>72</v>
      </c>
      <c r="N8" s="358"/>
      <c r="O8" s="358"/>
      <c r="P8" s="358"/>
      <c r="Q8" s="359"/>
      <c r="R8" s="5"/>
      <c r="S8" s="351" t="s">
        <v>78</v>
      </c>
      <c r="T8" s="352"/>
      <c r="U8" s="353"/>
      <c r="V8" s="12"/>
      <c r="W8" s="354" t="s">
        <v>108</v>
      </c>
      <c r="X8" s="355"/>
      <c r="Y8" s="355"/>
      <c r="Z8" s="356"/>
      <c r="AA8" s="11"/>
      <c r="AB8" s="354" t="s">
        <v>85</v>
      </c>
      <c r="AC8" s="355"/>
      <c r="AD8" s="355"/>
      <c r="AE8" s="355"/>
      <c r="AF8" s="356"/>
      <c r="AG8" s="5"/>
      <c r="AH8" s="5"/>
      <c r="AI8" s="87"/>
      <c r="AJ8" s="5"/>
    </row>
    <row r="9" spans="1:36" ht="21.5" thickBot="1" x14ac:dyDescent="0.55000000000000004">
      <c r="A9" s="5"/>
      <c r="B9" s="5"/>
      <c r="C9" s="86"/>
      <c r="D9" s="73" t="s">
        <v>32</v>
      </c>
      <c r="E9" s="213" t="s">
        <v>0</v>
      </c>
      <c r="F9" s="216" t="s">
        <v>181</v>
      </c>
      <c r="G9" s="5"/>
      <c r="H9" s="74" t="s">
        <v>32</v>
      </c>
      <c r="I9" s="74" t="s">
        <v>54</v>
      </c>
      <c r="J9" s="74" t="s">
        <v>181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/>
      <c r="S9" s="85" t="s">
        <v>79</v>
      </c>
      <c r="T9" s="85" t="s">
        <v>35</v>
      </c>
      <c r="U9" s="85" t="s">
        <v>80</v>
      </c>
      <c r="V9" s="13"/>
      <c r="W9" s="85" t="s">
        <v>104</v>
      </c>
      <c r="X9" s="200" t="s">
        <v>162</v>
      </c>
      <c r="Y9" s="200" t="s">
        <v>163</v>
      </c>
      <c r="Z9" s="201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5"/>
      <c r="AH9" s="5"/>
      <c r="AI9" s="87"/>
      <c r="AJ9" s="5"/>
    </row>
    <row r="10" spans="1:36" ht="18.5" x14ac:dyDescent="0.45">
      <c r="A10" s="5"/>
      <c r="B10" s="5"/>
      <c r="C10" s="86"/>
      <c r="D10" s="67" t="s">
        <v>1</v>
      </c>
      <c r="E10" s="68" t="s">
        <v>216</v>
      </c>
      <c r="F10" s="214" t="s">
        <v>182</v>
      </c>
      <c r="G10" s="5"/>
      <c r="H10" s="67" t="s">
        <v>2</v>
      </c>
      <c r="I10" s="68"/>
      <c r="J10" s="217" t="s">
        <v>182</v>
      </c>
      <c r="K10" s="5"/>
      <c r="L10" s="5"/>
      <c r="M10" s="67" t="s">
        <v>75</v>
      </c>
      <c r="N10" s="251">
        <v>10</v>
      </c>
      <c r="O10" s="251"/>
      <c r="P10" s="180"/>
      <c r="Q10" s="181"/>
      <c r="R10" s="5"/>
      <c r="S10" s="103">
        <v>320</v>
      </c>
      <c r="T10" s="104" t="s">
        <v>173</v>
      </c>
      <c r="U10" s="105">
        <v>0.95</v>
      </c>
      <c r="V10" s="84"/>
      <c r="W10" s="138">
        <v>44</v>
      </c>
      <c r="X10" s="83">
        <v>320</v>
      </c>
      <c r="Y10" s="139"/>
      <c r="Z10" s="137"/>
      <c r="AA10" s="15"/>
      <c r="AB10" s="136" t="s">
        <v>12</v>
      </c>
      <c r="AC10" s="83" t="s">
        <v>176</v>
      </c>
      <c r="AD10" s="139" t="s">
        <v>12</v>
      </c>
      <c r="AE10" s="83" t="s">
        <v>234</v>
      </c>
      <c r="AF10" s="137">
        <v>10</v>
      </c>
      <c r="AG10" s="5"/>
      <c r="AH10" s="5"/>
      <c r="AI10" s="87"/>
      <c r="AJ10" s="5"/>
    </row>
    <row r="11" spans="1:36" ht="19" thickBot="1" x14ac:dyDescent="0.5">
      <c r="A11" s="5"/>
      <c r="B11" s="5"/>
      <c r="C11" s="86"/>
      <c r="D11" s="69" t="s">
        <v>3</v>
      </c>
      <c r="E11" s="70">
        <v>220</v>
      </c>
      <c r="F11" s="214" t="s">
        <v>182</v>
      </c>
      <c r="G11" s="5"/>
      <c r="H11" s="69" t="s">
        <v>67</v>
      </c>
      <c r="I11" s="105">
        <v>2</v>
      </c>
      <c r="J11" s="214" t="s">
        <v>191</v>
      </c>
      <c r="K11" s="5"/>
      <c r="L11" s="5"/>
      <c r="M11" s="76" t="s">
        <v>76</v>
      </c>
      <c r="N11" s="252" t="s">
        <v>12</v>
      </c>
      <c r="O11" s="252"/>
      <c r="P11" s="79"/>
      <c r="Q11" s="127"/>
      <c r="R11" s="5"/>
      <c r="S11" s="103">
        <v>320</v>
      </c>
      <c r="T11" s="104" t="s">
        <v>234</v>
      </c>
      <c r="U11" s="105">
        <v>1</v>
      </c>
      <c r="V11" s="84"/>
      <c r="W11" s="109"/>
      <c r="X11" s="75"/>
      <c r="Y11" s="106"/>
      <c r="Z11" s="108"/>
      <c r="AA11" s="15"/>
      <c r="AB11" s="107"/>
      <c r="AC11" s="75" t="s">
        <v>177</v>
      </c>
      <c r="AD11" s="106"/>
      <c r="AE11" s="75"/>
      <c r="AF11" s="108"/>
      <c r="AG11" s="5"/>
      <c r="AH11" s="5"/>
      <c r="AI11" s="87"/>
      <c r="AJ11" s="5"/>
    </row>
    <row r="12" spans="1:36" ht="18.5" x14ac:dyDescent="0.45">
      <c r="A12" s="5"/>
      <c r="B12" s="5"/>
      <c r="C12" s="86"/>
      <c r="D12" s="69" t="s">
        <v>42</v>
      </c>
      <c r="E12" s="202"/>
      <c r="F12" s="214" t="s">
        <v>182</v>
      </c>
      <c r="G12" s="5"/>
      <c r="H12" s="69" t="s">
        <v>68</v>
      </c>
      <c r="I12" s="105">
        <v>10</v>
      </c>
      <c r="J12" s="214" t="str">
        <f>J15</f>
        <v>t/h</v>
      </c>
      <c r="K12" s="5"/>
      <c r="L12" s="5"/>
      <c r="M12" s="248" t="s">
        <v>77</v>
      </c>
      <c r="N12" s="251" t="s">
        <v>175</v>
      </c>
      <c r="O12" s="251"/>
      <c r="P12" s="180"/>
      <c r="Q12" s="181"/>
      <c r="R12" s="5"/>
      <c r="S12" s="126"/>
      <c r="T12" s="125"/>
      <c r="U12" s="127"/>
      <c r="V12" s="84"/>
      <c r="W12" s="109"/>
      <c r="X12" s="75"/>
      <c r="Y12" s="44"/>
      <c r="Z12" s="30"/>
      <c r="AA12" s="42"/>
      <c r="AB12" s="51"/>
      <c r="AC12" s="75" t="s">
        <v>173</v>
      </c>
      <c r="AD12" s="44"/>
      <c r="AE12" s="75"/>
      <c r="AF12" s="108"/>
      <c r="AG12" s="5"/>
      <c r="AH12" s="5"/>
      <c r="AI12" s="87"/>
      <c r="AJ12" s="5"/>
    </row>
    <row r="13" spans="1:36" ht="18.5" x14ac:dyDescent="0.45">
      <c r="A13" s="5"/>
      <c r="B13" s="5"/>
      <c r="C13" s="86"/>
      <c r="D13" s="69" t="s">
        <v>56</v>
      </c>
      <c r="F13" s="214" t="s">
        <v>182</v>
      </c>
      <c r="G13" s="5"/>
      <c r="H13" s="69" t="s">
        <v>69</v>
      </c>
      <c r="I13" s="105">
        <v>0.1</v>
      </c>
      <c r="J13" s="214" t="s">
        <v>182</v>
      </c>
      <c r="K13" s="5"/>
      <c r="L13" s="5"/>
      <c r="M13" s="249"/>
      <c r="N13" s="253" t="s">
        <v>176</v>
      </c>
      <c r="O13" s="244"/>
      <c r="P13" s="75"/>
      <c r="Q13" s="70"/>
      <c r="R13" s="5"/>
      <c r="S13" s="119"/>
      <c r="T13" s="120"/>
      <c r="U13" s="121"/>
      <c r="V13" s="42"/>
      <c r="W13" s="109"/>
      <c r="X13" s="75"/>
      <c r="Y13" s="44"/>
      <c r="Z13" s="30"/>
      <c r="AA13" s="42"/>
      <c r="AB13" s="51"/>
      <c r="AC13" s="75" t="s">
        <v>175</v>
      </c>
      <c r="AD13" s="44"/>
      <c r="AE13" s="75"/>
      <c r="AF13" s="108"/>
      <c r="AG13" s="5"/>
      <c r="AH13" s="5"/>
      <c r="AI13" s="87"/>
      <c r="AJ13" s="5"/>
    </row>
    <row r="14" spans="1:36" ht="18.5" x14ac:dyDescent="0.45">
      <c r="A14" s="5"/>
      <c r="B14" s="5"/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>
        <v>2018</v>
      </c>
      <c r="J14" s="214" t="s">
        <v>194</v>
      </c>
      <c r="K14" s="5"/>
      <c r="L14" s="5"/>
      <c r="M14" s="250"/>
      <c r="N14" s="253" t="s">
        <v>177</v>
      </c>
      <c r="O14" s="245"/>
      <c r="P14" s="79"/>
      <c r="Q14" s="82"/>
      <c r="R14" s="5"/>
      <c r="S14" s="51"/>
      <c r="T14" s="75"/>
      <c r="U14" s="30"/>
      <c r="V14" s="42"/>
      <c r="W14" s="109"/>
      <c r="X14" s="75"/>
      <c r="Y14" s="44"/>
      <c r="Z14" s="30"/>
      <c r="AA14" s="42"/>
      <c r="AB14" s="51"/>
      <c r="AC14" s="75"/>
      <c r="AD14" s="44"/>
      <c r="AE14" s="75"/>
      <c r="AF14" s="108"/>
      <c r="AG14" s="5"/>
      <c r="AH14" s="5"/>
      <c r="AI14" s="87"/>
      <c r="AJ14" s="5"/>
    </row>
    <row r="15" spans="1:36" ht="19" thickBot="1" x14ac:dyDescent="0.5">
      <c r="A15" s="5"/>
      <c r="B15" s="5"/>
      <c r="C15" s="86"/>
      <c r="D15" s="69" t="s">
        <v>58</v>
      </c>
      <c r="E15" s="70">
        <v>2.6</v>
      </c>
      <c r="F15" s="214" t="s">
        <v>182</v>
      </c>
      <c r="G15" s="5"/>
      <c r="H15" s="218" t="s">
        <v>71</v>
      </c>
      <c r="I15" s="70" t="s">
        <v>12</v>
      </c>
      <c r="J15" s="214" t="s">
        <v>192</v>
      </c>
      <c r="K15" s="5"/>
      <c r="L15" s="5"/>
      <c r="M15" s="250"/>
      <c r="N15" s="244" t="s">
        <v>173</v>
      </c>
      <c r="O15" s="245"/>
      <c r="P15" s="79"/>
      <c r="Q15" s="82"/>
      <c r="R15" s="5"/>
      <c r="S15" s="51"/>
      <c r="T15" s="75"/>
      <c r="U15" s="30"/>
      <c r="V15" s="42"/>
      <c r="W15" s="89"/>
      <c r="X15" s="15"/>
      <c r="Y15" s="15"/>
      <c r="Z15" s="66"/>
      <c r="AA15" s="15"/>
      <c r="AB15" s="109"/>
      <c r="AC15" s="75"/>
      <c r="AD15" s="75"/>
      <c r="AE15" s="75"/>
      <c r="AF15" s="108"/>
      <c r="AG15" s="5"/>
      <c r="AH15" s="5"/>
      <c r="AI15" s="87"/>
      <c r="AJ15" s="5"/>
    </row>
    <row r="16" spans="1:36" ht="19" thickBot="1" x14ac:dyDescent="0.5">
      <c r="A16" s="5"/>
      <c r="B16" s="5"/>
      <c r="C16" s="86"/>
      <c r="D16" s="69" t="s">
        <v>59</v>
      </c>
      <c r="E16" s="70">
        <v>1.44</v>
      </c>
      <c r="F16" s="214" t="s">
        <v>182</v>
      </c>
      <c r="G16" s="5"/>
      <c r="H16" s="241" t="s">
        <v>55</v>
      </c>
      <c r="I16" s="68" t="s">
        <v>177</v>
      </c>
      <c r="J16" s="214" t="s">
        <v>182</v>
      </c>
      <c r="K16" s="5"/>
      <c r="L16" s="5"/>
      <c r="M16" s="250"/>
      <c r="N16" s="245"/>
      <c r="O16" s="245"/>
      <c r="P16" s="79"/>
      <c r="Q16" s="82"/>
      <c r="R16" s="5"/>
      <c r="S16" s="109"/>
      <c r="T16" s="75"/>
      <c r="U16" s="70"/>
      <c r="V16" s="15"/>
      <c r="W16" s="89"/>
      <c r="X16" s="15"/>
      <c r="Y16" s="15"/>
      <c r="Z16" s="66"/>
      <c r="AA16" s="15"/>
      <c r="AB16" s="109"/>
      <c r="AC16" s="75"/>
      <c r="AD16" s="75"/>
      <c r="AE16" s="75"/>
      <c r="AF16" s="70"/>
      <c r="AG16" s="5"/>
      <c r="AH16" s="5"/>
      <c r="AI16" s="87"/>
      <c r="AJ16" s="5"/>
    </row>
    <row r="17" spans="1:36" ht="18.5" x14ac:dyDescent="0.45">
      <c r="A17" s="5"/>
      <c r="B17" s="5"/>
      <c r="C17" s="86"/>
      <c r="D17" s="69" t="s">
        <v>60</v>
      </c>
      <c r="E17" s="70">
        <v>25</v>
      </c>
      <c r="F17" s="214" t="s">
        <v>186</v>
      </c>
      <c r="G17" s="5"/>
      <c r="H17" s="218"/>
      <c r="I17" s="70" t="s">
        <v>173</v>
      </c>
      <c r="J17" s="214" t="s">
        <v>182</v>
      </c>
      <c r="K17" s="5"/>
      <c r="L17" s="5"/>
      <c r="M17" s="250"/>
      <c r="N17" s="245"/>
      <c r="O17" s="245"/>
      <c r="P17" s="79"/>
      <c r="Q17" s="82"/>
      <c r="R17" s="5"/>
      <c r="S17" s="109"/>
      <c r="T17" s="75"/>
      <c r="U17" s="70"/>
      <c r="V17" s="15"/>
      <c r="W17" s="89"/>
      <c r="X17" s="15"/>
      <c r="Y17" s="15"/>
      <c r="Z17" s="66"/>
      <c r="AA17" s="15"/>
      <c r="AB17" s="109"/>
      <c r="AC17" s="75"/>
      <c r="AD17" s="75"/>
      <c r="AE17" s="75"/>
      <c r="AF17" s="70"/>
      <c r="AG17" s="5"/>
      <c r="AH17" s="5"/>
      <c r="AI17" s="87"/>
      <c r="AJ17" s="5"/>
    </row>
    <row r="18" spans="1:36" ht="18.5" x14ac:dyDescent="0.45">
      <c r="A18" s="5"/>
      <c r="B18" s="5"/>
      <c r="C18" s="86"/>
      <c r="D18" s="71" t="s">
        <v>61</v>
      </c>
      <c r="E18" s="70">
        <v>25</v>
      </c>
      <c r="F18" s="214" t="s">
        <v>186</v>
      </c>
      <c r="G18" s="5"/>
      <c r="H18" s="77"/>
      <c r="I18" s="70" t="s">
        <v>175</v>
      </c>
      <c r="J18" s="214"/>
      <c r="K18" s="5"/>
      <c r="L18" s="5"/>
      <c r="M18" s="250"/>
      <c r="N18" s="245"/>
      <c r="O18" s="245"/>
      <c r="P18" s="79"/>
      <c r="Q18" s="82"/>
      <c r="R18" s="5"/>
      <c r="S18" s="109"/>
      <c r="T18" s="75"/>
      <c r="U18" s="70"/>
      <c r="V18" s="15"/>
      <c r="W18" s="89"/>
      <c r="X18" s="15"/>
      <c r="Y18" s="15"/>
      <c r="Z18" s="66"/>
      <c r="AA18" s="15"/>
      <c r="AB18" s="109"/>
      <c r="AC18" s="75"/>
      <c r="AD18" s="75"/>
      <c r="AE18" s="75"/>
      <c r="AF18" s="70"/>
      <c r="AG18" s="5"/>
      <c r="AH18" s="5"/>
      <c r="AI18" s="87"/>
      <c r="AJ18" s="5"/>
    </row>
    <row r="19" spans="1:36" ht="18.5" x14ac:dyDescent="0.45">
      <c r="A19" s="5"/>
      <c r="B19" s="5"/>
      <c r="C19" s="86"/>
      <c r="D19" s="69" t="s">
        <v>62</v>
      </c>
      <c r="E19" s="70"/>
      <c r="F19" s="214" t="s">
        <v>186</v>
      </c>
      <c r="G19" s="5"/>
      <c r="H19" s="77"/>
      <c r="I19" s="70" t="s">
        <v>176</v>
      </c>
      <c r="J19" s="214"/>
      <c r="K19" s="5"/>
      <c r="L19" s="5"/>
      <c r="M19" s="250"/>
      <c r="N19" s="245"/>
      <c r="O19" s="245"/>
      <c r="P19" s="79"/>
      <c r="Q19" s="82"/>
      <c r="R19" s="5"/>
      <c r="S19" s="109"/>
      <c r="T19" s="75"/>
      <c r="U19" s="70"/>
      <c r="V19" s="15"/>
      <c r="W19" s="89"/>
      <c r="X19" s="15"/>
      <c r="Y19" s="15"/>
      <c r="Z19" s="66"/>
      <c r="AA19" s="15"/>
      <c r="AB19" s="109"/>
      <c r="AC19" s="75"/>
      <c r="AD19" s="75"/>
      <c r="AE19" s="75"/>
      <c r="AF19" s="70"/>
      <c r="AG19" s="5"/>
      <c r="AH19" s="5"/>
      <c r="AI19" s="87"/>
      <c r="AJ19" s="5"/>
    </row>
    <row r="20" spans="1:36" ht="18.5" x14ac:dyDescent="0.45">
      <c r="A20" s="5"/>
      <c r="B20" s="5"/>
      <c r="C20" s="86"/>
      <c r="D20" s="71" t="s">
        <v>63</v>
      </c>
      <c r="E20" s="70"/>
      <c r="F20" s="214" t="s">
        <v>186</v>
      </c>
      <c r="G20" s="5"/>
      <c r="H20" s="77"/>
      <c r="I20" s="70"/>
      <c r="J20" s="214"/>
      <c r="K20" s="5"/>
      <c r="L20" s="5"/>
      <c r="M20" s="245"/>
      <c r="N20" s="245"/>
      <c r="O20" s="245"/>
      <c r="P20" s="79"/>
      <c r="Q20" s="82"/>
      <c r="R20" s="5"/>
      <c r="S20" s="109"/>
      <c r="T20" s="75"/>
      <c r="U20" s="70"/>
      <c r="V20" s="15"/>
      <c r="W20" s="89"/>
      <c r="X20" s="15"/>
      <c r="Y20" s="15"/>
      <c r="Z20" s="66"/>
      <c r="AA20" s="15"/>
      <c r="AB20" s="109"/>
      <c r="AC20" s="75"/>
      <c r="AD20" s="75"/>
      <c r="AE20" s="75"/>
      <c r="AF20" s="70"/>
      <c r="AG20" s="5"/>
      <c r="AH20" s="5"/>
      <c r="AI20" s="87"/>
      <c r="AJ20" s="5"/>
    </row>
    <row r="21" spans="1:36" ht="18.5" x14ac:dyDescent="0.45">
      <c r="A21" s="5"/>
      <c r="B21" s="5"/>
      <c r="C21" s="86"/>
      <c r="D21" s="71" t="s">
        <v>64</v>
      </c>
      <c r="E21" s="143" t="s">
        <v>94</v>
      </c>
      <c r="F21" s="214" t="s">
        <v>182</v>
      </c>
      <c r="G21" s="5"/>
      <c r="H21" s="110"/>
      <c r="I21" s="70"/>
      <c r="J21" s="214"/>
      <c r="K21" s="5"/>
      <c r="L21" s="5"/>
      <c r="M21" s="245"/>
      <c r="N21" s="245"/>
      <c r="O21" s="245"/>
      <c r="P21" s="79"/>
      <c r="Q21" s="82"/>
      <c r="R21" s="5"/>
      <c r="S21" s="109"/>
      <c r="T21" s="75"/>
      <c r="U21" s="70"/>
      <c r="V21" s="15"/>
      <c r="W21" s="89"/>
      <c r="X21" s="15"/>
      <c r="Y21" s="15"/>
      <c r="Z21" s="66"/>
      <c r="AA21" s="15"/>
      <c r="AB21" s="109"/>
      <c r="AC21" s="75"/>
      <c r="AD21" s="75"/>
      <c r="AE21" s="75"/>
      <c r="AF21" s="70"/>
      <c r="AG21" s="5"/>
      <c r="AH21" s="5"/>
      <c r="AI21" s="87"/>
      <c r="AJ21" s="5"/>
    </row>
    <row r="22" spans="1:36" ht="18.5" x14ac:dyDescent="0.45">
      <c r="A22" s="5"/>
      <c r="B22" s="5"/>
      <c r="C22" s="86"/>
      <c r="D22" s="71" t="s">
        <v>65</v>
      </c>
      <c r="E22" s="70"/>
      <c r="F22" s="214" t="s">
        <v>182</v>
      </c>
      <c r="G22" s="5"/>
      <c r="H22" s="110"/>
      <c r="I22" s="70"/>
      <c r="J22" s="214"/>
      <c r="K22" s="5"/>
      <c r="L22" s="5"/>
      <c r="M22" s="245"/>
      <c r="N22" s="245"/>
      <c r="O22" s="245"/>
      <c r="P22" s="79"/>
      <c r="Q22" s="82"/>
      <c r="R22" s="5"/>
      <c r="S22" s="109"/>
      <c r="T22" s="75"/>
      <c r="U22" s="70"/>
      <c r="V22" s="15"/>
      <c r="W22" s="89"/>
      <c r="X22" s="15"/>
      <c r="Y22" s="15"/>
      <c r="Z22" s="66"/>
      <c r="AA22" s="15"/>
      <c r="AB22" s="109"/>
      <c r="AC22" s="75"/>
      <c r="AD22" s="75"/>
      <c r="AE22" s="75"/>
      <c r="AF22" s="70"/>
      <c r="AG22" s="5"/>
      <c r="AH22" s="5"/>
      <c r="AI22" s="87"/>
      <c r="AJ22" s="5"/>
    </row>
    <row r="23" spans="1:36" ht="18.5" x14ac:dyDescent="0.45">
      <c r="A23" s="5"/>
      <c r="B23" s="5"/>
      <c r="C23" s="86"/>
      <c r="D23" s="71" t="s">
        <v>66</v>
      </c>
      <c r="E23" s="70"/>
      <c r="F23" s="214" t="s">
        <v>182</v>
      </c>
      <c r="G23" s="5"/>
      <c r="H23" s="110"/>
      <c r="I23" s="82"/>
      <c r="J23" s="214"/>
      <c r="K23" s="5"/>
      <c r="L23" s="5"/>
      <c r="M23" s="245"/>
      <c r="N23" s="245"/>
      <c r="O23" s="245"/>
      <c r="P23" s="79"/>
      <c r="Q23" s="82"/>
      <c r="R23" s="5"/>
      <c r="S23" s="109"/>
      <c r="T23" s="75"/>
      <c r="U23" s="70"/>
      <c r="V23" s="15"/>
      <c r="W23" s="89"/>
      <c r="X23" s="15"/>
      <c r="Y23" s="15"/>
      <c r="Z23" s="66"/>
      <c r="AA23" s="15"/>
      <c r="AB23" s="109"/>
      <c r="AC23" s="75"/>
      <c r="AD23" s="75"/>
      <c r="AE23" s="75"/>
      <c r="AF23" s="70"/>
      <c r="AG23" s="5"/>
      <c r="AH23" s="5"/>
      <c r="AI23" s="87"/>
      <c r="AJ23" s="5"/>
    </row>
    <row r="24" spans="1:36" ht="18.5" x14ac:dyDescent="0.45">
      <c r="A24" s="5"/>
      <c r="B24" s="5"/>
      <c r="C24" s="93"/>
      <c r="D24" s="132" t="s">
        <v>86</v>
      </c>
      <c r="E24" s="92"/>
      <c r="F24" s="214" t="s">
        <v>182</v>
      </c>
      <c r="G24" s="11"/>
      <c r="H24" s="110"/>
      <c r="I24" s="82"/>
      <c r="J24" s="176"/>
      <c r="K24" s="11"/>
      <c r="L24" s="11"/>
      <c r="M24" s="245"/>
      <c r="N24" s="245"/>
      <c r="O24" s="245"/>
      <c r="P24" s="79"/>
      <c r="Q24" s="82"/>
      <c r="R24" s="5"/>
      <c r="S24" s="109"/>
      <c r="T24" s="75"/>
      <c r="U24" s="70"/>
      <c r="V24" s="15"/>
      <c r="W24" s="89"/>
      <c r="X24" s="15"/>
      <c r="Y24" s="15"/>
      <c r="Z24" s="66"/>
      <c r="AA24" s="15"/>
      <c r="AB24" s="109"/>
      <c r="AC24" s="75"/>
      <c r="AD24" s="75"/>
      <c r="AE24" s="75"/>
      <c r="AF24" s="70"/>
      <c r="AG24" s="5"/>
      <c r="AH24" s="5"/>
      <c r="AI24" s="87"/>
      <c r="AJ24" s="5"/>
    </row>
    <row r="25" spans="1:36" ht="18.5" x14ac:dyDescent="0.45">
      <c r="A25" s="5"/>
      <c r="B25" s="5"/>
      <c r="C25" s="93"/>
      <c r="D25" s="132" t="s">
        <v>87</v>
      </c>
      <c r="E25" s="92"/>
      <c r="F25" s="214" t="s">
        <v>182</v>
      </c>
      <c r="G25" s="11"/>
      <c r="H25" s="110"/>
      <c r="I25" s="82"/>
      <c r="J25" s="176"/>
      <c r="K25" s="11"/>
      <c r="L25" s="11"/>
      <c r="M25" s="245"/>
      <c r="N25" s="245"/>
      <c r="O25" s="245"/>
      <c r="P25" s="79"/>
      <c r="Q25" s="82"/>
      <c r="R25" s="5"/>
      <c r="S25" s="119"/>
      <c r="T25" s="120"/>
      <c r="U25" s="121"/>
      <c r="V25" s="5"/>
      <c r="W25" s="119"/>
      <c r="X25" s="120"/>
      <c r="Y25" s="120"/>
      <c r="Z25" s="121"/>
      <c r="AA25" s="5"/>
      <c r="AB25" s="119"/>
      <c r="AC25" s="120"/>
      <c r="AD25" s="120"/>
      <c r="AE25" s="120"/>
      <c r="AF25" s="121"/>
      <c r="AG25" s="5"/>
      <c r="AH25" s="5"/>
      <c r="AI25" s="87"/>
      <c r="AJ25" s="5"/>
    </row>
    <row r="26" spans="1:36" ht="19" thickBot="1" x14ac:dyDescent="0.5">
      <c r="A26" s="5"/>
      <c r="B26" s="5"/>
      <c r="C26" s="93"/>
      <c r="D26" s="133" t="s">
        <v>88</v>
      </c>
      <c r="E26" s="65"/>
      <c r="F26" s="215" t="s">
        <v>182</v>
      </c>
      <c r="G26" s="5"/>
      <c r="H26" s="110"/>
      <c r="I26" s="82"/>
      <c r="J26" s="214"/>
      <c r="K26" s="5"/>
      <c r="L26" s="5"/>
      <c r="M26" s="245"/>
      <c r="N26" s="245"/>
      <c r="O26" s="245"/>
      <c r="P26" s="79"/>
      <c r="Q26" s="82"/>
      <c r="R26" s="5"/>
      <c r="S26" s="119"/>
      <c r="T26" s="120"/>
      <c r="U26" s="121"/>
      <c r="V26" s="5"/>
      <c r="W26" s="119"/>
      <c r="X26" s="120"/>
      <c r="Y26" s="120"/>
      <c r="Z26" s="121"/>
      <c r="AA26" s="5"/>
      <c r="AB26" s="119"/>
      <c r="AC26" s="120"/>
      <c r="AD26" s="120"/>
      <c r="AE26" s="120"/>
      <c r="AF26" s="121"/>
      <c r="AG26" s="5"/>
      <c r="AH26" s="5"/>
      <c r="AI26" s="87"/>
      <c r="AJ26" s="5"/>
    </row>
    <row r="27" spans="1:36" ht="19" thickBot="1" x14ac:dyDescent="0.5">
      <c r="A27" s="5"/>
      <c r="B27" s="5"/>
      <c r="C27" s="93"/>
      <c r="D27" s="229" t="s">
        <v>221</v>
      </c>
      <c r="E27" s="230">
        <f>Systemblatt!C11</f>
        <v>8000</v>
      </c>
      <c r="F27" s="231" t="s">
        <v>184</v>
      </c>
      <c r="G27" s="5"/>
      <c r="H27" s="111"/>
      <c r="I27" s="72"/>
      <c r="J27" s="215"/>
      <c r="K27" s="5"/>
      <c r="L27" s="5"/>
      <c r="M27" s="246"/>
      <c r="N27" s="246"/>
      <c r="O27" s="246"/>
      <c r="P27" s="80"/>
      <c r="Q27" s="81"/>
      <c r="R27" s="5"/>
      <c r="S27" s="122"/>
      <c r="T27" s="123"/>
      <c r="U27" s="124"/>
      <c r="V27" s="5"/>
      <c r="W27" s="122"/>
      <c r="X27" s="123"/>
      <c r="Y27" s="123"/>
      <c r="Z27" s="124"/>
      <c r="AA27" s="5"/>
      <c r="AB27" s="122"/>
      <c r="AC27" s="123"/>
      <c r="AD27" s="123"/>
      <c r="AE27" s="123"/>
      <c r="AF27" s="124"/>
      <c r="AG27" s="5"/>
      <c r="AH27" s="5"/>
      <c r="AI27" s="87"/>
      <c r="AJ27" s="5"/>
    </row>
    <row r="28" spans="1:36" x14ac:dyDescent="0.35">
      <c r="A28" s="5"/>
      <c r="B28" s="5"/>
      <c r="C28" s="93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7"/>
      <c r="AJ28" s="5"/>
    </row>
    <row r="29" spans="1:36" x14ac:dyDescent="0.35">
      <c r="A29" s="5"/>
      <c r="B29" s="5"/>
      <c r="C29" s="93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7"/>
      <c r="AJ29" s="5"/>
    </row>
    <row r="30" spans="1:36" x14ac:dyDescent="0.35">
      <c r="A30" s="5"/>
      <c r="B30" s="5"/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7"/>
      <c r="AJ30" s="5"/>
    </row>
    <row r="31" spans="1:36" x14ac:dyDescent="0.35">
      <c r="A31" s="5"/>
      <c r="B31" s="5"/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7"/>
      <c r="AJ31" s="5"/>
    </row>
    <row r="32" spans="1:36" x14ac:dyDescent="0.35">
      <c r="A32" s="5"/>
      <c r="B32" s="5"/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7"/>
      <c r="AJ32" s="5"/>
    </row>
    <row r="33" spans="1:36" x14ac:dyDescent="0.35">
      <c r="A33" s="5"/>
      <c r="B33" s="5"/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7"/>
      <c r="AJ33" s="5"/>
    </row>
    <row r="34" spans="1:36" x14ac:dyDescent="0.35">
      <c r="A34" s="5"/>
      <c r="B34" s="5"/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7"/>
      <c r="AJ34" s="5"/>
    </row>
    <row r="35" spans="1:36" x14ac:dyDescent="0.35">
      <c r="A35" s="5"/>
      <c r="B35" s="5"/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7"/>
      <c r="AJ35" s="5"/>
    </row>
    <row r="36" spans="1:36" x14ac:dyDescent="0.35">
      <c r="A36" s="5"/>
      <c r="B36" s="5"/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7"/>
      <c r="AJ36" s="5"/>
    </row>
    <row r="37" spans="1:36" x14ac:dyDescent="0.35">
      <c r="A37" s="5"/>
      <c r="B37" s="5"/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7"/>
      <c r="AJ37" s="5"/>
    </row>
    <row r="38" spans="1:36" x14ac:dyDescent="0.35">
      <c r="A38" s="5"/>
      <c r="B38" s="5"/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7"/>
      <c r="AJ38" s="5"/>
    </row>
    <row r="39" spans="1:36" x14ac:dyDescent="0.35">
      <c r="A39" s="5"/>
      <c r="B39" s="5"/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7"/>
      <c r="AJ39" s="5"/>
    </row>
    <row r="40" spans="1:36" x14ac:dyDescent="0.35">
      <c r="A40" s="5"/>
      <c r="B40" s="5"/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7"/>
      <c r="AJ40" s="5"/>
    </row>
    <row r="41" spans="1:36" x14ac:dyDescent="0.35">
      <c r="A41" s="5"/>
      <c r="B41" s="5"/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7"/>
      <c r="AJ41" s="5"/>
    </row>
    <row r="42" spans="1:36" x14ac:dyDescent="0.35">
      <c r="A42" s="5"/>
      <c r="B42" s="5"/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7"/>
      <c r="AJ42" s="5"/>
    </row>
    <row r="43" spans="1:36" x14ac:dyDescent="0.35">
      <c r="A43" s="5"/>
      <c r="B43" s="5"/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7"/>
      <c r="AJ43" s="5"/>
    </row>
    <row r="44" spans="1:36" x14ac:dyDescent="0.35">
      <c r="A44" s="5"/>
      <c r="B44" s="5"/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7"/>
      <c r="AJ44" s="5"/>
    </row>
    <row r="45" spans="1:36" x14ac:dyDescent="0.35">
      <c r="A45" s="5"/>
      <c r="B45" s="5"/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7"/>
      <c r="AJ45" s="5"/>
    </row>
    <row r="46" spans="1:36" x14ac:dyDescent="0.35">
      <c r="A46" s="5"/>
      <c r="B46" s="5"/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7"/>
      <c r="AJ46" s="5"/>
    </row>
    <row r="47" spans="1:36" ht="18.5" x14ac:dyDescent="0.35">
      <c r="A47" s="5"/>
      <c r="B47" s="5"/>
      <c r="C47" s="86"/>
      <c r="D47" s="342"/>
      <c r="E47" s="342"/>
      <c r="F47" s="342"/>
      <c r="G47" s="342"/>
      <c r="H47" s="342"/>
      <c r="I47" s="342"/>
      <c r="J47" s="342"/>
      <c r="K47" s="342"/>
      <c r="L47" s="342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7"/>
      <c r="AJ47" s="5"/>
    </row>
    <row r="48" spans="1:36" ht="15.5" x14ac:dyDescent="0.35">
      <c r="A48" s="5"/>
      <c r="B48" s="5"/>
      <c r="C48" s="86"/>
      <c r="D48" s="97"/>
      <c r="E48" s="97"/>
      <c r="F48" s="97"/>
      <c r="G48" s="97"/>
      <c r="H48" s="97"/>
      <c r="I48" s="97"/>
      <c r="J48" s="97"/>
      <c r="K48" s="97"/>
      <c r="L48" s="97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7"/>
      <c r="AJ48" s="5"/>
    </row>
    <row r="49" spans="1:36" ht="15.5" x14ac:dyDescent="0.35">
      <c r="A49" s="5"/>
      <c r="B49" s="5"/>
      <c r="C49" s="86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7"/>
      <c r="AJ49" s="5"/>
    </row>
    <row r="50" spans="1:36" ht="15.5" x14ac:dyDescent="0.35">
      <c r="A50" s="5"/>
      <c r="B50" s="5"/>
      <c r="C50" s="86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7"/>
      <c r="AJ50" s="5"/>
    </row>
    <row r="51" spans="1:36" ht="15.5" x14ac:dyDescent="0.35">
      <c r="A51" s="5"/>
      <c r="B51" s="5"/>
      <c r="C51" s="86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7"/>
      <c r="AJ51" s="5"/>
    </row>
    <row r="52" spans="1:36" ht="15.5" x14ac:dyDescent="0.35">
      <c r="A52" s="5"/>
      <c r="B52" s="5"/>
      <c r="C52" s="86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7"/>
      <c r="AJ52" s="5"/>
    </row>
    <row r="53" spans="1:36" ht="15.5" x14ac:dyDescent="0.35">
      <c r="A53" s="5"/>
      <c r="B53" s="5"/>
      <c r="C53" s="86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7"/>
      <c r="AJ53" s="5"/>
    </row>
    <row r="54" spans="1:36" ht="15.5" x14ac:dyDescent="0.35">
      <c r="A54" s="5"/>
      <c r="B54" s="5"/>
      <c r="C54" s="86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7"/>
      <c r="AJ54" s="5"/>
    </row>
    <row r="55" spans="1:36" x14ac:dyDescent="0.35">
      <c r="A55" s="5"/>
      <c r="B55" s="5"/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7"/>
      <c r="AJ55" s="5"/>
    </row>
    <row r="56" spans="1:36" x14ac:dyDescent="0.35">
      <c r="A56" s="5"/>
      <c r="B56" s="5"/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7"/>
      <c r="AJ56" s="5"/>
    </row>
    <row r="57" spans="1:36" x14ac:dyDescent="0.35">
      <c r="A57" s="5"/>
      <c r="B57" s="5"/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7"/>
      <c r="AJ57" s="5"/>
    </row>
    <row r="58" spans="1:36" x14ac:dyDescent="0.35">
      <c r="A58" s="5"/>
      <c r="B58" s="5"/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7"/>
      <c r="AJ58" s="5"/>
    </row>
    <row r="59" spans="1:36" x14ac:dyDescent="0.35">
      <c r="A59" s="5"/>
      <c r="B59" s="5"/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7"/>
      <c r="AJ59" s="5"/>
    </row>
    <row r="60" spans="1:36" x14ac:dyDescent="0.35">
      <c r="A60" s="5"/>
      <c r="B60" s="5"/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7"/>
      <c r="AJ60" s="5"/>
    </row>
    <row r="61" spans="1:36" x14ac:dyDescent="0.35">
      <c r="A61" s="5"/>
      <c r="B61" s="5"/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7"/>
      <c r="AJ61" s="5"/>
    </row>
    <row r="62" spans="1:36" x14ac:dyDescent="0.35">
      <c r="A62" s="5"/>
      <c r="B62" s="5"/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7"/>
      <c r="AJ62" s="5"/>
    </row>
    <row r="63" spans="1:36" x14ac:dyDescent="0.35">
      <c r="A63" s="5"/>
      <c r="B63" s="5"/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7"/>
      <c r="AJ63" s="5"/>
    </row>
    <row r="64" spans="1:36" x14ac:dyDescent="0.35">
      <c r="A64" s="5"/>
      <c r="B64" s="5"/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7"/>
      <c r="AJ64" s="5"/>
    </row>
    <row r="65" spans="1:36" x14ac:dyDescent="0.35">
      <c r="A65" s="5"/>
      <c r="B65" s="5"/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7"/>
      <c r="AJ65" s="5"/>
    </row>
    <row r="66" spans="1:36" x14ac:dyDescent="0.35">
      <c r="A66" s="5"/>
      <c r="B66" s="5"/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7"/>
      <c r="AJ66" s="5"/>
    </row>
    <row r="67" spans="1:36" x14ac:dyDescent="0.35">
      <c r="A67" s="5"/>
      <c r="B67" s="5"/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7"/>
      <c r="AJ67" s="5"/>
    </row>
    <row r="68" spans="1:36" x14ac:dyDescent="0.35">
      <c r="A68" s="5"/>
      <c r="B68" s="5"/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7"/>
      <c r="AJ68" s="5"/>
    </row>
    <row r="69" spans="1:36" ht="15" thickBot="1" x14ac:dyDescent="0.4">
      <c r="A69" s="5"/>
      <c r="B69" s="5"/>
      <c r="C69" s="78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8"/>
      <c r="AE69" s="88"/>
      <c r="AF69" s="88"/>
      <c r="AG69" s="88"/>
      <c r="AH69" s="88"/>
      <c r="AI69" s="65"/>
      <c r="AJ69" s="5"/>
    </row>
    <row r="70" spans="1:36" x14ac:dyDescent="0.35">
      <c r="A70" s="5"/>
      <c r="B70" s="5"/>
      <c r="C70" s="91"/>
      <c r="D70" s="91"/>
      <c r="E70" s="91"/>
      <c r="F70" s="91"/>
      <c r="G70" s="91"/>
      <c r="H70" s="91"/>
      <c r="I70" s="91"/>
      <c r="J70" s="91"/>
      <c r="K70" s="91"/>
      <c r="L70" s="91"/>
      <c r="M70" s="91"/>
      <c r="N70" s="91"/>
      <c r="O70" s="91"/>
      <c r="P70" s="91"/>
      <c r="Q70" s="91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23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B762DFB-4CBA-4112-A27F-766B8D6FCD64}">
          <x14:formula1>
            <xm:f>DataBank!$A$3:$A$11</xm:f>
          </x14:formula1>
          <xm:sqref>N11</xm:sqref>
        </x14:dataValidation>
        <x14:dataValidation type="list" allowBlank="1" showInputMessage="1" showErrorMessage="1" xr:uid="{C5C4F08D-8708-43C4-BF6A-8E630846202E}">
          <x14:formula1>
            <xm:f>Sources!$E$6:$O$6</xm:f>
          </x14:formula1>
          <xm:sqref>O13:Q13</xm:sqref>
        </x14:dataValidation>
        <x14:dataValidation type="list" allowBlank="1" showInputMessage="1" showErrorMessage="1" xr:uid="{12FCE792-1979-44D9-B632-A31A37957EAC}">
          <x14:formula1>
            <xm:f>DataBank!$B$2:$B$3</xm:f>
          </x14:formula1>
          <xm:sqref>J15</xm:sqref>
        </x14:dataValidation>
        <x14:dataValidation type="list" allowBlank="1" showInputMessage="1" showErrorMessage="1" xr:uid="{96B7106C-37DA-40B3-B0E3-B501A996D50A}">
          <x14:formula1>
            <xm:f>Systemblatt!$E$5:$E$38</xm:f>
          </x14:formula1>
          <xm:sqref>I16:I27 AE10:AE27 AC10:AC27 T10:T27 N12:Q12 O14:Q27 N13:N27</xm:sqref>
        </x14:dataValidation>
        <x14:dataValidation type="list" allowBlank="1" showInputMessage="1" showErrorMessage="1" xr:uid="{431EE97A-2E97-4AA8-872D-7C8DFF00224C}">
          <x14:formula1>
            <xm:f>Sources!$E$7:$O$7</xm:f>
          </x14:formula1>
          <xm:sqref>W10:W27</xm:sqref>
        </x14:dataValidation>
        <x14:dataValidation type="list" allowBlank="1" showInputMessage="1" showErrorMessage="1" xr:uid="{61A673ED-889D-47A4-8317-2F35223A960B}">
          <x14:formula1>
            <xm:f>DataBank!$K$17:$K$18</xm:f>
          </x14:formula1>
          <xm:sqref>E26</xm:sqref>
        </x14:dataValidation>
        <x14:dataValidation type="list" allowBlank="1" showInputMessage="1" showErrorMessage="1" xr:uid="{0F018581-90DC-4567-B8D8-3AD0B71E8CF6}">
          <x14:formula1>
            <xm:f>DataBank!$A$3:$A$10</xm:f>
          </x14:formula1>
          <xm:sqref>O11:Q11</xm:sqref>
        </x14:dataValidation>
        <x14:dataValidation type="list" allowBlank="1" showInputMessage="1" showErrorMessage="1" xr:uid="{A5DE29BE-C3D3-47C9-84BD-54990FA5AB24}">
          <x14:formula1>
            <xm:f>DataBank!$C$2:$C$7</xm:f>
          </x14:formula1>
          <xm:sqref>I15</xm:sqref>
        </x14:dataValidation>
        <x14:dataValidation type="list" allowBlank="1" showInputMessage="1" showErrorMessage="1" xr:uid="{8303D604-CD4F-41ED-A7DF-DE57D81A386C}">
          <x14:formula1>
            <xm:f>Systemblatt!$E$5:$E$11</xm:f>
          </x14:formula1>
          <xm:sqref>K16:K17</xm:sqref>
        </x14:dataValidation>
        <x14:dataValidation type="list" allowBlank="1" showInputMessage="1" showErrorMessage="1" xr:uid="{EA5607F9-6D48-4CE9-BC53-69A320F42210}">
          <x14:formula1>
            <xm:f>DataBank!$A$3:$A$4</xm:f>
          </x14:formula1>
          <xm:sqref>AB10 AD10</xm:sqref>
        </x14:dataValidation>
        <x14:dataValidation type="list" allowBlank="1" showInputMessage="1" showErrorMessage="1" xr:uid="{F089486A-8650-469C-A3B2-B35F54363494}">
          <x14:formula1>
            <xm:f>DataBank!$A$3:$A$5</xm:f>
          </x14:formula1>
          <xm:sqref>K15</xm:sqref>
        </x14:dataValidation>
        <x14:dataValidation type="whole" allowBlank="1" showInputMessage="1" showErrorMessage="1" xr:uid="{50226010-0BBC-49E0-9F5E-4145DFD6F748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7E887-721A-44BB-B338-0C043AAD7978}">
  <sheetPr codeName="Tabelle45"/>
  <dimension ref="A1:AJ144"/>
  <sheetViews>
    <sheetView zoomScale="75" zoomScaleNormal="47" workbookViewId="0">
      <selection activeCell="W33" sqref="W33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6"/>
      <c r="AJ2" s="5"/>
    </row>
    <row r="3" spans="1:36" x14ac:dyDescent="0.35">
      <c r="A3" s="5"/>
      <c r="B3" s="5"/>
      <c r="C3" s="86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7"/>
      <c r="AJ3" s="5"/>
    </row>
    <row r="4" spans="1:36" x14ac:dyDescent="0.35">
      <c r="A4" s="5"/>
      <c r="B4" s="5"/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7"/>
      <c r="AJ4" s="5"/>
    </row>
    <row r="5" spans="1:36" x14ac:dyDescent="0.35">
      <c r="A5" s="5"/>
      <c r="B5" s="5"/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7"/>
      <c r="AJ5" s="5"/>
    </row>
    <row r="6" spans="1:36" x14ac:dyDescent="0.35">
      <c r="A6" s="5"/>
      <c r="B6" s="5"/>
      <c r="C6" s="86"/>
      <c r="D6" s="343"/>
      <c r="E6" s="343"/>
      <c r="F6" s="5"/>
      <c r="G6" s="5"/>
      <c r="H6" s="343"/>
      <c r="I6" s="343"/>
      <c r="J6" s="15"/>
      <c r="K6" s="15"/>
      <c r="L6" s="5"/>
      <c r="M6" s="343"/>
      <c r="N6" s="343"/>
      <c r="O6" s="343"/>
      <c r="P6" s="343"/>
      <c r="Q6" s="5"/>
      <c r="R6" s="5"/>
      <c r="S6" s="350"/>
      <c r="T6" s="350"/>
      <c r="U6" s="350"/>
      <c r="V6" s="350"/>
      <c r="W6" s="350"/>
      <c r="X6" s="350"/>
      <c r="Y6" s="350"/>
      <c r="Z6" s="350"/>
      <c r="AA6" s="350"/>
      <c r="AB6" s="350"/>
      <c r="AC6" s="350"/>
      <c r="AD6" s="350"/>
      <c r="AE6" s="350"/>
      <c r="AF6" s="350"/>
      <c r="AG6" s="5"/>
      <c r="AH6" s="5"/>
      <c r="AI6" s="87"/>
      <c r="AJ6" s="5"/>
    </row>
    <row r="7" spans="1:36" ht="15" thickBot="1" x14ac:dyDescent="0.4">
      <c r="A7" s="5"/>
      <c r="B7" s="5"/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7"/>
      <c r="AJ7" s="5"/>
    </row>
    <row r="8" spans="1:36" ht="24" thickBot="1" x14ac:dyDescent="0.6">
      <c r="A8" s="5"/>
      <c r="B8" s="5"/>
      <c r="C8" s="86"/>
      <c r="D8" s="344" t="s">
        <v>52</v>
      </c>
      <c r="E8" s="345"/>
      <c r="F8" s="346"/>
      <c r="G8" s="5"/>
      <c r="H8" s="347" t="s">
        <v>53</v>
      </c>
      <c r="I8" s="348"/>
      <c r="J8" s="349"/>
      <c r="K8" s="16"/>
      <c r="L8" s="5"/>
      <c r="M8" s="357" t="s">
        <v>72</v>
      </c>
      <c r="N8" s="358"/>
      <c r="O8" s="358"/>
      <c r="P8" s="358"/>
      <c r="Q8" s="359"/>
      <c r="R8" s="5"/>
      <c r="S8" s="351" t="s">
        <v>78</v>
      </c>
      <c r="T8" s="352"/>
      <c r="U8" s="353"/>
      <c r="V8" s="12"/>
      <c r="W8" s="354" t="s">
        <v>108</v>
      </c>
      <c r="X8" s="355"/>
      <c r="Y8" s="355"/>
      <c r="Z8" s="356"/>
      <c r="AA8" s="11"/>
      <c r="AB8" s="354" t="s">
        <v>85</v>
      </c>
      <c r="AC8" s="355"/>
      <c r="AD8" s="355"/>
      <c r="AE8" s="355"/>
      <c r="AF8" s="356"/>
      <c r="AG8" s="5"/>
      <c r="AH8" s="5"/>
      <c r="AI8" s="87"/>
      <c r="AJ8" s="5"/>
    </row>
    <row r="9" spans="1:36" ht="21.5" thickBot="1" x14ac:dyDescent="0.55000000000000004">
      <c r="A9" s="5"/>
      <c r="B9" s="5"/>
      <c r="C9" s="86"/>
      <c r="D9" s="73" t="s">
        <v>32</v>
      </c>
      <c r="E9" s="213" t="s">
        <v>0</v>
      </c>
      <c r="F9" s="216" t="s">
        <v>181</v>
      </c>
      <c r="G9" s="5"/>
      <c r="H9" s="74" t="s">
        <v>32</v>
      </c>
      <c r="I9" s="74" t="s">
        <v>54</v>
      </c>
      <c r="J9" s="74" t="s">
        <v>181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 t="s">
        <v>181</v>
      </c>
      <c r="S9" s="85" t="s">
        <v>79</v>
      </c>
      <c r="T9" s="85" t="s">
        <v>35</v>
      </c>
      <c r="U9" s="85" t="s">
        <v>80</v>
      </c>
      <c r="V9" s="13"/>
      <c r="W9" s="85" t="s">
        <v>104</v>
      </c>
      <c r="X9" s="200" t="s">
        <v>162</v>
      </c>
      <c r="Y9" s="200" t="s">
        <v>163</v>
      </c>
      <c r="Z9" s="201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5"/>
      <c r="AH9" s="5"/>
      <c r="AI9" s="87"/>
      <c r="AJ9" s="5"/>
    </row>
    <row r="10" spans="1:36" ht="18.5" x14ac:dyDescent="0.45">
      <c r="A10" s="5"/>
      <c r="B10" s="5"/>
      <c r="C10" s="86"/>
      <c r="D10" s="67" t="s">
        <v>1</v>
      </c>
      <c r="E10" s="68" t="s">
        <v>235</v>
      </c>
      <c r="F10" s="214" t="s">
        <v>182</v>
      </c>
      <c r="G10" s="5"/>
      <c r="H10" s="67" t="s">
        <v>2</v>
      </c>
      <c r="I10" s="68"/>
      <c r="J10" s="217" t="s">
        <v>182</v>
      </c>
      <c r="K10" s="5"/>
      <c r="L10" s="5"/>
      <c r="M10" s="67" t="s">
        <v>75</v>
      </c>
      <c r="N10" s="179"/>
      <c r="O10" s="179">
        <v>5</v>
      </c>
      <c r="P10" s="180"/>
      <c r="Q10" s="181"/>
      <c r="R10" s="5" t="s">
        <v>198</v>
      </c>
      <c r="S10" s="103">
        <v>3000</v>
      </c>
      <c r="T10" s="104" t="s">
        <v>173</v>
      </c>
      <c r="U10" s="105">
        <v>0.95</v>
      </c>
      <c r="V10" s="84"/>
      <c r="W10" s="138"/>
      <c r="X10" s="83">
        <v>3000</v>
      </c>
      <c r="Y10" s="139">
        <v>220</v>
      </c>
      <c r="Z10" s="137"/>
      <c r="AA10" s="15"/>
      <c r="AB10" s="136"/>
      <c r="AC10" s="83"/>
      <c r="AD10" s="139"/>
      <c r="AE10" s="83"/>
      <c r="AF10" s="137"/>
      <c r="AG10" s="5"/>
      <c r="AH10" s="5"/>
      <c r="AI10" s="87"/>
      <c r="AJ10" s="5"/>
    </row>
    <row r="11" spans="1:36" ht="19" thickBot="1" x14ac:dyDescent="0.5">
      <c r="A11" s="5"/>
      <c r="B11" s="5"/>
      <c r="C11" s="86"/>
      <c r="D11" s="69" t="s">
        <v>3</v>
      </c>
      <c r="E11" s="70">
        <v>320</v>
      </c>
      <c r="F11" s="214" t="s">
        <v>182</v>
      </c>
      <c r="G11" s="5"/>
      <c r="H11" s="69" t="s">
        <v>67</v>
      </c>
      <c r="I11" s="105">
        <v>2</v>
      </c>
      <c r="J11" s="214" t="s">
        <v>191</v>
      </c>
      <c r="K11" s="5"/>
      <c r="L11" s="5"/>
      <c r="M11" s="76" t="s">
        <v>76</v>
      </c>
      <c r="N11" s="125"/>
      <c r="O11" s="125" t="s">
        <v>12</v>
      </c>
      <c r="P11" s="79"/>
      <c r="Q11" s="127"/>
      <c r="R11" s="5" t="s">
        <v>192</v>
      </c>
      <c r="S11" s="103">
        <v>220</v>
      </c>
      <c r="T11" s="104" t="s">
        <v>234</v>
      </c>
      <c r="U11" s="105">
        <v>0.85</v>
      </c>
      <c r="V11" s="84"/>
      <c r="W11" s="109"/>
      <c r="X11" s="75"/>
      <c r="Y11" s="106"/>
      <c r="Z11" s="108"/>
      <c r="AA11" s="15"/>
      <c r="AB11" s="107"/>
      <c r="AC11" s="75"/>
      <c r="AD11" s="106"/>
      <c r="AE11" s="75"/>
      <c r="AF11" s="108"/>
      <c r="AG11" s="5"/>
      <c r="AH11" s="5"/>
      <c r="AI11" s="87"/>
      <c r="AJ11" s="5"/>
    </row>
    <row r="12" spans="1:36" ht="18.5" x14ac:dyDescent="0.45">
      <c r="A12" s="5"/>
      <c r="B12" s="5"/>
      <c r="C12" s="86"/>
      <c r="D12" s="69" t="s">
        <v>42</v>
      </c>
      <c r="E12" s="202"/>
      <c r="F12" s="214" t="s">
        <v>182</v>
      </c>
      <c r="G12" s="5"/>
      <c r="H12" s="69" t="s">
        <v>68</v>
      </c>
      <c r="I12" s="265">
        <v>10</v>
      </c>
      <c r="J12" s="214" t="str">
        <f>J15</f>
        <v>t/h</v>
      </c>
      <c r="K12" s="5"/>
      <c r="L12" s="5"/>
      <c r="M12" s="248" t="s">
        <v>77</v>
      </c>
      <c r="N12" s="256"/>
      <c r="O12" s="179" t="s">
        <v>234</v>
      </c>
      <c r="P12" s="180"/>
      <c r="Q12" s="181"/>
      <c r="R12" s="5"/>
      <c r="S12" s="126"/>
      <c r="T12" s="125"/>
      <c r="U12" s="127"/>
      <c r="V12" s="84"/>
      <c r="W12" s="109"/>
      <c r="X12" s="75"/>
      <c r="Y12" s="44"/>
      <c r="Z12" s="30"/>
      <c r="AA12" s="42"/>
      <c r="AB12" s="51"/>
      <c r="AC12" s="75"/>
      <c r="AD12" s="44"/>
      <c r="AE12" s="75"/>
      <c r="AF12" s="108"/>
      <c r="AG12" s="5"/>
      <c r="AH12" s="5"/>
      <c r="AI12" s="87"/>
      <c r="AJ12" s="5"/>
    </row>
    <row r="13" spans="1:36" ht="18.5" x14ac:dyDescent="0.45">
      <c r="A13" s="5"/>
      <c r="B13" s="5"/>
      <c r="C13" s="86"/>
      <c r="D13" s="69" t="s">
        <v>56</v>
      </c>
      <c r="F13" s="214" t="s">
        <v>182</v>
      </c>
      <c r="G13" s="5"/>
      <c r="H13" s="69" t="s">
        <v>69</v>
      </c>
      <c r="I13" s="105">
        <v>0.1</v>
      </c>
      <c r="J13" s="214" t="s">
        <v>182</v>
      </c>
      <c r="K13" s="5"/>
      <c r="L13" s="5"/>
      <c r="M13" s="249"/>
      <c r="N13" s="126"/>
      <c r="O13" s="75"/>
      <c r="P13" s="75"/>
      <c r="Q13" s="70"/>
      <c r="R13" s="5"/>
      <c r="S13" s="119"/>
      <c r="T13" s="120"/>
      <c r="U13" s="121"/>
      <c r="V13" s="42"/>
      <c r="W13" s="109"/>
      <c r="X13" s="75"/>
      <c r="Y13" s="44"/>
      <c r="Z13" s="30"/>
      <c r="AA13" s="42"/>
      <c r="AB13" s="51"/>
      <c r="AC13" s="75"/>
      <c r="AD13" s="44"/>
      <c r="AE13" s="75"/>
      <c r="AF13" s="108"/>
      <c r="AG13" s="5"/>
      <c r="AH13" s="5"/>
      <c r="AI13" s="87"/>
      <c r="AJ13" s="5"/>
    </row>
    <row r="14" spans="1:36" ht="18.5" x14ac:dyDescent="0.45">
      <c r="A14" s="5"/>
      <c r="B14" s="5"/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>
        <v>2018</v>
      </c>
      <c r="J14" s="214" t="s">
        <v>194</v>
      </c>
      <c r="K14" s="5"/>
      <c r="L14" s="5"/>
      <c r="M14" s="250"/>
      <c r="N14" s="110"/>
      <c r="O14" s="79"/>
      <c r="P14" s="79"/>
      <c r="Q14" s="82"/>
      <c r="R14" s="5"/>
      <c r="S14" s="51"/>
      <c r="T14" s="75"/>
      <c r="U14" s="30"/>
      <c r="V14" s="42"/>
      <c r="W14" s="109"/>
      <c r="X14" s="75"/>
      <c r="Y14" s="44"/>
      <c r="Z14" s="30"/>
      <c r="AA14" s="42"/>
      <c r="AB14" s="51"/>
      <c r="AC14" s="75"/>
      <c r="AD14" s="44"/>
      <c r="AE14" s="75"/>
      <c r="AF14" s="108"/>
      <c r="AG14" s="5"/>
      <c r="AH14" s="5"/>
      <c r="AI14" s="87"/>
      <c r="AJ14" s="5"/>
    </row>
    <row r="15" spans="1:36" ht="19" thickBot="1" x14ac:dyDescent="0.5">
      <c r="A15" s="5"/>
      <c r="B15" s="5"/>
      <c r="C15" s="86"/>
      <c r="D15" s="69" t="s">
        <v>58</v>
      </c>
      <c r="E15" s="70">
        <v>2.6</v>
      </c>
      <c r="F15" s="214" t="s">
        <v>182</v>
      </c>
      <c r="G15" s="5"/>
      <c r="H15" s="260" t="s">
        <v>71</v>
      </c>
      <c r="I15" s="70" t="s">
        <v>12</v>
      </c>
      <c r="J15" s="214" t="s">
        <v>192</v>
      </c>
      <c r="K15" s="5"/>
      <c r="L15" s="5"/>
      <c r="M15" s="250"/>
      <c r="N15" s="110"/>
      <c r="O15" s="79"/>
      <c r="P15" s="79"/>
      <c r="Q15" s="82"/>
      <c r="R15" s="5"/>
      <c r="S15" s="51"/>
      <c r="T15" s="75"/>
      <c r="U15" s="30"/>
      <c r="V15" s="42"/>
      <c r="W15" s="89"/>
      <c r="X15" s="15"/>
      <c r="Y15" s="15"/>
      <c r="Z15" s="66"/>
      <c r="AA15" s="15"/>
      <c r="AB15" s="109"/>
      <c r="AC15" s="75"/>
      <c r="AD15" s="75"/>
      <c r="AE15" s="75"/>
      <c r="AF15" s="108"/>
      <c r="AG15" s="5"/>
      <c r="AH15" s="5"/>
      <c r="AI15" s="87"/>
      <c r="AJ15" s="5"/>
    </row>
    <row r="16" spans="1:36" ht="19" thickBot="1" x14ac:dyDescent="0.5">
      <c r="A16" s="5"/>
      <c r="B16" s="5"/>
      <c r="C16" s="86"/>
      <c r="D16" s="69" t="s">
        <v>59</v>
      </c>
      <c r="E16" s="70">
        <v>1.44</v>
      </c>
      <c r="F16" s="214" t="s">
        <v>182</v>
      </c>
      <c r="G16" s="5"/>
      <c r="H16" s="242" t="s">
        <v>55</v>
      </c>
      <c r="I16" s="243" t="s">
        <v>234</v>
      </c>
      <c r="J16" s="217" t="s">
        <v>182</v>
      </c>
      <c r="K16" s="5"/>
      <c r="L16" s="5"/>
      <c r="M16" s="250"/>
      <c r="N16" s="110"/>
      <c r="O16" s="79"/>
      <c r="P16" s="79"/>
      <c r="Q16" s="82"/>
      <c r="R16" s="5"/>
      <c r="S16" s="109"/>
      <c r="T16" s="75"/>
      <c r="U16" s="70"/>
      <c r="V16" s="15"/>
      <c r="W16" s="89"/>
      <c r="X16" s="15"/>
      <c r="Y16" s="15"/>
      <c r="Z16" s="66"/>
      <c r="AA16" s="15"/>
      <c r="AB16" s="109"/>
      <c r="AC16" s="75"/>
      <c r="AD16" s="75"/>
      <c r="AE16" s="75"/>
      <c r="AF16" s="70"/>
      <c r="AG16" s="5"/>
      <c r="AH16" s="5"/>
      <c r="AI16" s="87"/>
      <c r="AJ16" s="5"/>
    </row>
    <row r="17" spans="1:36" ht="18.5" x14ac:dyDescent="0.45">
      <c r="A17" s="5"/>
      <c r="B17" s="5"/>
      <c r="C17" s="86"/>
      <c r="D17" s="69" t="s">
        <v>60</v>
      </c>
      <c r="E17" s="70">
        <v>25</v>
      </c>
      <c r="F17" s="214" t="s">
        <v>197</v>
      </c>
      <c r="G17" s="5"/>
      <c r="H17" s="76"/>
      <c r="I17" s="244" t="s">
        <v>173</v>
      </c>
      <c r="J17" s="214" t="s">
        <v>182</v>
      </c>
      <c r="K17" s="5"/>
      <c r="L17" s="5"/>
      <c r="M17" s="250"/>
      <c r="N17" s="110"/>
      <c r="O17" s="79"/>
      <c r="P17" s="79"/>
      <c r="Q17" s="82"/>
      <c r="R17" s="5"/>
      <c r="S17" s="109"/>
      <c r="T17" s="75"/>
      <c r="U17" s="70"/>
      <c r="V17" s="15"/>
      <c r="W17" s="89"/>
      <c r="X17" s="15"/>
      <c r="Y17" s="15"/>
      <c r="Z17" s="66"/>
      <c r="AA17" s="15"/>
      <c r="AB17" s="109"/>
      <c r="AC17" s="75"/>
      <c r="AD17" s="75"/>
      <c r="AE17" s="75"/>
      <c r="AF17" s="70"/>
      <c r="AG17" s="5"/>
      <c r="AH17" s="5"/>
      <c r="AI17" s="87"/>
      <c r="AJ17" s="5"/>
    </row>
    <row r="18" spans="1:36" ht="18.5" x14ac:dyDescent="0.45">
      <c r="A18" s="5"/>
      <c r="B18" s="5"/>
      <c r="C18" s="86"/>
      <c r="D18" s="71" t="s">
        <v>61</v>
      </c>
      <c r="E18" s="70">
        <v>60</v>
      </c>
      <c r="F18" s="214" t="s">
        <v>197</v>
      </c>
      <c r="G18" s="5"/>
      <c r="H18" s="77"/>
      <c r="I18" s="244"/>
      <c r="J18" s="214" t="s">
        <v>182</v>
      </c>
      <c r="K18" s="5"/>
      <c r="L18" s="5"/>
      <c r="M18" s="250"/>
      <c r="N18" s="110"/>
      <c r="O18" s="79"/>
      <c r="P18" s="79"/>
      <c r="Q18" s="82"/>
      <c r="R18" s="5"/>
      <c r="S18" s="109"/>
      <c r="T18" s="75"/>
      <c r="U18" s="70"/>
      <c r="V18" s="15"/>
      <c r="W18" s="89"/>
      <c r="X18" s="15"/>
      <c r="Y18" s="15"/>
      <c r="Z18" s="66"/>
      <c r="AA18" s="15"/>
      <c r="AB18" s="109"/>
      <c r="AC18" s="75"/>
      <c r="AD18" s="75"/>
      <c r="AE18" s="75"/>
      <c r="AF18" s="70"/>
      <c r="AG18" s="5"/>
      <c r="AH18" s="5"/>
      <c r="AI18" s="87"/>
      <c r="AJ18" s="5"/>
    </row>
    <row r="19" spans="1:36" ht="18.5" x14ac:dyDescent="0.45">
      <c r="A19" s="5"/>
      <c r="B19" s="5"/>
      <c r="C19" s="86"/>
      <c r="D19" s="69" t="s">
        <v>62</v>
      </c>
      <c r="E19" s="70"/>
      <c r="F19" s="214" t="s">
        <v>197</v>
      </c>
      <c r="G19" s="5"/>
      <c r="H19" s="77"/>
      <c r="I19" s="244"/>
      <c r="J19" s="214" t="s">
        <v>182</v>
      </c>
      <c r="K19" s="5"/>
      <c r="L19" s="5"/>
      <c r="M19" s="250"/>
      <c r="N19" s="110"/>
      <c r="O19" s="79"/>
      <c r="P19" s="79"/>
      <c r="Q19" s="82"/>
      <c r="R19" s="5"/>
      <c r="S19" s="109"/>
      <c r="T19" s="75"/>
      <c r="U19" s="70"/>
      <c r="V19" s="15"/>
      <c r="W19" s="89"/>
      <c r="X19" s="15"/>
      <c r="Y19" s="15"/>
      <c r="Z19" s="66"/>
      <c r="AA19" s="15"/>
      <c r="AB19" s="109"/>
      <c r="AC19" s="75"/>
      <c r="AD19" s="75"/>
      <c r="AE19" s="75"/>
      <c r="AF19" s="70"/>
      <c r="AG19" s="5"/>
      <c r="AH19" s="5"/>
      <c r="AI19" s="87"/>
      <c r="AJ19" s="5"/>
    </row>
    <row r="20" spans="1:36" ht="18.5" x14ac:dyDescent="0.45">
      <c r="A20" s="5"/>
      <c r="B20" s="5"/>
      <c r="C20" s="86"/>
      <c r="D20" s="71" t="s">
        <v>63</v>
      </c>
      <c r="E20" s="70"/>
      <c r="F20" s="214" t="s">
        <v>197</v>
      </c>
      <c r="G20" s="5"/>
      <c r="H20" s="77"/>
      <c r="I20" s="244"/>
      <c r="J20" s="214" t="s">
        <v>182</v>
      </c>
      <c r="K20" s="5"/>
      <c r="L20" s="5"/>
      <c r="M20" s="245"/>
      <c r="N20" s="110"/>
      <c r="O20" s="79"/>
      <c r="P20" s="79"/>
      <c r="Q20" s="82"/>
      <c r="R20" s="5"/>
      <c r="S20" s="109"/>
      <c r="T20" s="75"/>
      <c r="U20" s="70"/>
      <c r="V20" s="15"/>
      <c r="W20" s="89"/>
      <c r="X20" s="15"/>
      <c r="Y20" s="15"/>
      <c r="Z20" s="66"/>
      <c r="AA20" s="15"/>
      <c r="AB20" s="109"/>
      <c r="AC20" s="75"/>
      <c r="AD20" s="75"/>
      <c r="AE20" s="75"/>
      <c r="AF20" s="70"/>
      <c r="AG20" s="5"/>
      <c r="AH20" s="5"/>
      <c r="AI20" s="87"/>
      <c r="AJ20" s="5"/>
    </row>
    <row r="21" spans="1:36" ht="18.5" x14ac:dyDescent="0.45">
      <c r="A21" s="5"/>
      <c r="B21" s="5"/>
      <c r="C21" s="86"/>
      <c r="D21" s="71" t="s">
        <v>64</v>
      </c>
      <c r="E21" s="143" t="s">
        <v>94</v>
      </c>
      <c r="F21" s="214" t="s">
        <v>182</v>
      </c>
      <c r="G21" s="5"/>
      <c r="H21" s="110"/>
      <c r="I21" s="244"/>
      <c r="J21" s="214" t="s">
        <v>182</v>
      </c>
      <c r="K21" s="5"/>
      <c r="L21" s="5"/>
      <c r="M21" s="245"/>
      <c r="N21" s="110"/>
      <c r="O21" s="79"/>
      <c r="P21" s="79"/>
      <c r="Q21" s="82"/>
      <c r="R21" s="5"/>
      <c r="S21" s="109"/>
      <c r="T21" s="75"/>
      <c r="U21" s="70"/>
      <c r="V21" s="15"/>
      <c r="W21" s="89"/>
      <c r="X21" s="15"/>
      <c r="Y21" s="15"/>
      <c r="Z21" s="66"/>
      <c r="AA21" s="15"/>
      <c r="AB21" s="109"/>
      <c r="AC21" s="75"/>
      <c r="AD21" s="75"/>
      <c r="AE21" s="75"/>
      <c r="AF21" s="70"/>
      <c r="AG21" s="5"/>
      <c r="AH21" s="5"/>
      <c r="AI21" s="87"/>
      <c r="AJ21" s="5"/>
    </row>
    <row r="22" spans="1:36" ht="18.5" x14ac:dyDescent="0.45">
      <c r="A22" s="5"/>
      <c r="B22" s="5"/>
      <c r="C22" s="86"/>
      <c r="D22" s="71" t="s">
        <v>65</v>
      </c>
      <c r="E22" s="70"/>
      <c r="F22" s="214" t="s">
        <v>182</v>
      </c>
      <c r="G22" s="5"/>
      <c r="H22" s="110"/>
      <c r="I22" s="244"/>
      <c r="J22" s="214" t="s">
        <v>182</v>
      </c>
      <c r="K22" s="5"/>
      <c r="L22" s="5"/>
      <c r="M22" s="245"/>
      <c r="N22" s="110"/>
      <c r="O22" s="79"/>
      <c r="P22" s="79"/>
      <c r="Q22" s="82"/>
      <c r="R22" s="5"/>
      <c r="S22" s="109"/>
      <c r="T22" s="75"/>
      <c r="U22" s="70"/>
      <c r="V22" s="15"/>
      <c r="W22" s="89"/>
      <c r="X22" s="15"/>
      <c r="Y22" s="15"/>
      <c r="Z22" s="66"/>
      <c r="AA22" s="15"/>
      <c r="AB22" s="109"/>
      <c r="AC22" s="75"/>
      <c r="AD22" s="75"/>
      <c r="AE22" s="75"/>
      <c r="AF22" s="70"/>
      <c r="AG22" s="5"/>
      <c r="AH22" s="5"/>
      <c r="AI22" s="87"/>
      <c r="AJ22" s="5"/>
    </row>
    <row r="23" spans="1:36" ht="18.5" x14ac:dyDescent="0.45">
      <c r="A23" s="5"/>
      <c r="B23" s="5"/>
      <c r="C23" s="86"/>
      <c r="D23" s="71" t="s">
        <v>66</v>
      </c>
      <c r="E23" s="70"/>
      <c r="F23" s="214" t="s">
        <v>182</v>
      </c>
      <c r="G23" s="5"/>
      <c r="H23" s="110"/>
      <c r="I23" s="245"/>
      <c r="J23" s="214" t="s">
        <v>182</v>
      </c>
      <c r="K23" s="5"/>
      <c r="L23" s="5"/>
      <c r="M23" s="245"/>
      <c r="N23" s="110"/>
      <c r="O23" s="79"/>
      <c r="P23" s="79"/>
      <c r="Q23" s="82"/>
      <c r="R23" s="5"/>
      <c r="S23" s="109"/>
      <c r="T23" s="75"/>
      <c r="U23" s="70"/>
      <c r="V23" s="15"/>
      <c r="W23" s="89"/>
      <c r="X23" s="15"/>
      <c r="Y23" s="15"/>
      <c r="Z23" s="66"/>
      <c r="AA23" s="15"/>
      <c r="AB23" s="109"/>
      <c r="AC23" s="75"/>
      <c r="AD23" s="75"/>
      <c r="AE23" s="75"/>
      <c r="AF23" s="70"/>
      <c r="AG23" s="5"/>
      <c r="AH23" s="5"/>
      <c r="AI23" s="87"/>
      <c r="AJ23" s="5"/>
    </row>
    <row r="24" spans="1:36" ht="18.5" x14ac:dyDescent="0.45">
      <c r="A24" s="5"/>
      <c r="B24" s="5"/>
      <c r="C24" s="93"/>
      <c r="D24" s="132" t="s">
        <v>86</v>
      </c>
      <c r="E24" s="92"/>
      <c r="F24" s="214" t="s">
        <v>182</v>
      </c>
      <c r="G24" s="11"/>
      <c r="H24" s="110"/>
      <c r="I24" s="245"/>
      <c r="J24" s="214" t="s">
        <v>182</v>
      </c>
      <c r="K24" s="11"/>
      <c r="L24" s="11"/>
      <c r="M24" s="245"/>
      <c r="N24" s="110"/>
      <c r="O24" s="79"/>
      <c r="P24" s="79"/>
      <c r="Q24" s="82"/>
      <c r="R24" s="5"/>
      <c r="S24" s="109"/>
      <c r="T24" s="75"/>
      <c r="U24" s="70"/>
      <c r="V24" s="15"/>
      <c r="W24" s="89"/>
      <c r="X24" s="15"/>
      <c r="Y24" s="15"/>
      <c r="Z24" s="66"/>
      <c r="AA24" s="15"/>
      <c r="AB24" s="109"/>
      <c r="AC24" s="75"/>
      <c r="AD24" s="75"/>
      <c r="AE24" s="75"/>
      <c r="AF24" s="70"/>
      <c r="AG24" s="5"/>
      <c r="AH24" s="5"/>
      <c r="AI24" s="87"/>
      <c r="AJ24" s="5"/>
    </row>
    <row r="25" spans="1:36" ht="18.5" x14ac:dyDescent="0.45">
      <c r="A25" s="5"/>
      <c r="B25" s="5"/>
      <c r="C25" s="93"/>
      <c r="D25" s="132" t="s">
        <v>87</v>
      </c>
      <c r="E25" s="92"/>
      <c r="F25" s="214" t="s">
        <v>182</v>
      </c>
      <c r="G25" s="11"/>
      <c r="H25" s="110"/>
      <c r="I25" s="245"/>
      <c r="J25" s="214" t="s">
        <v>182</v>
      </c>
      <c r="K25" s="11"/>
      <c r="L25" s="11"/>
      <c r="M25" s="245"/>
      <c r="N25" s="110"/>
      <c r="O25" s="79"/>
      <c r="P25" s="79"/>
      <c r="Q25" s="82"/>
      <c r="R25" s="5"/>
      <c r="S25" s="119"/>
      <c r="T25" s="120"/>
      <c r="U25" s="121"/>
      <c r="V25" s="5"/>
      <c r="W25" s="119"/>
      <c r="X25" s="120"/>
      <c r="Y25" s="120"/>
      <c r="Z25" s="121"/>
      <c r="AA25" s="5"/>
      <c r="AB25" s="119"/>
      <c r="AC25" s="120"/>
      <c r="AD25" s="120"/>
      <c r="AE25" s="120"/>
      <c r="AF25" s="121"/>
      <c r="AG25" s="5"/>
      <c r="AH25" s="5"/>
      <c r="AI25" s="87"/>
      <c r="AJ25" s="5"/>
    </row>
    <row r="26" spans="1:36" ht="19" thickBot="1" x14ac:dyDescent="0.5">
      <c r="A26" s="5"/>
      <c r="B26" s="5"/>
      <c r="C26" s="93"/>
      <c r="D26" s="133" t="s">
        <v>88</v>
      </c>
      <c r="E26" s="65"/>
      <c r="F26" s="215" t="s">
        <v>182</v>
      </c>
      <c r="G26" s="5"/>
      <c r="H26" s="110"/>
      <c r="I26" s="245"/>
      <c r="J26" s="214" t="s">
        <v>182</v>
      </c>
      <c r="K26" s="5"/>
      <c r="L26" s="5"/>
      <c r="M26" s="245"/>
      <c r="N26" s="110"/>
      <c r="O26" s="79"/>
      <c r="P26" s="79"/>
      <c r="Q26" s="82"/>
      <c r="R26" s="5"/>
      <c r="S26" s="119"/>
      <c r="T26" s="120"/>
      <c r="U26" s="121"/>
      <c r="V26" s="5"/>
      <c r="W26" s="119"/>
      <c r="X26" s="120"/>
      <c r="Y26" s="120"/>
      <c r="Z26" s="121"/>
      <c r="AA26" s="5"/>
      <c r="AB26" s="119"/>
      <c r="AC26" s="120"/>
      <c r="AD26" s="120"/>
      <c r="AE26" s="120"/>
      <c r="AF26" s="121"/>
      <c r="AG26" s="5"/>
      <c r="AH26" s="5"/>
      <c r="AI26" s="87"/>
      <c r="AJ26" s="5"/>
    </row>
    <row r="27" spans="1:36" ht="19" thickBot="1" x14ac:dyDescent="0.5">
      <c r="A27" s="5"/>
      <c r="B27" s="5"/>
      <c r="C27" s="93"/>
      <c r="D27" s="133" t="s">
        <v>109</v>
      </c>
      <c r="E27" s="72">
        <f>Systemblatt!C11</f>
        <v>8000</v>
      </c>
      <c r="F27" s="215" t="s">
        <v>184</v>
      </c>
      <c r="G27" s="5"/>
      <c r="H27" s="111"/>
      <c r="I27" s="246"/>
      <c r="J27" s="215" t="s">
        <v>182</v>
      </c>
      <c r="K27" s="5"/>
      <c r="L27" s="5"/>
      <c r="M27" s="246"/>
      <c r="N27" s="111"/>
      <c r="O27" s="80"/>
      <c r="P27" s="80"/>
      <c r="Q27" s="81"/>
      <c r="R27" s="5"/>
      <c r="S27" s="122"/>
      <c r="T27" s="123"/>
      <c r="U27" s="124"/>
      <c r="V27" s="5"/>
      <c r="W27" s="122"/>
      <c r="X27" s="123"/>
      <c r="Y27" s="123"/>
      <c r="Z27" s="124"/>
      <c r="AA27" s="5"/>
      <c r="AB27" s="122"/>
      <c r="AC27" s="123"/>
      <c r="AD27" s="123"/>
      <c r="AE27" s="123"/>
      <c r="AF27" s="124"/>
      <c r="AG27" s="5"/>
      <c r="AH27" s="5"/>
      <c r="AI27" s="87"/>
      <c r="AJ27" s="5"/>
    </row>
    <row r="28" spans="1:36" x14ac:dyDescent="0.35">
      <c r="A28" s="5"/>
      <c r="B28" s="5"/>
      <c r="C28" s="93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7"/>
      <c r="AJ28" s="5"/>
    </row>
    <row r="29" spans="1:36" x14ac:dyDescent="0.35">
      <c r="A29" s="5"/>
      <c r="B29" s="5"/>
      <c r="C29" s="93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7"/>
      <c r="AJ29" s="5"/>
    </row>
    <row r="30" spans="1:36" x14ac:dyDescent="0.35">
      <c r="A30" s="5"/>
      <c r="B30" s="5"/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7"/>
      <c r="AJ30" s="5"/>
    </row>
    <row r="31" spans="1:36" x14ac:dyDescent="0.35">
      <c r="A31" s="5"/>
      <c r="B31" s="5"/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7"/>
      <c r="AJ31" s="5"/>
    </row>
    <row r="32" spans="1:36" x14ac:dyDescent="0.35">
      <c r="A32" s="5"/>
      <c r="B32" s="5"/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7"/>
      <c r="AJ32" s="5"/>
    </row>
    <row r="33" spans="1:36" x14ac:dyDescent="0.35">
      <c r="A33" s="5"/>
      <c r="B33" s="5"/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7"/>
      <c r="AJ33" s="5"/>
    </row>
    <row r="34" spans="1:36" x14ac:dyDescent="0.35">
      <c r="A34" s="5"/>
      <c r="B34" s="5"/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7"/>
      <c r="AJ34" s="5"/>
    </row>
    <row r="35" spans="1:36" x14ac:dyDescent="0.35">
      <c r="A35" s="5"/>
      <c r="B35" s="5"/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7"/>
      <c r="AJ35" s="5"/>
    </row>
    <row r="36" spans="1:36" x14ac:dyDescent="0.35">
      <c r="A36" s="5"/>
      <c r="B36" s="5"/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7"/>
      <c r="AJ36" s="5"/>
    </row>
    <row r="37" spans="1:36" x14ac:dyDescent="0.35">
      <c r="A37" s="5"/>
      <c r="B37" s="5"/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7"/>
      <c r="AJ37" s="5"/>
    </row>
    <row r="38" spans="1:36" x14ac:dyDescent="0.35">
      <c r="A38" s="5"/>
      <c r="B38" s="5"/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7"/>
      <c r="AJ38" s="5"/>
    </row>
    <row r="39" spans="1:36" x14ac:dyDescent="0.35">
      <c r="A39" s="5"/>
      <c r="B39" s="5"/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7"/>
      <c r="AJ39" s="5"/>
    </row>
    <row r="40" spans="1:36" x14ac:dyDescent="0.35">
      <c r="A40" s="5"/>
      <c r="B40" s="5"/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7"/>
      <c r="AJ40" s="5"/>
    </row>
    <row r="41" spans="1:36" x14ac:dyDescent="0.35">
      <c r="A41" s="5"/>
      <c r="B41" s="5"/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7"/>
      <c r="AJ41" s="5"/>
    </row>
    <row r="42" spans="1:36" x14ac:dyDescent="0.35">
      <c r="A42" s="5"/>
      <c r="B42" s="5"/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7"/>
      <c r="AJ42" s="5"/>
    </row>
    <row r="43" spans="1:36" x14ac:dyDescent="0.35">
      <c r="A43" s="5"/>
      <c r="B43" s="5"/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7"/>
      <c r="AJ43" s="5"/>
    </row>
    <row r="44" spans="1:36" x14ac:dyDescent="0.35">
      <c r="A44" s="5"/>
      <c r="B44" s="5"/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7"/>
      <c r="AJ44" s="5"/>
    </row>
    <row r="45" spans="1:36" x14ac:dyDescent="0.35">
      <c r="A45" s="5"/>
      <c r="B45" s="5"/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7"/>
      <c r="AJ45" s="5"/>
    </row>
    <row r="46" spans="1:36" x14ac:dyDescent="0.35">
      <c r="A46" s="5"/>
      <c r="B46" s="5"/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7"/>
      <c r="AJ46" s="5"/>
    </row>
    <row r="47" spans="1:36" ht="18.5" x14ac:dyDescent="0.35">
      <c r="A47" s="5"/>
      <c r="B47" s="5"/>
      <c r="C47" s="86"/>
      <c r="D47" s="342"/>
      <c r="E47" s="342"/>
      <c r="F47" s="342"/>
      <c r="G47" s="342"/>
      <c r="H47" s="342"/>
      <c r="I47" s="342"/>
      <c r="J47" s="342"/>
      <c r="K47" s="342"/>
      <c r="L47" s="342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7"/>
      <c r="AJ47" s="5"/>
    </row>
    <row r="48" spans="1:36" ht="15.5" x14ac:dyDescent="0.35">
      <c r="A48" s="5"/>
      <c r="B48" s="5"/>
      <c r="C48" s="86"/>
      <c r="D48" s="97"/>
      <c r="E48" s="97"/>
      <c r="F48" s="97"/>
      <c r="G48" s="97"/>
      <c r="H48" s="97"/>
      <c r="I48" s="97"/>
      <c r="J48" s="97"/>
      <c r="K48" s="97"/>
      <c r="L48" s="97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7"/>
      <c r="AJ48" s="5"/>
    </row>
    <row r="49" spans="1:36" ht="15.5" x14ac:dyDescent="0.35">
      <c r="A49" s="5"/>
      <c r="B49" s="5"/>
      <c r="C49" s="86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7"/>
      <c r="AJ49" s="5"/>
    </row>
    <row r="50" spans="1:36" ht="15.5" x14ac:dyDescent="0.35">
      <c r="A50" s="5"/>
      <c r="B50" s="5"/>
      <c r="C50" s="86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7"/>
      <c r="AJ50" s="5"/>
    </row>
    <row r="51" spans="1:36" ht="15.5" x14ac:dyDescent="0.35">
      <c r="A51" s="5"/>
      <c r="B51" s="5"/>
      <c r="C51" s="86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7"/>
      <c r="AJ51" s="5"/>
    </row>
    <row r="52" spans="1:36" ht="15.5" x14ac:dyDescent="0.35">
      <c r="A52" s="5"/>
      <c r="B52" s="5"/>
      <c r="C52" s="86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7"/>
      <c r="AJ52" s="5"/>
    </row>
    <row r="53" spans="1:36" ht="15.5" x14ac:dyDescent="0.35">
      <c r="A53" s="5"/>
      <c r="B53" s="5"/>
      <c r="C53" s="86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7"/>
      <c r="AJ53" s="5"/>
    </row>
    <row r="54" spans="1:36" ht="15.5" x14ac:dyDescent="0.35">
      <c r="A54" s="5"/>
      <c r="B54" s="5"/>
      <c r="C54" s="86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7"/>
      <c r="AJ54" s="5"/>
    </row>
    <row r="55" spans="1:36" x14ac:dyDescent="0.35">
      <c r="A55" s="5"/>
      <c r="B55" s="5"/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7"/>
      <c r="AJ55" s="5"/>
    </row>
    <row r="56" spans="1:36" x14ac:dyDescent="0.35">
      <c r="A56" s="5"/>
      <c r="B56" s="5"/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7"/>
      <c r="AJ56" s="5"/>
    </row>
    <row r="57" spans="1:36" x14ac:dyDescent="0.35">
      <c r="A57" s="5"/>
      <c r="B57" s="5"/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7"/>
      <c r="AJ57" s="5"/>
    </row>
    <row r="58" spans="1:36" x14ac:dyDescent="0.35">
      <c r="A58" s="5"/>
      <c r="B58" s="5"/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7"/>
      <c r="AJ58" s="5"/>
    </row>
    <row r="59" spans="1:36" x14ac:dyDescent="0.35">
      <c r="A59" s="5"/>
      <c r="B59" s="5"/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7"/>
      <c r="AJ59" s="5"/>
    </row>
    <row r="60" spans="1:36" x14ac:dyDescent="0.35">
      <c r="A60" s="5"/>
      <c r="B60" s="5"/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7"/>
      <c r="AJ60" s="5"/>
    </row>
    <row r="61" spans="1:36" x14ac:dyDescent="0.35">
      <c r="A61" s="5"/>
      <c r="B61" s="5"/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7"/>
      <c r="AJ61" s="5"/>
    </row>
    <row r="62" spans="1:36" x14ac:dyDescent="0.35">
      <c r="A62" s="5"/>
      <c r="B62" s="5"/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7"/>
      <c r="AJ62" s="5"/>
    </row>
    <row r="63" spans="1:36" x14ac:dyDescent="0.35">
      <c r="A63" s="5"/>
      <c r="B63" s="5"/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7"/>
      <c r="AJ63" s="5"/>
    </row>
    <row r="64" spans="1:36" x14ac:dyDescent="0.35">
      <c r="A64" s="5"/>
      <c r="B64" s="5"/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7"/>
      <c r="AJ64" s="5"/>
    </row>
    <row r="65" spans="1:36" x14ac:dyDescent="0.35">
      <c r="A65" s="5"/>
      <c r="B65" s="5"/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7"/>
      <c r="AJ65" s="5"/>
    </row>
    <row r="66" spans="1:36" x14ac:dyDescent="0.35">
      <c r="A66" s="5"/>
      <c r="B66" s="5"/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7"/>
      <c r="AJ66" s="5"/>
    </row>
    <row r="67" spans="1:36" x14ac:dyDescent="0.35">
      <c r="A67" s="5"/>
      <c r="B67" s="5"/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7"/>
      <c r="AJ67" s="5"/>
    </row>
    <row r="68" spans="1:36" x14ac:dyDescent="0.35">
      <c r="A68" s="5"/>
      <c r="B68" s="5"/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7"/>
      <c r="AJ68" s="5"/>
    </row>
    <row r="69" spans="1:36" ht="15" thickBot="1" x14ac:dyDescent="0.4">
      <c r="A69" s="5"/>
      <c r="B69" s="5"/>
      <c r="C69" s="78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8"/>
      <c r="AE69" s="88"/>
      <c r="AF69" s="88"/>
      <c r="AG69" s="88"/>
      <c r="AH69" s="88"/>
      <c r="AI69" s="65"/>
      <c r="AJ69" s="5"/>
    </row>
    <row r="70" spans="1:36" x14ac:dyDescent="0.35">
      <c r="A70" s="5"/>
      <c r="B70" s="5"/>
      <c r="C70" s="91"/>
      <c r="D70" s="91"/>
      <c r="E70" s="91"/>
      <c r="F70" s="91"/>
      <c r="G70" s="91"/>
      <c r="H70" s="91"/>
      <c r="I70" s="91"/>
      <c r="J70" s="91"/>
      <c r="K70" s="91"/>
      <c r="L70" s="91"/>
      <c r="M70" s="91"/>
      <c r="N70" s="91"/>
      <c r="O70" s="91"/>
      <c r="P70" s="91"/>
      <c r="Q70" s="91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23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7FDB05E-6025-4323-AD47-0C28CB35F93F}">
          <x14:formula1>
            <xm:f>DataBank!$A$3:$A$11</xm:f>
          </x14:formula1>
          <xm:sqref>N11</xm:sqref>
        </x14:dataValidation>
        <x14:dataValidation type="list" allowBlank="1" showInputMessage="1" showErrorMessage="1" xr:uid="{40FE1E01-BDD8-42F4-B5D9-318FD2B20C4A}">
          <x14:formula1>
            <xm:f>Sources!$E$6:$O$6</xm:f>
          </x14:formula1>
          <xm:sqref>O13:Q13</xm:sqref>
        </x14:dataValidation>
        <x14:dataValidation type="list" allowBlank="1" showInputMessage="1" showErrorMessage="1" xr:uid="{70393C43-B48B-4B70-8AC4-C02D32383DD1}">
          <x14:formula1>
            <xm:f>DataBank!$B$2:$B$3</xm:f>
          </x14:formula1>
          <xm:sqref>J15</xm:sqref>
        </x14:dataValidation>
        <x14:dataValidation type="list" allowBlank="1" showInputMessage="1" showErrorMessage="1" xr:uid="{6D942508-FBAE-4A85-83B5-AC91BBE9E0A1}">
          <x14:formula1>
            <xm:f>Systemblatt!$E$5:$E$38</xm:f>
          </x14:formula1>
          <xm:sqref>I16:I27 AE10:AE27 AC10:AC27 T10:T27 N14:Q27 N12:Q12 N13</xm:sqref>
        </x14:dataValidation>
        <x14:dataValidation type="list" allowBlank="1" showInputMessage="1" showErrorMessage="1" xr:uid="{3FABA755-9980-44CD-8D94-7BD6FFAEC218}">
          <x14:formula1>
            <xm:f>Sources!$E$7:$O$7</xm:f>
          </x14:formula1>
          <xm:sqref>W10:W27</xm:sqref>
        </x14:dataValidation>
        <x14:dataValidation type="list" allowBlank="1" showInputMessage="1" showErrorMessage="1" xr:uid="{ABE00A58-CDB1-415A-BA0D-2CA56BC298C4}">
          <x14:formula1>
            <xm:f>DataBank!$K$17:$K$18</xm:f>
          </x14:formula1>
          <xm:sqref>E26</xm:sqref>
        </x14:dataValidation>
        <x14:dataValidation type="list" allowBlank="1" showInputMessage="1" showErrorMessage="1" xr:uid="{3E82DF60-A8D0-4414-AAF8-0FD998CDD874}">
          <x14:formula1>
            <xm:f>DataBank!$A$3:$A$10</xm:f>
          </x14:formula1>
          <xm:sqref>O11:Q11</xm:sqref>
        </x14:dataValidation>
        <x14:dataValidation type="list" allowBlank="1" showInputMessage="1" showErrorMessage="1" xr:uid="{D826664B-DE15-4F4F-A7D1-649389B8E410}">
          <x14:formula1>
            <xm:f>DataBank!$C$2:$C$7</xm:f>
          </x14:formula1>
          <xm:sqref>I15</xm:sqref>
        </x14:dataValidation>
        <x14:dataValidation type="list" allowBlank="1" showInputMessage="1" showErrorMessage="1" xr:uid="{766CC1A7-CD01-45DA-9028-50F24E5A5FDD}">
          <x14:formula1>
            <xm:f>Systemblatt!$E$5:$E$11</xm:f>
          </x14:formula1>
          <xm:sqref>K16:K17</xm:sqref>
        </x14:dataValidation>
        <x14:dataValidation type="list" allowBlank="1" showInputMessage="1" showErrorMessage="1" xr:uid="{7FEE0DEC-DC76-4753-B00F-E27F6697BB90}">
          <x14:formula1>
            <xm:f>DataBank!$A$3:$A$4</xm:f>
          </x14:formula1>
          <xm:sqref>AB10 AD10</xm:sqref>
        </x14:dataValidation>
        <x14:dataValidation type="list" allowBlank="1" showInputMessage="1" showErrorMessage="1" xr:uid="{5F945875-DABB-4E90-B8D6-91BF18DCC519}">
          <x14:formula1>
            <xm:f>DataBank!$A$3:$A$5</xm:f>
          </x14:formula1>
          <xm:sqref>K15</xm:sqref>
        </x14:dataValidation>
        <x14:dataValidation type="whole" allowBlank="1" showInputMessage="1" showErrorMessage="1" xr:uid="{35187BED-73E9-43B1-8D05-30ACB7802412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EB04D-A79F-4B3E-9A61-02713E3A348C}">
  <sheetPr codeName="Tabelle46"/>
  <dimension ref="A1:AJ144"/>
  <sheetViews>
    <sheetView zoomScale="75" zoomScaleNormal="47" workbookViewId="0">
      <selection activeCell="AE13" sqref="AE13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6"/>
      <c r="AJ2" s="5"/>
    </row>
    <row r="3" spans="1:36" x14ac:dyDescent="0.35">
      <c r="A3" s="5"/>
      <c r="B3" s="5"/>
      <c r="C3" s="86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7"/>
      <c r="AJ3" s="5"/>
    </row>
    <row r="4" spans="1:36" x14ac:dyDescent="0.35">
      <c r="A4" s="5"/>
      <c r="B4" s="5"/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7"/>
      <c r="AJ4" s="5"/>
    </row>
    <row r="5" spans="1:36" x14ac:dyDescent="0.35">
      <c r="A5" s="5"/>
      <c r="B5" s="5"/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7"/>
      <c r="AJ5" s="5"/>
    </row>
    <row r="6" spans="1:36" x14ac:dyDescent="0.35">
      <c r="A6" s="5"/>
      <c r="B6" s="5"/>
      <c r="C6" s="86"/>
      <c r="D6" s="343"/>
      <c r="E6" s="343"/>
      <c r="F6" s="5"/>
      <c r="G6" s="5"/>
      <c r="H6" s="343"/>
      <c r="I6" s="343"/>
      <c r="J6" s="15"/>
      <c r="K6" s="15"/>
      <c r="L6" s="5"/>
      <c r="M6" s="343"/>
      <c r="N6" s="343"/>
      <c r="O6" s="343"/>
      <c r="P6" s="343"/>
      <c r="Q6" s="5"/>
      <c r="R6" s="5"/>
      <c r="S6" s="350"/>
      <c r="T6" s="350"/>
      <c r="U6" s="350"/>
      <c r="V6" s="350"/>
      <c r="W6" s="350"/>
      <c r="X6" s="350"/>
      <c r="Y6" s="350"/>
      <c r="Z6" s="350"/>
      <c r="AA6" s="350"/>
      <c r="AB6" s="350"/>
      <c r="AC6" s="350"/>
      <c r="AD6" s="350"/>
      <c r="AE6" s="350"/>
      <c r="AF6" s="350"/>
      <c r="AG6" s="5"/>
      <c r="AH6" s="5"/>
      <c r="AI6" s="87"/>
      <c r="AJ6" s="5"/>
    </row>
    <row r="7" spans="1:36" ht="15" thickBot="1" x14ac:dyDescent="0.4">
      <c r="A7" s="5"/>
      <c r="B7" s="5"/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7"/>
      <c r="AJ7" s="5"/>
    </row>
    <row r="8" spans="1:36" ht="24" thickBot="1" x14ac:dyDescent="0.6">
      <c r="A8" s="5"/>
      <c r="B8" s="5"/>
      <c r="C8" s="86"/>
      <c r="D8" s="344" t="s">
        <v>52</v>
      </c>
      <c r="E8" s="345"/>
      <c r="F8" s="346"/>
      <c r="G8" s="5"/>
      <c r="H8" s="347" t="s">
        <v>53</v>
      </c>
      <c r="I8" s="348"/>
      <c r="J8" s="349"/>
      <c r="K8" s="16"/>
      <c r="L8" s="5"/>
      <c r="M8" s="357" t="s">
        <v>72</v>
      </c>
      <c r="N8" s="358"/>
      <c r="O8" s="358"/>
      <c r="P8" s="358"/>
      <c r="Q8" s="359"/>
      <c r="R8" s="5"/>
      <c r="S8" s="351" t="s">
        <v>78</v>
      </c>
      <c r="T8" s="352"/>
      <c r="U8" s="353"/>
      <c r="V8" s="12"/>
      <c r="W8" s="354" t="s">
        <v>108</v>
      </c>
      <c r="X8" s="355"/>
      <c r="Y8" s="355"/>
      <c r="Z8" s="356"/>
      <c r="AA8" s="11"/>
      <c r="AB8" s="354" t="s">
        <v>85</v>
      </c>
      <c r="AC8" s="355"/>
      <c r="AD8" s="355"/>
      <c r="AE8" s="355"/>
      <c r="AF8" s="356"/>
      <c r="AG8" s="5"/>
      <c r="AH8" s="5"/>
      <c r="AI8" s="87"/>
      <c r="AJ8" s="5"/>
    </row>
    <row r="9" spans="1:36" ht="21.5" thickBot="1" x14ac:dyDescent="0.55000000000000004">
      <c r="A9" s="5"/>
      <c r="B9" s="5"/>
      <c r="C9" s="86"/>
      <c r="D9" s="73" t="s">
        <v>32</v>
      </c>
      <c r="E9" s="213" t="s">
        <v>0</v>
      </c>
      <c r="F9" s="216" t="s">
        <v>181</v>
      </c>
      <c r="G9" s="5"/>
      <c r="H9" s="74" t="s">
        <v>32</v>
      </c>
      <c r="I9" s="74" t="s">
        <v>54</v>
      </c>
      <c r="J9" s="74" t="s">
        <v>181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 t="s">
        <v>181</v>
      </c>
      <c r="S9" s="85" t="s">
        <v>79</v>
      </c>
      <c r="T9" s="85" t="s">
        <v>35</v>
      </c>
      <c r="U9" s="85" t="s">
        <v>80</v>
      </c>
      <c r="V9" s="13"/>
      <c r="W9" s="85" t="s">
        <v>104</v>
      </c>
      <c r="X9" s="200" t="s">
        <v>162</v>
      </c>
      <c r="Y9" s="200" t="s">
        <v>163</v>
      </c>
      <c r="Z9" s="201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5"/>
      <c r="AH9" s="5"/>
      <c r="AI9" s="87"/>
      <c r="AJ9" s="5"/>
    </row>
    <row r="10" spans="1:36" ht="18.5" x14ac:dyDescent="0.45">
      <c r="A10" s="5"/>
      <c r="B10" s="5"/>
      <c r="C10" s="86"/>
      <c r="D10" s="67" t="s">
        <v>1</v>
      </c>
      <c r="E10" s="68" t="s">
        <v>237</v>
      </c>
      <c r="F10" s="214" t="s">
        <v>182</v>
      </c>
      <c r="G10" s="5"/>
      <c r="H10" s="67" t="s">
        <v>2</v>
      </c>
      <c r="I10" s="68"/>
      <c r="J10" s="217" t="s">
        <v>182</v>
      </c>
      <c r="K10" s="5"/>
      <c r="L10" s="5"/>
      <c r="M10" s="67" t="s">
        <v>75</v>
      </c>
      <c r="N10" s="251">
        <v>7</v>
      </c>
      <c r="O10" s="179"/>
      <c r="P10" s="180"/>
      <c r="Q10" s="181"/>
      <c r="R10" s="5" t="s">
        <v>198</v>
      </c>
      <c r="S10" s="103">
        <v>330</v>
      </c>
      <c r="T10" s="104" t="s">
        <v>173</v>
      </c>
      <c r="U10" s="105">
        <v>1</v>
      </c>
      <c r="V10" s="84"/>
      <c r="W10" s="138">
        <v>44</v>
      </c>
      <c r="X10" s="83">
        <v>330</v>
      </c>
      <c r="Y10" s="139"/>
      <c r="Z10" s="137"/>
      <c r="AA10" s="15"/>
      <c r="AB10" s="136" t="s">
        <v>12</v>
      </c>
      <c r="AC10" s="83" t="s">
        <v>176</v>
      </c>
      <c r="AD10" s="139" t="s">
        <v>12</v>
      </c>
      <c r="AE10" s="83" t="s">
        <v>234</v>
      </c>
      <c r="AF10" s="137">
        <v>10</v>
      </c>
      <c r="AG10" s="5"/>
      <c r="AH10" s="5"/>
      <c r="AI10" s="87"/>
      <c r="AJ10" s="5"/>
    </row>
    <row r="11" spans="1:36" ht="19" thickBot="1" x14ac:dyDescent="0.5">
      <c r="A11" s="5"/>
      <c r="B11" s="5"/>
      <c r="C11" s="86"/>
      <c r="D11" s="69" t="s">
        <v>3</v>
      </c>
      <c r="E11" s="70">
        <v>230</v>
      </c>
      <c r="F11" s="214" t="s">
        <v>182</v>
      </c>
      <c r="G11" s="5"/>
      <c r="H11" s="69" t="s">
        <v>67</v>
      </c>
      <c r="I11" s="105">
        <v>2</v>
      </c>
      <c r="J11" s="214" t="s">
        <v>191</v>
      </c>
      <c r="K11" s="5"/>
      <c r="L11" s="5"/>
      <c r="M11" s="76" t="s">
        <v>76</v>
      </c>
      <c r="N11" s="252" t="s">
        <v>12</v>
      </c>
      <c r="O11" s="125"/>
      <c r="P11" s="79"/>
      <c r="Q11" s="127"/>
      <c r="R11" s="5" t="s">
        <v>192</v>
      </c>
      <c r="S11" s="103">
        <v>330</v>
      </c>
      <c r="T11" s="104" t="s">
        <v>234</v>
      </c>
      <c r="U11" s="105">
        <v>1</v>
      </c>
      <c r="V11" s="84"/>
      <c r="W11" s="109"/>
      <c r="X11" s="75"/>
      <c r="Y11" s="106"/>
      <c r="Z11" s="108"/>
      <c r="AA11" s="15"/>
      <c r="AB11" s="107"/>
      <c r="AC11" s="75" t="s">
        <v>177</v>
      </c>
      <c r="AD11" s="106"/>
      <c r="AE11" s="75"/>
      <c r="AF11" s="108"/>
      <c r="AG11" s="5"/>
      <c r="AH11" s="5"/>
      <c r="AI11" s="87"/>
      <c r="AJ11" s="5"/>
    </row>
    <row r="12" spans="1:36" ht="18.5" x14ac:dyDescent="0.45">
      <c r="A12" s="5"/>
      <c r="B12" s="5"/>
      <c r="C12" s="86"/>
      <c r="D12" s="69" t="s">
        <v>42</v>
      </c>
      <c r="E12" s="202"/>
      <c r="F12" s="214" t="s">
        <v>182</v>
      </c>
      <c r="G12" s="5"/>
      <c r="H12" s="69" t="s">
        <v>68</v>
      </c>
      <c r="I12" s="105">
        <v>10</v>
      </c>
      <c r="J12" s="214" t="str">
        <f>J15</f>
        <v>t/h</v>
      </c>
      <c r="K12" s="5"/>
      <c r="L12" s="5"/>
      <c r="M12" s="248" t="s">
        <v>77</v>
      </c>
      <c r="N12" s="251" t="s">
        <v>175</v>
      </c>
      <c r="O12" s="179"/>
      <c r="P12" s="180"/>
      <c r="Q12" s="181"/>
      <c r="R12" s="5"/>
      <c r="S12" s="126"/>
      <c r="T12" s="125"/>
      <c r="U12" s="127"/>
      <c r="V12" s="84"/>
      <c r="W12" s="109"/>
      <c r="X12" s="75"/>
      <c r="Y12" s="44"/>
      <c r="Z12" s="30"/>
      <c r="AA12" s="42"/>
      <c r="AB12" s="51"/>
      <c r="AC12" s="75" t="s">
        <v>173</v>
      </c>
      <c r="AD12" s="44"/>
      <c r="AE12" s="75"/>
      <c r="AF12" s="108"/>
      <c r="AG12" s="5"/>
      <c r="AH12" s="5"/>
      <c r="AI12" s="87"/>
      <c r="AJ12" s="5"/>
    </row>
    <row r="13" spans="1:36" ht="18.5" x14ac:dyDescent="0.45">
      <c r="A13" s="5"/>
      <c r="B13" s="5"/>
      <c r="C13" s="86"/>
      <c r="D13" s="69" t="s">
        <v>56</v>
      </c>
      <c r="F13" s="214" t="s">
        <v>182</v>
      </c>
      <c r="G13" s="5"/>
      <c r="H13" s="69" t="s">
        <v>69</v>
      </c>
      <c r="I13" s="105">
        <v>0.1</v>
      </c>
      <c r="J13" s="214" t="s">
        <v>182</v>
      </c>
      <c r="K13" s="5"/>
      <c r="L13" s="5"/>
      <c r="M13" s="249"/>
      <c r="N13" s="253" t="s">
        <v>176</v>
      </c>
      <c r="O13" s="75"/>
      <c r="P13" s="75"/>
      <c r="Q13" s="70"/>
      <c r="R13" s="5"/>
      <c r="S13" s="119"/>
      <c r="T13" s="120"/>
      <c r="U13" s="121"/>
      <c r="V13" s="42"/>
      <c r="W13" s="109"/>
      <c r="X13" s="75"/>
      <c r="Y13" s="44"/>
      <c r="Z13" s="30"/>
      <c r="AA13" s="42"/>
      <c r="AB13" s="51"/>
      <c r="AC13" s="75" t="s">
        <v>175</v>
      </c>
      <c r="AD13" s="44"/>
      <c r="AE13" s="75"/>
      <c r="AF13" s="108"/>
      <c r="AG13" s="5"/>
      <c r="AH13" s="5"/>
      <c r="AI13" s="87"/>
      <c r="AJ13" s="5"/>
    </row>
    <row r="14" spans="1:36" ht="18.5" x14ac:dyDescent="0.45">
      <c r="A14" s="5"/>
      <c r="B14" s="5"/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>
        <v>2018</v>
      </c>
      <c r="J14" s="214" t="s">
        <v>194</v>
      </c>
      <c r="K14" s="5"/>
      <c r="L14" s="5"/>
      <c r="M14" s="250"/>
      <c r="N14" s="253" t="s">
        <v>177</v>
      </c>
      <c r="O14" s="79"/>
      <c r="P14" s="79"/>
      <c r="Q14" s="82"/>
      <c r="R14" s="5"/>
      <c r="S14" s="51"/>
      <c r="T14" s="75"/>
      <c r="U14" s="30"/>
      <c r="V14" s="42"/>
      <c r="W14" s="109"/>
      <c r="X14" s="75"/>
      <c r="Y14" s="44"/>
      <c r="Z14" s="30"/>
      <c r="AA14" s="42"/>
      <c r="AB14" s="51"/>
      <c r="AC14" s="75"/>
      <c r="AD14" s="44"/>
      <c r="AE14" s="75"/>
      <c r="AF14" s="108"/>
      <c r="AG14" s="5"/>
      <c r="AH14" s="5"/>
      <c r="AI14" s="87"/>
      <c r="AJ14" s="5"/>
    </row>
    <row r="15" spans="1:36" ht="19" thickBot="1" x14ac:dyDescent="0.5">
      <c r="A15" s="5"/>
      <c r="B15" s="5"/>
      <c r="C15" s="86"/>
      <c r="D15" s="69" t="s">
        <v>58</v>
      </c>
      <c r="E15" s="70">
        <v>2.6</v>
      </c>
      <c r="F15" s="214" t="s">
        <v>182</v>
      </c>
      <c r="G15" s="5"/>
      <c r="H15" s="260" t="s">
        <v>71</v>
      </c>
      <c r="I15" s="70" t="s">
        <v>12</v>
      </c>
      <c r="J15" s="214" t="s">
        <v>192</v>
      </c>
      <c r="K15" s="5"/>
      <c r="L15" s="5"/>
      <c r="M15" s="250"/>
      <c r="N15" s="244" t="s">
        <v>173</v>
      </c>
      <c r="O15" s="79"/>
      <c r="P15" s="79"/>
      <c r="Q15" s="82"/>
      <c r="R15" s="5"/>
      <c r="S15" s="51"/>
      <c r="T15" s="75"/>
      <c r="U15" s="30"/>
      <c r="V15" s="42"/>
      <c r="W15" s="89"/>
      <c r="X15" s="15"/>
      <c r="Y15" s="15"/>
      <c r="Z15" s="66"/>
      <c r="AA15" s="15"/>
      <c r="AB15" s="109"/>
      <c r="AC15" s="75"/>
      <c r="AD15" s="75"/>
      <c r="AE15" s="75"/>
      <c r="AF15" s="108"/>
      <c r="AG15" s="5"/>
      <c r="AH15" s="5"/>
      <c r="AI15" s="87"/>
      <c r="AJ15" s="5"/>
    </row>
    <row r="16" spans="1:36" ht="19" thickBot="1" x14ac:dyDescent="0.5">
      <c r="A16" s="5"/>
      <c r="B16" s="5"/>
      <c r="C16" s="86"/>
      <c r="D16" s="69" t="s">
        <v>59</v>
      </c>
      <c r="E16" s="70">
        <v>1.44</v>
      </c>
      <c r="F16" s="214" t="s">
        <v>182</v>
      </c>
      <c r="G16" s="5"/>
      <c r="H16" s="241" t="s">
        <v>55</v>
      </c>
      <c r="I16" s="68" t="s">
        <v>177</v>
      </c>
      <c r="J16" s="217" t="s">
        <v>182</v>
      </c>
      <c r="K16" s="5"/>
      <c r="L16" s="5"/>
      <c r="M16" s="250"/>
      <c r="N16" s="110"/>
      <c r="O16" s="79"/>
      <c r="P16" s="79"/>
      <c r="Q16" s="82"/>
      <c r="R16" s="5"/>
      <c r="S16" s="109"/>
      <c r="T16" s="75"/>
      <c r="U16" s="70"/>
      <c r="V16" s="15"/>
      <c r="W16" s="89"/>
      <c r="X16" s="15"/>
      <c r="Y16" s="15"/>
      <c r="Z16" s="66"/>
      <c r="AA16" s="15"/>
      <c r="AB16" s="109"/>
      <c r="AC16" s="75"/>
      <c r="AD16" s="75"/>
      <c r="AE16" s="75"/>
      <c r="AF16" s="70"/>
      <c r="AG16" s="5"/>
      <c r="AH16" s="5"/>
      <c r="AI16" s="87"/>
      <c r="AJ16" s="5"/>
    </row>
    <row r="17" spans="1:36" ht="18.5" x14ac:dyDescent="0.45">
      <c r="A17" s="5"/>
      <c r="B17" s="5"/>
      <c r="C17" s="86"/>
      <c r="D17" s="69" t="s">
        <v>60</v>
      </c>
      <c r="E17" s="70">
        <v>25</v>
      </c>
      <c r="F17" s="214" t="s">
        <v>197</v>
      </c>
      <c r="G17" s="5"/>
      <c r="H17" s="248"/>
      <c r="I17" s="70" t="s">
        <v>173</v>
      </c>
      <c r="J17" s="214" t="s">
        <v>182</v>
      </c>
      <c r="K17" s="5"/>
      <c r="L17" s="5"/>
      <c r="M17" s="250"/>
      <c r="N17" s="110"/>
      <c r="O17" s="79"/>
      <c r="P17" s="79"/>
      <c r="Q17" s="82"/>
      <c r="R17" s="5"/>
      <c r="S17" s="109"/>
      <c r="T17" s="75"/>
      <c r="U17" s="70"/>
      <c r="V17" s="15"/>
      <c r="W17" s="89"/>
      <c r="X17" s="15"/>
      <c r="Y17" s="15"/>
      <c r="Z17" s="66"/>
      <c r="AA17" s="15"/>
      <c r="AB17" s="109"/>
      <c r="AC17" s="75"/>
      <c r="AD17" s="75"/>
      <c r="AE17" s="75"/>
      <c r="AF17" s="70"/>
      <c r="AG17" s="5"/>
      <c r="AH17" s="5"/>
      <c r="AI17" s="87"/>
      <c r="AJ17" s="5"/>
    </row>
    <row r="18" spans="1:36" ht="18.5" x14ac:dyDescent="0.45">
      <c r="A18" s="5"/>
      <c r="B18" s="5"/>
      <c r="C18" s="86"/>
      <c r="D18" s="71" t="s">
        <v>61</v>
      </c>
      <c r="E18" s="70">
        <v>25</v>
      </c>
      <c r="F18" s="214" t="s">
        <v>197</v>
      </c>
      <c r="G18" s="5"/>
      <c r="H18" s="250"/>
      <c r="I18" s="70" t="s">
        <v>175</v>
      </c>
      <c r="J18" s="214" t="s">
        <v>182</v>
      </c>
      <c r="K18" s="5"/>
      <c r="L18" s="5"/>
      <c r="M18" s="250"/>
      <c r="N18" s="110"/>
      <c r="O18" s="79"/>
      <c r="P18" s="79"/>
      <c r="Q18" s="82"/>
      <c r="R18" s="5"/>
      <c r="S18" s="109"/>
      <c r="T18" s="75"/>
      <c r="U18" s="70"/>
      <c r="V18" s="15"/>
      <c r="W18" s="89"/>
      <c r="X18" s="15"/>
      <c r="Y18" s="15"/>
      <c r="Z18" s="66"/>
      <c r="AA18" s="15"/>
      <c r="AB18" s="109"/>
      <c r="AC18" s="75"/>
      <c r="AD18" s="75"/>
      <c r="AE18" s="75"/>
      <c r="AF18" s="70"/>
      <c r="AG18" s="5"/>
      <c r="AH18" s="5"/>
      <c r="AI18" s="87"/>
      <c r="AJ18" s="5"/>
    </row>
    <row r="19" spans="1:36" ht="18.5" x14ac:dyDescent="0.45">
      <c r="A19" s="5"/>
      <c r="B19" s="5"/>
      <c r="C19" s="86"/>
      <c r="D19" s="69" t="s">
        <v>62</v>
      </c>
      <c r="E19" s="70"/>
      <c r="F19" s="214" t="s">
        <v>197</v>
      </c>
      <c r="G19" s="5"/>
      <c r="H19" s="250"/>
      <c r="I19" s="70" t="s">
        <v>176</v>
      </c>
      <c r="J19" s="214" t="s">
        <v>182</v>
      </c>
      <c r="K19" s="5"/>
      <c r="L19" s="5"/>
      <c r="M19" s="250"/>
      <c r="N19" s="110"/>
      <c r="O19" s="79"/>
      <c r="P19" s="79"/>
      <c r="Q19" s="82"/>
      <c r="R19" s="5"/>
      <c r="S19" s="109"/>
      <c r="T19" s="75"/>
      <c r="U19" s="70"/>
      <c r="V19" s="15"/>
      <c r="W19" s="89"/>
      <c r="X19" s="15"/>
      <c r="Y19" s="15"/>
      <c r="Z19" s="66"/>
      <c r="AA19" s="15"/>
      <c r="AB19" s="109"/>
      <c r="AC19" s="75"/>
      <c r="AD19" s="75"/>
      <c r="AE19" s="75"/>
      <c r="AF19" s="70"/>
      <c r="AG19" s="5"/>
      <c r="AH19" s="5"/>
      <c r="AI19" s="87"/>
      <c r="AJ19" s="5"/>
    </row>
    <row r="20" spans="1:36" ht="18.5" x14ac:dyDescent="0.45">
      <c r="A20" s="5"/>
      <c r="B20" s="5"/>
      <c r="C20" s="86"/>
      <c r="D20" s="71" t="s">
        <v>63</v>
      </c>
      <c r="E20" s="70"/>
      <c r="F20" s="214" t="s">
        <v>197</v>
      </c>
      <c r="G20" s="5"/>
      <c r="H20" s="250"/>
      <c r="I20" s="70"/>
      <c r="J20" s="214" t="s">
        <v>182</v>
      </c>
      <c r="K20" s="5"/>
      <c r="L20" s="5"/>
      <c r="M20" s="245"/>
      <c r="N20" s="110"/>
      <c r="O20" s="79"/>
      <c r="P20" s="79"/>
      <c r="Q20" s="82"/>
      <c r="R20" s="5"/>
      <c r="S20" s="109"/>
      <c r="T20" s="75"/>
      <c r="U20" s="70"/>
      <c r="V20" s="15"/>
      <c r="W20" s="89"/>
      <c r="X20" s="15"/>
      <c r="Y20" s="15"/>
      <c r="Z20" s="66"/>
      <c r="AA20" s="15"/>
      <c r="AB20" s="109"/>
      <c r="AC20" s="75"/>
      <c r="AD20" s="75"/>
      <c r="AE20" s="75"/>
      <c r="AF20" s="70"/>
      <c r="AG20" s="5"/>
      <c r="AH20" s="5"/>
      <c r="AI20" s="87"/>
      <c r="AJ20" s="5"/>
    </row>
    <row r="21" spans="1:36" ht="18.5" x14ac:dyDescent="0.45">
      <c r="A21" s="5"/>
      <c r="B21" s="5"/>
      <c r="C21" s="86"/>
      <c r="D21" s="71" t="s">
        <v>64</v>
      </c>
      <c r="E21" s="143" t="s">
        <v>94</v>
      </c>
      <c r="F21" s="214" t="s">
        <v>182</v>
      </c>
      <c r="G21" s="5"/>
      <c r="H21" s="245"/>
      <c r="I21" s="70"/>
      <c r="J21" s="214" t="s">
        <v>182</v>
      </c>
      <c r="K21" s="5"/>
      <c r="L21" s="5"/>
      <c r="M21" s="245"/>
      <c r="N21" s="110"/>
      <c r="O21" s="79"/>
      <c r="P21" s="79"/>
      <c r="Q21" s="82"/>
      <c r="R21" s="5"/>
      <c r="S21" s="109"/>
      <c r="T21" s="75"/>
      <c r="U21" s="70"/>
      <c r="V21" s="15"/>
      <c r="W21" s="89"/>
      <c r="X21" s="15"/>
      <c r="Y21" s="15"/>
      <c r="Z21" s="66"/>
      <c r="AA21" s="15"/>
      <c r="AB21" s="109"/>
      <c r="AC21" s="75"/>
      <c r="AD21" s="75"/>
      <c r="AE21" s="75"/>
      <c r="AF21" s="70"/>
      <c r="AG21" s="5"/>
      <c r="AH21" s="5"/>
      <c r="AI21" s="87"/>
      <c r="AJ21" s="5"/>
    </row>
    <row r="22" spans="1:36" ht="18.5" x14ac:dyDescent="0.45">
      <c r="A22" s="5"/>
      <c r="B22" s="5"/>
      <c r="C22" s="86"/>
      <c r="D22" s="71" t="s">
        <v>65</v>
      </c>
      <c r="E22" s="70"/>
      <c r="F22" s="214" t="s">
        <v>182</v>
      </c>
      <c r="G22" s="5"/>
      <c r="H22" s="245"/>
      <c r="I22" s="70"/>
      <c r="J22" s="214" t="s">
        <v>182</v>
      </c>
      <c r="K22" s="5"/>
      <c r="L22" s="5"/>
      <c r="M22" s="245"/>
      <c r="N22" s="110"/>
      <c r="O22" s="79"/>
      <c r="P22" s="79"/>
      <c r="Q22" s="82"/>
      <c r="R22" s="5"/>
      <c r="S22" s="109"/>
      <c r="T22" s="75"/>
      <c r="U22" s="70"/>
      <c r="V22" s="15"/>
      <c r="W22" s="89"/>
      <c r="X22" s="15"/>
      <c r="Y22" s="15"/>
      <c r="Z22" s="66"/>
      <c r="AA22" s="15"/>
      <c r="AB22" s="109"/>
      <c r="AC22" s="75"/>
      <c r="AD22" s="75"/>
      <c r="AE22" s="75"/>
      <c r="AF22" s="70"/>
      <c r="AG22" s="5"/>
      <c r="AH22" s="5"/>
      <c r="AI22" s="87"/>
      <c r="AJ22" s="5"/>
    </row>
    <row r="23" spans="1:36" ht="18.5" x14ac:dyDescent="0.45">
      <c r="A23" s="5"/>
      <c r="B23" s="5"/>
      <c r="C23" s="86"/>
      <c r="D23" s="71" t="s">
        <v>66</v>
      </c>
      <c r="E23" s="70"/>
      <c r="F23" s="214" t="s">
        <v>182</v>
      </c>
      <c r="G23" s="5"/>
      <c r="H23" s="245"/>
      <c r="I23" s="82"/>
      <c r="J23" s="214" t="s">
        <v>182</v>
      </c>
      <c r="K23" s="5"/>
      <c r="L23" s="5"/>
      <c r="M23" s="245"/>
      <c r="N23" s="110"/>
      <c r="O23" s="79"/>
      <c r="P23" s="79"/>
      <c r="Q23" s="82"/>
      <c r="R23" s="5"/>
      <c r="S23" s="109"/>
      <c r="T23" s="75"/>
      <c r="U23" s="70"/>
      <c r="V23" s="15"/>
      <c r="W23" s="89"/>
      <c r="X23" s="15"/>
      <c r="Y23" s="15"/>
      <c r="Z23" s="66"/>
      <c r="AA23" s="15"/>
      <c r="AB23" s="109"/>
      <c r="AC23" s="75"/>
      <c r="AD23" s="75"/>
      <c r="AE23" s="75"/>
      <c r="AF23" s="70"/>
      <c r="AG23" s="5"/>
      <c r="AH23" s="5"/>
      <c r="AI23" s="87"/>
      <c r="AJ23" s="5"/>
    </row>
    <row r="24" spans="1:36" ht="18.5" x14ac:dyDescent="0.45">
      <c r="A24" s="5"/>
      <c r="B24" s="5"/>
      <c r="C24" s="93"/>
      <c r="D24" s="132" t="s">
        <v>86</v>
      </c>
      <c r="E24" s="92"/>
      <c r="F24" s="214" t="s">
        <v>182</v>
      </c>
      <c r="G24" s="11"/>
      <c r="H24" s="245"/>
      <c r="I24" s="82"/>
      <c r="J24" s="214" t="s">
        <v>182</v>
      </c>
      <c r="K24" s="11"/>
      <c r="L24" s="11"/>
      <c r="M24" s="245"/>
      <c r="N24" s="110"/>
      <c r="O24" s="79"/>
      <c r="P24" s="79"/>
      <c r="Q24" s="82"/>
      <c r="R24" s="5"/>
      <c r="S24" s="109"/>
      <c r="T24" s="75"/>
      <c r="U24" s="70"/>
      <c r="V24" s="15"/>
      <c r="W24" s="89"/>
      <c r="X24" s="15"/>
      <c r="Y24" s="15"/>
      <c r="Z24" s="66"/>
      <c r="AA24" s="15"/>
      <c r="AB24" s="109"/>
      <c r="AC24" s="75"/>
      <c r="AD24" s="75"/>
      <c r="AE24" s="75"/>
      <c r="AF24" s="70"/>
      <c r="AG24" s="5"/>
      <c r="AH24" s="5"/>
      <c r="AI24" s="87"/>
      <c r="AJ24" s="5"/>
    </row>
    <row r="25" spans="1:36" ht="18.5" x14ac:dyDescent="0.45">
      <c r="A25" s="5"/>
      <c r="B25" s="5"/>
      <c r="C25" s="93"/>
      <c r="D25" s="132" t="s">
        <v>87</v>
      </c>
      <c r="E25" s="92"/>
      <c r="F25" s="214" t="s">
        <v>182</v>
      </c>
      <c r="G25" s="11"/>
      <c r="H25" s="245"/>
      <c r="I25" s="82"/>
      <c r="J25" s="214" t="s">
        <v>182</v>
      </c>
      <c r="K25" s="11"/>
      <c r="L25" s="11"/>
      <c r="M25" s="245"/>
      <c r="N25" s="110"/>
      <c r="O25" s="79"/>
      <c r="P25" s="79"/>
      <c r="Q25" s="82"/>
      <c r="R25" s="5"/>
      <c r="S25" s="119"/>
      <c r="T25" s="120"/>
      <c r="U25" s="121"/>
      <c r="V25" s="5"/>
      <c r="W25" s="119"/>
      <c r="X25" s="120"/>
      <c r="Y25" s="120"/>
      <c r="Z25" s="121"/>
      <c r="AA25" s="5"/>
      <c r="AB25" s="119"/>
      <c r="AC25" s="120"/>
      <c r="AD25" s="120"/>
      <c r="AE25" s="120"/>
      <c r="AF25" s="121"/>
      <c r="AG25" s="5"/>
      <c r="AH25" s="5"/>
      <c r="AI25" s="87"/>
      <c r="AJ25" s="5"/>
    </row>
    <row r="26" spans="1:36" ht="19" thickBot="1" x14ac:dyDescent="0.5">
      <c r="A26" s="5"/>
      <c r="B26" s="5"/>
      <c r="C26" s="93"/>
      <c r="D26" s="133" t="s">
        <v>88</v>
      </c>
      <c r="E26" s="65"/>
      <c r="F26" s="215" t="s">
        <v>182</v>
      </c>
      <c r="G26" s="5"/>
      <c r="H26" s="245"/>
      <c r="I26" s="82"/>
      <c r="J26" s="214" t="s">
        <v>182</v>
      </c>
      <c r="K26" s="5"/>
      <c r="L26" s="5"/>
      <c r="M26" s="245"/>
      <c r="N26" s="110"/>
      <c r="O26" s="79"/>
      <c r="P26" s="79"/>
      <c r="Q26" s="82"/>
      <c r="R26" s="5"/>
      <c r="S26" s="119"/>
      <c r="T26" s="120"/>
      <c r="U26" s="121"/>
      <c r="V26" s="5"/>
      <c r="W26" s="119"/>
      <c r="X26" s="120"/>
      <c r="Y26" s="120"/>
      <c r="Z26" s="121"/>
      <c r="AA26" s="5"/>
      <c r="AB26" s="119"/>
      <c r="AC26" s="120"/>
      <c r="AD26" s="120"/>
      <c r="AE26" s="120"/>
      <c r="AF26" s="121"/>
      <c r="AG26" s="5"/>
      <c r="AH26" s="5"/>
      <c r="AI26" s="87"/>
      <c r="AJ26" s="5"/>
    </row>
    <row r="27" spans="1:36" ht="19" thickBot="1" x14ac:dyDescent="0.5">
      <c r="A27" s="5"/>
      <c r="B27" s="5"/>
      <c r="C27" s="93"/>
      <c r="D27" s="133" t="s">
        <v>109</v>
      </c>
      <c r="E27" s="72">
        <f>Systemblatt!C11</f>
        <v>8000</v>
      </c>
      <c r="F27" s="215" t="s">
        <v>184</v>
      </c>
      <c r="G27" s="5"/>
      <c r="H27" s="246"/>
      <c r="I27" s="81"/>
      <c r="J27" s="215" t="s">
        <v>182</v>
      </c>
      <c r="K27" s="5"/>
      <c r="L27" s="5"/>
      <c r="M27" s="246"/>
      <c r="N27" s="111"/>
      <c r="O27" s="80"/>
      <c r="P27" s="80"/>
      <c r="Q27" s="81"/>
      <c r="R27" s="5"/>
      <c r="S27" s="122"/>
      <c r="T27" s="123"/>
      <c r="U27" s="124"/>
      <c r="V27" s="5"/>
      <c r="W27" s="122"/>
      <c r="X27" s="123"/>
      <c r="Y27" s="123"/>
      <c r="Z27" s="124"/>
      <c r="AA27" s="5"/>
      <c r="AB27" s="122"/>
      <c r="AC27" s="123"/>
      <c r="AD27" s="123"/>
      <c r="AE27" s="123"/>
      <c r="AF27" s="124"/>
      <c r="AG27" s="5"/>
      <c r="AH27" s="5"/>
      <c r="AI27" s="87"/>
      <c r="AJ27" s="5"/>
    </row>
    <row r="28" spans="1:36" x14ac:dyDescent="0.35">
      <c r="A28" s="5"/>
      <c r="B28" s="5"/>
      <c r="C28" s="93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7"/>
      <c r="AJ28" s="5"/>
    </row>
    <row r="29" spans="1:36" x14ac:dyDescent="0.35">
      <c r="A29" s="5"/>
      <c r="B29" s="5"/>
      <c r="C29" s="93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7"/>
      <c r="AJ29" s="5"/>
    </row>
    <row r="30" spans="1:36" x14ac:dyDescent="0.35">
      <c r="A30" s="5"/>
      <c r="B30" s="5"/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7"/>
      <c r="AJ30" s="5"/>
    </row>
    <row r="31" spans="1:36" x14ac:dyDescent="0.35">
      <c r="A31" s="5"/>
      <c r="B31" s="5"/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7"/>
      <c r="AJ31" s="5"/>
    </row>
    <row r="32" spans="1:36" x14ac:dyDescent="0.35">
      <c r="A32" s="5"/>
      <c r="B32" s="5"/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7"/>
      <c r="AJ32" s="5"/>
    </row>
    <row r="33" spans="1:36" x14ac:dyDescent="0.35">
      <c r="A33" s="5"/>
      <c r="B33" s="5"/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7"/>
      <c r="AJ33" s="5"/>
    </row>
    <row r="34" spans="1:36" x14ac:dyDescent="0.35">
      <c r="A34" s="5"/>
      <c r="B34" s="5"/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7"/>
      <c r="AJ34" s="5"/>
    </row>
    <row r="35" spans="1:36" x14ac:dyDescent="0.35">
      <c r="A35" s="5"/>
      <c r="B35" s="5"/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7"/>
      <c r="AJ35" s="5"/>
    </row>
    <row r="36" spans="1:36" x14ac:dyDescent="0.35">
      <c r="A36" s="5"/>
      <c r="B36" s="5"/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7"/>
      <c r="AJ36" s="5"/>
    </row>
    <row r="37" spans="1:36" x14ac:dyDescent="0.35">
      <c r="A37" s="5"/>
      <c r="B37" s="5"/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7"/>
      <c r="AJ37" s="5"/>
    </row>
    <row r="38" spans="1:36" x14ac:dyDescent="0.35">
      <c r="A38" s="5"/>
      <c r="B38" s="5"/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7"/>
      <c r="AJ38" s="5"/>
    </row>
    <row r="39" spans="1:36" x14ac:dyDescent="0.35">
      <c r="A39" s="5"/>
      <c r="B39" s="5"/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7"/>
      <c r="AJ39" s="5"/>
    </row>
    <row r="40" spans="1:36" x14ac:dyDescent="0.35">
      <c r="A40" s="5"/>
      <c r="B40" s="5"/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7"/>
      <c r="AJ40" s="5"/>
    </row>
    <row r="41" spans="1:36" x14ac:dyDescent="0.35">
      <c r="A41" s="5"/>
      <c r="B41" s="5"/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7"/>
      <c r="AJ41" s="5"/>
    </row>
    <row r="42" spans="1:36" x14ac:dyDescent="0.35">
      <c r="A42" s="5"/>
      <c r="B42" s="5"/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7"/>
      <c r="AJ42" s="5"/>
    </row>
    <row r="43" spans="1:36" x14ac:dyDescent="0.35">
      <c r="A43" s="5"/>
      <c r="B43" s="5"/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7"/>
      <c r="AJ43" s="5"/>
    </row>
    <row r="44" spans="1:36" x14ac:dyDescent="0.35">
      <c r="A44" s="5"/>
      <c r="B44" s="5"/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7"/>
      <c r="AJ44" s="5"/>
    </row>
    <row r="45" spans="1:36" x14ac:dyDescent="0.35">
      <c r="A45" s="5"/>
      <c r="B45" s="5"/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7"/>
      <c r="AJ45" s="5"/>
    </row>
    <row r="46" spans="1:36" x14ac:dyDescent="0.35">
      <c r="A46" s="5"/>
      <c r="B46" s="5"/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7"/>
      <c r="AJ46" s="5"/>
    </row>
    <row r="47" spans="1:36" ht="18.5" x14ac:dyDescent="0.35">
      <c r="A47" s="5"/>
      <c r="B47" s="5"/>
      <c r="C47" s="86"/>
      <c r="D47" s="342"/>
      <c r="E47" s="342"/>
      <c r="F47" s="342"/>
      <c r="G47" s="342"/>
      <c r="H47" s="342"/>
      <c r="I47" s="342"/>
      <c r="J47" s="342"/>
      <c r="K47" s="342"/>
      <c r="L47" s="342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7"/>
      <c r="AJ47" s="5"/>
    </row>
    <row r="48" spans="1:36" ht="15.5" x14ac:dyDescent="0.35">
      <c r="A48" s="5"/>
      <c r="B48" s="5"/>
      <c r="C48" s="86"/>
      <c r="D48" s="97"/>
      <c r="E48" s="97"/>
      <c r="F48" s="97"/>
      <c r="G48" s="97"/>
      <c r="H48" s="97"/>
      <c r="I48" s="97"/>
      <c r="J48" s="97"/>
      <c r="K48" s="97"/>
      <c r="L48" s="97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7"/>
      <c r="AJ48" s="5"/>
    </row>
    <row r="49" spans="1:36" ht="15.5" x14ac:dyDescent="0.35">
      <c r="A49" s="5"/>
      <c r="B49" s="5"/>
      <c r="C49" s="86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7"/>
      <c r="AJ49" s="5"/>
    </row>
    <row r="50" spans="1:36" ht="15.5" x14ac:dyDescent="0.35">
      <c r="A50" s="5"/>
      <c r="B50" s="5"/>
      <c r="C50" s="86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7"/>
      <c r="AJ50" s="5"/>
    </row>
    <row r="51" spans="1:36" ht="15.5" x14ac:dyDescent="0.35">
      <c r="A51" s="5"/>
      <c r="B51" s="5"/>
      <c r="C51" s="86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7"/>
      <c r="AJ51" s="5"/>
    </row>
    <row r="52" spans="1:36" ht="15.5" x14ac:dyDescent="0.35">
      <c r="A52" s="5"/>
      <c r="B52" s="5"/>
      <c r="C52" s="86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7"/>
      <c r="AJ52" s="5"/>
    </row>
    <row r="53" spans="1:36" ht="15.5" x14ac:dyDescent="0.35">
      <c r="A53" s="5"/>
      <c r="B53" s="5"/>
      <c r="C53" s="86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7"/>
      <c r="AJ53" s="5"/>
    </row>
    <row r="54" spans="1:36" ht="15.5" x14ac:dyDescent="0.35">
      <c r="A54" s="5"/>
      <c r="B54" s="5"/>
      <c r="C54" s="86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7"/>
      <c r="AJ54" s="5"/>
    </row>
    <row r="55" spans="1:36" x14ac:dyDescent="0.35">
      <c r="A55" s="5"/>
      <c r="B55" s="5"/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7"/>
      <c r="AJ55" s="5"/>
    </row>
    <row r="56" spans="1:36" x14ac:dyDescent="0.35">
      <c r="A56" s="5"/>
      <c r="B56" s="5"/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7"/>
      <c r="AJ56" s="5"/>
    </row>
    <row r="57" spans="1:36" x14ac:dyDescent="0.35">
      <c r="A57" s="5"/>
      <c r="B57" s="5"/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7"/>
      <c r="AJ57" s="5"/>
    </row>
    <row r="58" spans="1:36" x14ac:dyDescent="0.35">
      <c r="A58" s="5"/>
      <c r="B58" s="5"/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7"/>
      <c r="AJ58" s="5"/>
    </row>
    <row r="59" spans="1:36" x14ac:dyDescent="0.35">
      <c r="A59" s="5"/>
      <c r="B59" s="5"/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7"/>
      <c r="AJ59" s="5"/>
    </row>
    <row r="60" spans="1:36" x14ac:dyDescent="0.35">
      <c r="A60" s="5"/>
      <c r="B60" s="5"/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7"/>
      <c r="AJ60" s="5"/>
    </row>
    <row r="61" spans="1:36" x14ac:dyDescent="0.35">
      <c r="A61" s="5"/>
      <c r="B61" s="5"/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7"/>
      <c r="AJ61" s="5"/>
    </row>
    <row r="62" spans="1:36" x14ac:dyDescent="0.35">
      <c r="A62" s="5"/>
      <c r="B62" s="5"/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7"/>
      <c r="AJ62" s="5"/>
    </row>
    <row r="63" spans="1:36" x14ac:dyDescent="0.35">
      <c r="A63" s="5"/>
      <c r="B63" s="5"/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7"/>
      <c r="AJ63" s="5"/>
    </row>
    <row r="64" spans="1:36" x14ac:dyDescent="0.35">
      <c r="A64" s="5"/>
      <c r="B64" s="5"/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7"/>
      <c r="AJ64" s="5"/>
    </row>
    <row r="65" spans="1:36" x14ac:dyDescent="0.35">
      <c r="A65" s="5"/>
      <c r="B65" s="5"/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7"/>
      <c r="AJ65" s="5"/>
    </row>
    <row r="66" spans="1:36" x14ac:dyDescent="0.35">
      <c r="A66" s="5"/>
      <c r="B66" s="5"/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7"/>
      <c r="AJ66" s="5"/>
    </row>
    <row r="67" spans="1:36" x14ac:dyDescent="0.35">
      <c r="A67" s="5"/>
      <c r="B67" s="5"/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7"/>
      <c r="AJ67" s="5"/>
    </row>
    <row r="68" spans="1:36" x14ac:dyDescent="0.35">
      <c r="A68" s="5"/>
      <c r="B68" s="5"/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7"/>
      <c r="AJ68" s="5"/>
    </row>
    <row r="69" spans="1:36" ht="15" thickBot="1" x14ac:dyDescent="0.4">
      <c r="A69" s="5"/>
      <c r="B69" s="5"/>
      <c r="C69" s="78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8"/>
      <c r="AE69" s="88"/>
      <c r="AF69" s="88"/>
      <c r="AG69" s="88"/>
      <c r="AH69" s="88"/>
      <c r="AI69" s="65"/>
      <c r="AJ69" s="5"/>
    </row>
    <row r="70" spans="1:36" x14ac:dyDescent="0.35">
      <c r="A70" s="5"/>
      <c r="B70" s="5"/>
      <c r="C70" s="91"/>
      <c r="D70" s="91"/>
      <c r="E70" s="91"/>
      <c r="F70" s="91"/>
      <c r="G70" s="91"/>
      <c r="H70" s="91"/>
      <c r="I70" s="91"/>
      <c r="J70" s="91"/>
      <c r="K70" s="91"/>
      <c r="L70" s="91"/>
      <c r="M70" s="91"/>
      <c r="N70" s="91"/>
      <c r="O70" s="91"/>
      <c r="P70" s="91"/>
      <c r="Q70" s="91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23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0098EB5-AE41-4C7B-AD87-033F9C59C1FE}">
          <x14:formula1>
            <xm:f>DataBank!$A$3:$A$11</xm:f>
          </x14:formula1>
          <xm:sqref>N11</xm:sqref>
        </x14:dataValidation>
        <x14:dataValidation type="list" allowBlank="1" showInputMessage="1" showErrorMessage="1" xr:uid="{35E5A50A-505A-4B7C-89CD-AC01AF1DE9E5}">
          <x14:formula1>
            <xm:f>Sources!$E$6:$O$6</xm:f>
          </x14:formula1>
          <xm:sqref>O13:Q13</xm:sqref>
        </x14:dataValidation>
        <x14:dataValidation type="list" allowBlank="1" showInputMessage="1" showErrorMessage="1" xr:uid="{64D7DD3C-F5D0-4384-92A4-4F8D2932DBB7}">
          <x14:formula1>
            <xm:f>DataBank!$B$2:$B$3</xm:f>
          </x14:formula1>
          <xm:sqref>J15</xm:sqref>
        </x14:dataValidation>
        <x14:dataValidation type="list" allowBlank="1" showInputMessage="1" showErrorMessage="1" xr:uid="{58717023-9A45-458B-A83B-5EB198048892}">
          <x14:formula1>
            <xm:f>Systemblatt!$E$5:$E$38</xm:f>
          </x14:formula1>
          <xm:sqref>N13:N27 AC10:AC27 O14:Q27 T10:T27 N12:Q12 I16:I27 AE10:AE27</xm:sqref>
        </x14:dataValidation>
        <x14:dataValidation type="list" allowBlank="1" showInputMessage="1" showErrorMessage="1" xr:uid="{60D5FE05-6E58-4AB9-A52D-00F1F10D2724}">
          <x14:formula1>
            <xm:f>Sources!$E$7:$O$7</xm:f>
          </x14:formula1>
          <xm:sqref>W10:W27</xm:sqref>
        </x14:dataValidation>
        <x14:dataValidation type="list" allowBlank="1" showInputMessage="1" showErrorMessage="1" xr:uid="{32930EDB-C386-4D36-958D-0D60E0FF837E}">
          <x14:formula1>
            <xm:f>DataBank!$K$17:$K$18</xm:f>
          </x14:formula1>
          <xm:sqref>E26</xm:sqref>
        </x14:dataValidation>
        <x14:dataValidation type="list" allowBlank="1" showInputMessage="1" showErrorMessage="1" xr:uid="{7B23CCDA-1424-48F9-B865-E243B6A50335}">
          <x14:formula1>
            <xm:f>DataBank!$A$3:$A$10</xm:f>
          </x14:formula1>
          <xm:sqref>O11:Q11</xm:sqref>
        </x14:dataValidation>
        <x14:dataValidation type="list" allowBlank="1" showInputMessage="1" showErrorMessage="1" xr:uid="{41A087E9-A03C-4839-BACD-B18A5017CDF1}">
          <x14:formula1>
            <xm:f>DataBank!$C$2:$C$7</xm:f>
          </x14:formula1>
          <xm:sqref>I15</xm:sqref>
        </x14:dataValidation>
        <x14:dataValidation type="list" allowBlank="1" showInputMessage="1" showErrorMessage="1" xr:uid="{6D43280A-8B58-44D7-9CE7-2E4308EBB4A1}">
          <x14:formula1>
            <xm:f>Systemblatt!$E$5:$E$11</xm:f>
          </x14:formula1>
          <xm:sqref>K16:K17</xm:sqref>
        </x14:dataValidation>
        <x14:dataValidation type="list" allowBlank="1" showInputMessage="1" showErrorMessage="1" xr:uid="{7A7B6AAB-43DB-4838-9F93-74FE4ED0D7F9}">
          <x14:formula1>
            <xm:f>DataBank!$A$3:$A$4</xm:f>
          </x14:formula1>
          <xm:sqref>AB10 AD10</xm:sqref>
        </x14:dataValidation>
        <x14:dataValidation type="list" allowBlank="1" showInputMessage="1" showErrorMessage="1" xr:uid="{A03C056B-E258-426B-859F-2DFE98DAA212}">
          <x14:formula1>
            <xm:f>DataBank!$A$3:$A$5</xm:f>
          </x14:formula1>
          <xm:sqref>K15</xm:sqref>
        </x14:dataValidation>
        <x14:dataValidation type="whole" allowBlank="1" showInputMessage="1" showErrorMessage="1" xr:uid="{E3E61B73-44F1-4024-878A-982A67BAF498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6F802-C7A0-4750-B6EF-E127427CAEF0}">
  <sheetPr codeName="Tabelle47"/>
  <dimension ref="A1:AJ144"/>
  <sheetViews>
    <sheetView zoomScale="75" zoomScaleNormal="47" workbookViewId="0">
      <selection activeCell="G36" sqref="G36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6"/>
      <c r="AJ2" s="5"/>
    </row>
    <row r="3" spans="1:36" x14ac:dyDescent="0.35">
      <c r="A3" s="5"/>
      <c r="B3" s="5"/>
      <c r="C3" s="86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7"/>
      <c r="AJ3" s="5"/>
    </row>
    <row r="4" spans="1:36" x14ac:dyDescent="0.35">
      <c r="A4" s="5"/>
      <c r="B4" s="5"/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7"/>
      <c r="AJ4" s="5"/>
    </row>
    <row r="5" spans="1:36" x14ac:dyDescent="0.35">
      <c r="A5" s="5"/>
      <c r="B5" s="5"/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7"/>
      <c r="AJ5" s="5"/>
    </row>
    <row r="6" spans="1:36" x14ac:dyDescent="0.35">
      <c r="A6" s="5"/>
      <c r="B6" s="5"/>
      <c r="C6" s="86"/>
      <c r="D6" s="343"/>
      <c r="E6" s="343"/>
      <c r="F6" s="5"/>
      <c r="G6" s="5"/>
      <c r="H6" s="343"/>
      <c r="I6" s="343"/>
      <c r="J6" s="15"/>
      <c r="K6" s="15"/>
      <c r="L6" s="5"/>
      <c r="M6" s="343"/>
      <c r="N6" s="343"/>
      <c r="O6" s="343"/>
      <c r="P6" s="343"/>
      <c r="Q6" s="5"/>
      <c r="R6" s="5"/>
      <c r="S6" s="350"/>
      <c r="T6" s="350"/>
      <c r="U6" s="350"/>
      <c r="V6" s="350"/>
      <c r="W6" s="350"/>
      <c r="X6" s="350"/>
      <c r="Y6" s="350"/>
      <c r="Z6" s="350"/>
      <c r="AA6" s="350"/>
      <c r="AB6" s="350"/>
      <c r="AC6" s="350"/>
      <c r="AD6" s="350"/>
      <c r="AE6" s="350"/>
      <c r="AF6" s="350"/>
      <c r="AG6" s="5"/>
      <c r="AH6" s="5"/>
      <c r="AI6" s="87"/>
      <c r="AJ6" s="5"/>
    </row>
    <row r="7" spans="1:36" ht="15" thickBot="1" x14ac:dyDescent="0.4">
      <c r="A7" s="5"/>
      <c r="B7" s="5"/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7"/>
      <c r="AJ7" s="5"/>
    </row>
    <row r="8" spans="1:36" ht="24" thickBot="1" x14ac:dyDescent="0.6">
      <c r="A8" s="5"/>
      <c r="B8" s="5"/>
      <c r="C8" s="86"/>
      <c r="D8" s="344" t="s">
        <v>52</v>
      </c>
      <c r="E8" s="345"/>
      <c r="F8" s="346"/>
      <c r="G8" s="5"/>
      <c r="H8" s="347" t="s">
        <v>53</v>
      </c>
      <c r="I8" s="348"/>
      <c r="J8" s="349"/>
      <c r="K8" s="16"/>
      <c r="L8" s="5"/>
      <c r="M8" s="357" t="s">
        <v>72</v>
      </c>
      <c r="N8" s="358"/>
      <c r="O8" s="358"/>
      <c r="P8" s="358"/>
      <c r="Q8" s="359"/>
      <c r="R8" s="5"/>
      <c r="S8" s="351" t="s">
        <v>78</v>
      </c>
      <c r="T8" s="352"/>
      <c r="U8" s="353"/>
      <c r="V8" s="12"/>
      <c r="W8" s="354" t="s">
        <v>108</v>
      </c>
      <c r="X8" s="355"/>
      <c r="Y8" s="355"/>
      <c r="Z8" s="356"/>
      <c r="AA8" s="11"/>
      <c r="AB8" s="354" t="s">
        <v>85</v>
      </c>
      <c r="AC8" s="355"/>
      <c r="AD8" s="355"/>
      <c r="AE8" s="355"/>
      <c r="AF8" s="356"/>
      <c r="AG8" s="5"/>
      <c r="AH8" s="5"/>
      <c r="AI8" s="87"/>
      <c r="AJ8" s="5"/>
    </row>
    <row r="9" spans="1:36" ht="21.5" thickBot="1" x14ac:dyDescent="0.55000000000000004">
      <c r="A9" s="5"/>
      <c r="B9" s="5"/>
      <c r="C9" s="86"/>
      <c r="D9" s="73" t="s">
        <v>32</v>
      </c>
      <c r="E9" s="213" t="s">
        <v>0</v>
      </c>
      <c r="F9" s="216" t="s">
        <v>181</v>
      </c>
      <c r="G9" s="5"/>
      <c r="H9" s="74" t="s">
        <v>32</v>
      </c>
      <c r="I9" s="74" t="s">
        <v>54</v>
      </c>
      <c r="J9" s="74" t="s">
        <v>181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 t="s">
        <v>181</v>
      </c>
      <c r="S9" s="85" t="s">
        <v>79</v>
      </c>
      <c r="T9" s="85" t="s">
        <v>35</v>
      </c>
      <c r="U9" s="85" t="s">
        <v>80</v>
      </c>
      <c r="V9" s="13"/>
      <c r="W9" s="85" t="s">
        <v>104</v>
      </c>
      <c r="X9" s="200" t="s">
        <v>162</v>
      </c>
      <c r="Y9" s="200" t="s">
        <v>163</v>
      </c>
      <c r="Z9" s="201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5"/>
      <c r="AH9" s="5"/>
      <c r="AI9" s="87"/>
      <c r="AJ9" s="5"/>
    </row>
    <row r="10" spans="1:36" ht="18.5" x14ac:dyDescent="0.45">
      <c r="A10" s="5"/>
      <c r="B10" s="5"/>
      <c r="C10" s="86"/>
      <c r="D10" s="67" t="s">
        <v>1</v>
      </c>
      <c r="E10" s="68" t="s">
        <v>238</v>
      </c>
      <c r="F10" s="214" t="s">
        <v>182</v>
      </c>
      <c r="G10" s="5"/>
      <c r="H10" s="67" t="s">
        <v>2</v>
      </c>
      <c r="I10" s="68"/>
      <c r="J10" s="217" t="s">
        <v>182</v>
      </c>
      <c r="K10" s="5"/>
      <c r="L10" s="5"/>
      <c r="M10" s="67" t="s">
        <v>75</v>
      </c>
      <c r="N10" s="179"/>
      <c r="O10" s="179">
        <v>5</v>
      </c>
      <c r="P10" s="180"/>
      <c r="Q10" s="181"/>
      <c r="R10" s="5" t="s">
        <v>198</v>
      </c>
      <c r="S10" s="103">
        <v>3000</v>
      </c>
      <c r="T10" s="104" t="s">
        <v>173</v>
      </c>
      <c r="U10" s="105">
        <v>0.95</v>
      </c>
      <c r="V10" s="84"/>
      <c r="W10" s="138">
        <v>44</v>
      </c>
      <c r="X10" s="83">
        <v>3000</v>
      </c>
      <c r="Y10" s="139">
        <v>230</v>
      </c>
      <c r="Z10" s="137"/>
      <c r="AA10" s="15"/>
      <c r="AB10" s="136"/>
      <c r="AC10" s="83"/>
      <c r="AD10" s="139"/>
      <c r="AE10" s="83"/>
      <c r="AF10" s="137"/>
      <c r="AG10" s="5"/>
      <c r="AH10" s="5"/>
      <c r="AI10" s="87"/>
      <c r="AJ10" s="5"/>
    </row>
    <row r="11" spans="1:36" ht="19" thickBot="1" x14ac:dyDescent="0.5">
      <c r="A11" s="5"/>
      <c r="B11" s="5"/>
      <c r="C11" s="86"/>
      <c r="D11" s="69" t="s">
        <v>3</v>
      </c>
      <c r="E11" s="70">
        <v>330</v>
      </c>
      <c r="F11" s="214" t="s">
        <v>182</v>
      </c>
      <c r="G11" s="5"/>
      <c r="H11" s="69" t="s">
        <v>67</v>
      </c>
      <c r="I11" s="105">
        <v>2</v>
      </c>
      <c r="J11" s="214" t="s">
        <v>191</v>
      </c>
      <c r="K11" s="5"/>
      <c r="L11" s="5"/>
      <c r="M11" s="76" t="s">
        <v>76</v>
      </c>
      <c r="N11" s="125"/>
      <c r="O11" s="125" t="s">
        <v>12</v>
      </c>
      <c r="P11" s="79"/>
      <c r="Q11" s="127"/>
      <c r="R11" s="5" t="s">
        <v>192</v>
      </c>
      <c r="S11" s="103">
        <v>230</v>
      </c>
      <c r="T11" s="104" t="s">
        <v>234</v>
      </c>
      <c r="U11" s="105">
        <v>0.85</v>
      </c>
      <c r="V11" s="84"/>
      <c r="W11" s="109"/>
      <c r="X11" s="75"/>
      <c r="Y11" s="106"/>
      <c r="Z11" s="108"/>
      <c r="AA11" s="15"/>
      <c r="AB11" s="107"/>
      <c r="AC11" s="75"/>
      <c r="AD11" s="106"/>
      <c r="AE11" s="75"/>
      <c r="AF11" s="108"/>
      <c r="AG11" s="5"/>
      <c r="AH11" s="5"/>
      <c r="AI11" s="87"/>
      <c r="AJ11" s="5"/>
    </row>
    <row r="12" spans="1:36" ht="18.5" x14ac:dyDescent="0.45">
      <c r="A12" s="5"/>
      <c r="B12" s="5"/>
      <c r="C12" s="86"/>
      <c r="D12" s="69" t="s">
        <v>42</v>
      </c>
      <c r="E12" s="202"/>
      <c r="F12" s="214" t="s">
        <v>182</v>
      </c>
      <c r="G12" s="5"/>
      <c r="H12" s="69" t="s">
        <v>68</v>
      </c>
      <c r="I12" s="265">
        <v>10</v>
      </c>
      <c r="J12" s="214" t="str">
        <f>J15</f>
        <v>t/h</v>
      </c>
      <c r="K12" s="5"/>
      <c r="L12" s="5"/>
      <c r="M12" s="248" t="s">
        <v>77</v>
      </c>
      <c r="N12" s="256"/>
      <c r="O12" s="179" t="s">
        <v>234</v>
      </c>
      <c r="P12" s="180"/>
      <c r="Q12" s="181"/>
      <c r="R12" s="5"/>
      <c r="S12" s="126"/>
      <c r="T12" s="125"/>
      <c r="U12" s="127"/>
      <c r="V12" s="84"/>
      <c r="W12" s="109"/>
      <c r="X12" s="75"/>
      <c r="Y12" s="44"/>
      <c r="Z12" s="30"/>
      <c r="AA12" s="42"/>
      <c r="AB12" s="51"/>
      <c r="AC12" s="75"/>
      <c r="AD12" s="44"/>
      <c r="AE12" s="75"/>
      <c r="AF12" s="108"/>
      <c r="AG12" s="5"/>
      <c r="AH12" s="5"/>
      <c r="AI12" s="87"/>
      <c r="AJ12" s="5"/>
    </row>
    <row r="13" spans="1:36" ht="18.5" x14ac:dyDescent="0.45">
      <c r="A13" s="5"/>
      <c r="B13" s="5"/>
      <c r="C13" s="86"/>
      <c r="D13" s="69" t="s">
        <v>56</v>
      </c>
      <c r="F13" s="214" t="s">
        <v>182</v>
      </c>
      <c r="G13" s="5"/>
      <c r="H13" s="69" t="s">
        <v>69</v>
      </c>
      <c r="I13" s="105">
        <v>0.1</v>
      </c>
      <c r="J13" s="214" t="s">
        <v>182</v>
      </c>
      <c r="K13" s="5"/>
      <c r="L13" s="5"/>
      <c r="M13" s="249"/>
      <c r="N13" s="126"/>
      <c r="O13" s="75"/>
      <c r="P13" s="75"/>
      <c r="Q13" s="70"/>
      <c r="R13" s="5"/>
      <c r="S13" s="119"/>
      <c r="T13" s="120"/>
      <c r="U13" s="121"/>
      <c r="V13" s="42"/>
      <c r="W13" s="109"/>
      <c r="X13" s="75"/>
      <c r="Y13" s="44"/>
      <c r="Z13" s="30"/>
      <c r="AA13" s="42"/>
      <c r="AB13" s="51"/>
      <c r="AC13" s="75"/>
      <c r="AD13" s="44"/>
      <c r="AE13" s="75"/>
      <c r="AF13" s="108"/>
      <c r="AG13" s="5"/>
      <c r="AH13" s="5"/>
      <c r="AI13" s="87"/>
      <c r="AJ13" s="5"/>
    </row>
    <row r="14" spans="1:36" ht="18.5" x14ac:dyDescent="0.45">
      <c r="A14" s="5"/>
      <c r="B14" s="5"/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>
        <v>2018</v>
      </c>
      <c r="J14" s="214" t="s">
        <v>194</v>
      </c>
      <c r="K14" s="5"/>
      <c r="L14" s="5"/>
      <c r="M14" s="250"/>
      <c r="N14" s="110"/>
      <c r="O14" s="79"/>
      <c r="P14" s="79"/>
      <c r="Q14" s="82"/>
      <c r="R14" s="5"/>
      <c r="S14" s="51"/>
      <c r="T14" s="75"/>
      <c r="U14" s="30"/>
      <c r="V14" s="42"/>
      <c r="W14" s="109"/>
      <c r="X14" s="75"/>
      <c r="Y14" s="44"/>
      <c r="Z14" s="30"/>
      <c r="AA14" s="42"/>
      <c r="AB14" s="51"/>
      <c r="AC14" s="75"/>
      <c r="AD14" s="44"/>
      <c r="AE14" s="75"/>
      <c r="AF14" s="108"/>
      <c r="AG14" s="5"/>
      <c r="AH14" s="5"/>
      <c r="AI14" s="87"/>
      <c r="AJ14" s="5"/>
    </row>
    <row r="15" spans="1:36" ht="19" thickBot="1" x14ac:dyDescent="0.5">
      <c r="A15" s="5"/>
      <c r="B15" s="5"/>
      <c r="C15" s="86"/>
      <c r="D15" s="69" t="s">
        <v>58</v>
      </c>
      <c r="E15" s="70">
        <v>2.6</v>
      </c>
      <c r="F15" s="214" t="s">
        <v>182</v>
      </c>
      <c r="G15" s="5"/>
      <c r="H15" s="260" t="s">
        <v>71</v>
      </c>
      <c r="I15" s="70" t="s">
        <v>12</v>
      </c>
      <c r="J15" s="214" t="s">
        <v>192</v>
      </c>
      <c r="K15" s="5"/>
      <c r="L15" s="5"/>
      <c r="M15" s="250"/>
      <c r="N15" s="110"/>
      <c r="O15" s="79"/>
      <c r="P15" s="79"/>
      <c r="Q15" s="82"/>
      <c r="R15" s="5"/>
      <c r="S15" s="51"/>
      <c r="T15" s="75"/>
      <c r="U15" s="30"/>
      <c r="V15" s="42"/>
      <c r="W15" s="89"/>
      <c r="X15" s="15"/>
      <c r="Y15" s="15"/>
      <c r="Z15" s="66"/>
      <c r="AA15" s="15"/>
      <c r="AB15" s="109"/>
      <c r="AC15" s="75"/>
      <c r="AD15" s="75"/>
      <c r="AE15" s="75"/>
      <c r="AF15" s="108"/>
      <c r="AG15" s="5"/>
      <c r="AH15" s="5"/>
      <c r="AI15" s="87"/>
      <c r="AJ15" s="5"/>
    </row>
    <row r="16" spans="1:36" ht="19" thickBot="1" x14ac:dyDescent="0.5">
      <c r="A16" s="5"/>
      <c r="B16" s="5"/>
      <c r="C16" s="86"/>
      <c r="D16" s="69" t="s">
        <v>59</v>
      </c>
      <c r="E16" s="70">
        <v>1.44</v>
      </c>
      <c r="F16" s="214" t="s">
        <v>182</v>
      </c>
      <c r="G16" s="5"/>
      <c r="H16" s="242" t="s">
        <v>55</v>
      </c>
      <c r="I16" s="243" t="s">
        <v>234</v>
      </c>
      <c r="J16" s="217" t="s">
        <v>182</v>
      </c>
      <c r="K16" s="5"/>
      <c r="L16" s="5"/>
      <c r="M16" s="250"/>
      <c r="N16" s="110"/>
      <c r="O16" s="79"/>
      <c r="P16" s="79"/>
      <c r="Q16" s="82"/>
      <c r="R16" s="5"/>
      <c r="S16" s="109"/>
      <c r="T16" s="75"/>
      <c r="U16" s="70"/>
      <c r="V16" s="15"/>
      <c r="W16" s="89"/>
      <c r="X16" s="15"/>
      <c r="Y16" s="15"/>
      <c r="Z16" s="66"/>
      <c r="AA16" s="15"/>
      <c r="AB16" s="109"/>
      <c r="AC16" s="75"/>
      <c r="AD16" s="75"/>
      <c r="AE16" s="75"/>
      <c r="AF16" s="70"/>
      <c r="AG16" s="5"/>
      <c r="AH16" s="5"/>
      <c r="AI16" s="87"/>
      <c r="AJ16" s="5"/>
    </row>
    <row r="17" spans="1:36" ht="18.5" x14ac:dyDescent="0.45">
      <c r="A17" s="5"/>
      <c r="B17" s="5"/>
      <c r="C17" s="86"/>
      <c r="D17" s="69" t="s">
        <v>60</v>
      </c>
      <c r="E17" s="70">
        <v>25</v>
      </c>
      <c r="F17" s="214" t="s">
        <v>197</v>
      </c>
      <c r="G17" s="5"/>
      <c r="H17" s="76"/>
      <c r="I17" s="244" t="s">
        <v>173</v>
      </c>
      <c r="J17" s="214" t="s">
        <v>182</v>
      </c>
      <c r="K17" s="5"/>
      <c r="L17" s="5"/>
      <c r="M17" s="250"/>
      <c r="N17" s="110"/>
      <c r="O17" s="79"/>
      <c r="P17" s="79"/>
      <c r="Q17" s="82"/>
      <c r="R17" s="5"/>
      <c r="S17" s="109"/>
      <c r="T17" s="75"/>
      <c r="U17" s="70"/>
      <c r="V17" s="15"/>
      <c r="W17" s="89"/>
      <c r="X17" s="15"/>
      <c r="Y17" s="15"/>
      <c r="Z17" s="66"/>
      <c r="AA17" s="15"/>
      <c r="AB17" s="109"/>
      <c r="AC17" s="75"/>
      <c r="AD17" s="75"/>
      <c r="AE17" s="75"/>
      <c r="AF17" s="70"/>
      <c r="AG17" s="5"/>
      <c r="AH17" s="5"/>
      <c r="AI17" s="87"/>
      <c r="AJ17" s="5"/>
    </row>
    <row r="18" spans="1:36" ht="18.5" x14ac:dyDescent="0.45">
      <c r="A18" s="5"/>
      <c r="B18" s="5"/>
      <c r="C18" s="86"/>
      <c r="D18" s="71" t="s">
        <v>61</v>
      </c>
      <c r="E18" s="70">
        <v>65</v>
      </c>
      <c r="F18" s="214" t="s">
        <v>197</v>
      </c>
      <c r="G18" s="5"/>
      <c r="H18" s="77"/>
      <c r="I18" s="244"/>
      <c r="J18" s="214" t="s">
        <v>182</v>
      </c>
      <c r="K18" s="5"/>
      <c r="L18" s="5"/>
      <c r="M18" s="250"/>
      <c r="N18" s="110"/>
      <c r="O18" s="79"/>
      <c r="P18" s="79"/>
      <c r="Q18" s="82"/>
      <c r="R18" s="5"/>
      <c r="S18" s="109"/>
      <c r="T18" s="75"/>
      <c r="U18" s="70"/>
      <c r="V18" s="15"/>
      <c r="W18" s="89"/>
      <c r="X18" s="15"/>
      <c r="Y18" s="15"/>
      <c r="Z18" s="66"/>
      <c r="AA18" s="15"/>
      <c r="AB18" s="109"/>
      <c r="AC18" s="75"/>
      <c r="AD18" s="75"/>
      <c r="AE18" s="75"/>
      <c r="AF18" s="70"/>
      <c r="AG18" s="5"/>
      <c r="AH18" s="5"/>
      <c r="AI18" s="87"/>
      <c r="AJ18" s="5"/>
    </row>
    <row r="19" spans="1:36" ht="18.5" x14ac:dyDescent="0.45">
      <c r="A19" s="5"/>
      <c r="B19" s="5"/>
      <c r="C19" s="86"/>
      <c r="D19" s="69" t="s">
        <v>62</v>
      </c>
      <c r="E19" s="70"/>
      <c r="F19" s="214" t="s">
        <v>197</v>
      </c>
      <c r="G19" s="5"/>
      <c r="H19" s="77"/>
      <c r="I19" s="244"/>
      <c r="J19" s="214" t="s">
        <v>182</v>
      </c>
      <c r="K19" s="5"/>
      <c r="L19" s="5"/>
      <c r="M19" s="250"/>
      <c r="N19" s="110"/>
      <c r="O19" s="79"/>
      <c r="P19" s="79"/>
      <c r="Q19" s="82"/>
      <c r="R19" s="5"/>
      <c r="S19" s="109"/>
      <c r="T19" s="75"/>
      <c r="U19" s="70"/>
      <c r="V19" s="15"/>
      <c r="W19" s="89"/>
      <c r="X19" s="15"/>
      <c r="Y19" s="15"/>
      <c r="Z19" s="66"/>
      <c r="AA19" s="15"/>
      <c r="AB19" s="109"/>
      <c r="AC19" s="75"/>
      <c r="AD19" s="75"/>
      <c r="AE19" s="75"/>
      <c r="AF19" s="70"/>
      <c r="AG19" s="5"/>
      <c r="AH19" s="5"/>
      <c r="AI19" s="87"/>
      <c r="AJ19" s="5"/>
    </row>
    <row r="20" spans="1:36" ht="18.5" x14ac:dyDescent="0.45">
      <c r="A20" s="5"/>
      <c r="B20" s="5"/>
      <c r="C20" s="86"/>
      <c r="D20" s="71" t="s">
        <v>63</v>
      </c>
      <c r="E20" s="70"/>
      <c r="F20" s="214" t="s">
        <v>197</v>
      </c>
      <c r="G20" s="5"/>
      <c r="H20" s="77"/>
      <c r="I20" s="244"/>
      <c r="J20" s="214" t="s">
        <v>182</v>
      </c>
      <c r="K20" s="5"/>
      <c r="L20" s="5"/>
      <c r="M20" s="245"/>
      <c r="N20" s="110"/>
      <c r="O20" s="79"/>
      <c r="P20" s="79"/>
      <c r="Q20" s="82"/>
      <c r="R20" s="5"/>
      <c r="S20" s="109"/>
      <c r="T20" s="75"/>
      <c r="U20" s="70"/>
      <c r="V20" s="15"/>
      <c r="W20" s="89"/>
      <c r="X20" s="15"/>
      <c r="Y20" s="15"/>
      <c r="Z20" s="66"/>
      <c r="AA20" s="15"/>
      <c r="AB20" s="109"/>
      <c r="AC20" s="75"/>
      <c r="AD20" s="75"/>
      <c r="AE20" s="75"/>
      <c r="AF20" s="70"/>
      <c r="AG20" s="5"/>
      <c r="AH20" s="5"/>
      <c r="AI20" s="87"/>
      <c r="AJ20" s="5"/>
    </row>
    <row r="21" spans="1:36" ht="18.5" x14ac:dyDescent="0.45">
      <c r="A21" s="5"/>
      <c r="B21" s="5"/>
      <c r="C21" s="86"/>
      <c r="D21" s="71" t="s">
        <v>64</v>
      </c>
      <c r="E21" s="143" t="s">
        <v>94</v>
      </c>
      <c r="F21" s="214" t="s">
        <v>182</v>
      </c>
      <c r="G21" s="5"/>
      <c r="H21" s="110"/>
      <c r="I21" s="244"/>
      <c r="J21" s="214" t="s">
        <v>182</v>
      </c>
      <c r="K21" s="5"/>
      <c r="L21" s="5"/>
      <c r="M21" s="245"/>
      <c r="N21" s="110"/>
      <c r="O21" s="79"/>
      <c r="P21" s="79"/>
      <c r="Q21" s="82"/>
      <c r="R21" s="5"/>
      <c r="S21" s="109"/>
      <c r="T21" s="75"/>
      <c r="U21" s="70"/>
      <c r="V21" s="15"/>
      <c r="W21" s="89"/>
      <c r="X21" s="15"/>
      <c r="Y21" s="15"/>
      <c r="Z21" s="66"/>
      <c r="AA21" s="15"/>
      <c r="AB21" s="109"/>
      <c r="AC21" s="75"/>
      <c r="AD21" s="75"/>
      <c r="AE21" s="75"/>
      <c r="AF21" s="70"/>
      <c r="AG21" s="5"/>
      <c r="AH21" s="5"/>
      <c r="AI21" s="87"/>
      <c r="AJ21" s="5"/>
    </row>
    <row r="22" spans="1:36" ht="18.5" x14ac:dyDescent="0.45">
      <c r="A22" s="5"/>
      <c r="B22" s="5"/>
      <c r="C22" s="86"/>
      <c r="D22" s="71" t="s">
        <v>65</v>
      </c>
      <c r="E22" s="70"/>
      <c r="F22" s="214" t="s">
        <v>182</v>
      </c>
      <c r="G22" s="5"/>
      <c r="H22" s="110"/>
      <c r="I22" s="244"/>
      <c r="J22" s="214" t="s">
        <v>182</v>
      </c>
      <c r="K22" s="5"/>
      <c r="L22" s="5"/>
      <c r="M22" s="245"/>
      <c r="N22" s="110"/>
      <c r="O22" s="79"/>
      <c r="P22" s="79"/>
      <c r="Q22" s="82"/>
      <c r="R22" s="5"/>
      <c r="S22" s="109"/>
      <c r="T22" s="75"/>
      <c r="U22" s="70"/>
      <c r="V22" s="15"/>
      <c r="W22" s="89"/>
      <c r="X22" s="15"/>
      <c r="Y22" s="15"/>
      <c r="Z22" s="66"/>
      <c r="AA22" s="15"/>
      <c r="AB22" s="109"/>
      <c r="AC22" s="75"/>
      <c r="AD22" s="75"/>
      <c r="AE22" s="75"/>
      <c r="AF22" s="70"/>
      <c r="AG22" s="5"/>
      <c r="AH22" s="5"/>
      <c r="AI22" s="87"/>
      <c r="AJ22" s="5"/>
    </row>
    <row r="23" spans="1:36" ht="18.5" x14ac:dyDescent="0.45">
      <c r="A23" s="5"/>
      <c r="B23" s="5"/>
      <c r="C23" s="86"/>
      <c r="D23" s="71" t="s">
        <v>66</v>
      </c>
      <c r="E23" s="70"/>
      <c r="F23" s="214" t="s">
        <v>182</v>
      </c>
      <c r="G23" s="5"/>
      <c r="H23" s="110"/>
      <c r="I23" s="245"/>
      <c r="J23" s="214" t="s">
        <v>182</v>
      </c>
      <c r="K23" s="5"/>
      <c r="L23" s="5"/>
      <c r="M23" s="245"/>
      <c r="N23" s="110"/>
      <c r="O23" s="79"/>
      <c r="P23" s="79"/>
      <c r="Q23" s="82"/>
      <c r="R23" s="5"/>
      <c r="S23" s="109"/>
      <c r="T23" s="75"/>
      <c r="U23" s="70"/>
      <c r="V23" s="15"/>
      <c r="W23" s="89"/>
      <c r="X23" s="15"/>
      <c r="Y23" s="15"/>
      <c r="Z23" s="66"/>
      <c r="AA23" s="15"/>
      <c r="AB23" s="109"/>
      <c r="AC23" s="75"/>
      <c r="AD23" s="75"/>
      <c r="AE23" s="75"/>
      <c r="AF23" s="70"/>
      <c r="AG23" s="5"/>
      <c r="AH23" s="5"/>
      <c r="AI23" s="87"/>
      <c r="AJ23" s="5"/>
    </row>
    <row r="24" spans="1:36" ht="18.5" x14ac:dyDescent="0.45">
      <c r="A24" s="5"/>
      <c r="B24" s="5"/>
      <c r="C24" s="93"/>
      <c r="D24" s="132" t="s">
        <v>86</v>
      </c>
      <c r="E24" s="92"/>
      <c r="F24" s="214" t="s">
        <v>182</v>
      </c>
      <c r="G24" s="11"/>
      <c r="H24" s="110"/>
      <c r="I24" s="245"/>
      <c r="J24" s="214" t="s">
        <v>182</v>
      </c>
      <c r="K24" s="11"/>
      <c r="L24" s="11"/>
      <c r="M24" s="245"/>
      <c r="N24" s="110"/>
      <c r="O24" s="79"/>
      <c r="P24" s="79"/>
      <c r="Q24" s="82"/>
      <c r="R24" s="5"/>
      <c r="S24" s="109"/>
      <c r="T24" s="75"/>
      <c r="U24" s="70"/>
      <c r="V24" s="15"/>
      <c r="W24" s="89"/>
      <c r="X24" s="15"/>
      <c r="Y24" s="15"/>
      <c r="Z24" s="66"/>
      <c r="AA24" s="15"/>
      <c r="AB24" s="109"/>
      <c r="AC24" s="75"/>
      <c r="AD24" s="75"/>
      <c r="AE24" s="75"/>
      <c r="AF24" s="70"/>
      <c r="AG24" s="5"/>
      <c r="AH24" s="5"/>
      <c r="AI24" s="87"/>
      <c r="AJ24" s="5"/>
    </row>
    <row r="25" spans="1:36" ht="18.5" x14ac:dyDescent="0.45">
      <c r="A25" s="5"/>
      <c r="B25" s="5"/>
      <c r="C25" s="93"/>
      <c r="D25" s="132" t="s">
        <v>87</v>
      </c>
      <c r="E25" s="92"/>
      <c r="F25" s="214" t="s">
        <v>182</v>
      </c>
      <c r="G25" s="11"/>
      <c r="H25" s="110"/>
      <c r="I25" s="245"/>
      <c r="J25" s="214" t="s">
        <v>182</v>
      </c>
      <c r="K25" s="11"/>
      <c r="L25" s="11"/>
      <c r="M25" s="245"/>
      <c r="N25" s="110"/>
      <c r="O25" s="79"/>
      <c r="P25" s="79"/>
      <c r="Q25" s="82"/>
      <c r="R25" s="5"/>
      <c r="S25" s="119"/>
      <c r="T25" s="120"/>
      <c r="U25" s="121"/>
      <c r="V25" s="5"/>
      <c r="W25" s="119"/>
      <c r="X25" s="120"/>
      <c r="Y25" s="120"/>
      <c r="Z25" s="121"/>
      <c r="AA25" s="5"/>
      <c r="AB25" s="119"/>
      <c r="AC25" s="120"/>
      <c r="AD25" s="120"/>
      <c r="AE25" s="120"/>
      <c r="AF25" s="121"/>
      <c r="AG25" s="5"/>
      <c r="AH25" s="5"/>
      <c r="AI25" s="87"/>
      <c r="AJ25" s="5"/>
    </row>
    <row r="26" spans="1:36" ht="19" thickBot="1" x14ac:dyDescent="0.5">
      <c r="A26" s="5"/>
      <c r="B26" s="5"/>
      <c r="C26" s="93"/>
      <c r="D26" s="133" t="s">
        <v>88</v>
      </c>
      <c r="E26" s="65"/>
      <c r="F26" s="215" t="s">
        <v>182</v>
      </c>
      <c r="G26" s="5"/>
      <c r="H26" s="110"/>
      <c r="I26" s="245"/>
      <c r="J26" s="214" t="s">
        <v>182</v>
      </c>
      <c r="K26" s="5"/>
      <c r="L26" s="5"/>
      <c r="M26" s="245"/>
      <c r="N26" s="110"/>
      <c r="O26" s="79"/>
      <c r="P26" s="79"/>
      <c r="Q26" s="82"/>
      <c r="R26" s="5"/>
      <c r="S26" s="119"/>
      <c r="T26" s="120"/>
      <c r="U26" s="121"/>
      <c r="V26" s="5"/>
      <c r="W26" s="119"/>
      <c r="X26" s="120"/>
      <c r="Y26" s="120"/>
      <c r="Z26" s="121"/>
      <c r="AA26" s="5"/>
      <c r="AB26" s="119"/>
      <c r="AC26" s="120"/>
      <c r="AD26" s="120"/>
      <c r="AE26" s="120"/>
      <c r="AF26" s="121"/>
      <c r="AG26" s="5"/>
      <c r="AH26" s="5"/>
      <c r="AI26" s="87"/>
      <c r="AJ26" s="5"/>
    </row>
    <row r="27" spans="1:36" ht="19" thickBot="1" x14ac:dyDescent="0.5">
      <c r="A27" s="5"/>
      <c r="B27" s="5"/>
      <c r="C27" s="93"/>
      <c r="D27" s="133" t="s">
        <v>109</v>
      </c>
      <c r="E27" s="72">
        <f>Systemblatt!C11</f>
        <v>8000</v>
      </c>
      <c r="F27" s="215" t="s">
        <v>184</v>
      </c>
      <c r="G27" s="5"/>
      <c r="H27" s="111"/>
      <c r="I27" s="246"/>
      <c r="J27" s="215" t="s">
        <v>182</v>
      </c>
      <c r="K27" s="5"/>
      <c r="L27" s="5"/>
      <c r="M27" s="246"/>
      <c r="N27" s="111"/>
      <c r="O27" s="80"/>
      <c r="P27" s="80"/>
      <c r="Q27" s="81"/>
      <c r="R27" s="5"/>
      <c r="S27" s="122"/>
      <c r="T27" s="123"/>
      <c r="U27" s="124"/>
      <c r="V27" s="5"/>
      <c r="W27" s="122"/>
      <c r="X27" s="123"/>
      <c r="Y27" s="123"/>
      <c r="Z27" s="124"/>
      <c r="AA27" s="5"/>
      <c r="AB27" s="122"/>
      <c r="AC27" s="123"/>
      <c r="AD27" s="123"/>
      <c r="AE27" s="123"/>
      <c r="AF27" s="124"/>
      <c r="AG27" s="5"/>
      <c r="AH27" s="5"/>
      <c r="AI27" s="87"/>
      <c r="AJ27" s="5"/>
    </row>
    <row r="28" spans="1:36" x14ac:dyDescent="0.35">
      <c r="A28" s="5"/>
      <c r="B28" s="5"/>
      <c r="C28" s="93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7"/>
      <c r="AJ28" s="5"/>
    </row>
    <row r="29" spans="1:36" x14ac:dyDescent="0.35">
      <c r="A29" s="5"/>
      <c r="B29" s="5"/>
      <c r="C29" s="93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7"/>
      <c r="AJ29" s="5"/>
    </row>
    <row r="30" spans="1:36" x14ac:dyDescent="0.35">
      <c r="A30" s="5"/>
      <c r="B30" s="5"/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7"/>
      <c r="AJ30" s="5"/>
    </row>
    <row r="31" spans="1:36" x14ac:dyDescent="0.35">
      <c r="A31" s="5"/>
      <c r="B31" s="5"/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7"/>
      <c r="AJ31" s="5"/>
    </row>
    <row r="32" spans="1:36" x14ac:dyDescent="0.35">
      <c r="A32" s="5"/>
      <c r="B32" s="5"/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7"/>
      <c r="AJ32" s="5"/>
    </row>
    <row r="33" spans="1:36" x14ac:dyDescent="0.35">
      <c r="A33" s="5"/>
      <c r="B33" s="5"/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7"/>
      <c r="AJ33" s="5"/>
    </row>
    <row r="34" spans="1:36" x14ac:dyDescent="0.35">
      <c r="A34" s="5"/>
      <c r="B34" s="5"/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7"/>
      <c r="AJ34" s="5"/>
    </row>
    <row r="35" spans="1:36" x14ac:dyDescent="0.35">
      <c r="A35" s="5"/>
      <c r="B35" s="5"/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7"/>
      <c r="AJ35" s="5"/>
    </row>
    <row r="36" spans="1:36" x14ac:dyDescent="0.35">
      <c r="A36" s="5"/>
      <c r="B36" s="5"/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7"/>
      <c r="AJ36" s="5"/>
    </row>
    <row r="37" spans="1:36" x14ac:dyDescent="0.35">
      <c r="A37" s="5"/>
      <c r="B37" s="5"/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7"/>
      <c r="AJ37" s="5"/>
    </row>
    <row r="38" spans="1:36" x14ac:dyDescent="0.35">
      <c r="A38" s="5"/>
      <c r="B38" s="5"/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7"/>
      <c r="AJ38" s="5"/>
    </row>
    <row r="39" spans="1:36" x14ac:dyDescent="0.35">
      <c r="A39" s="5"/>
      <c r="B39" s="5"/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7"/>
      <c r="AJ39" s="5"/>
    </row>
    <row r="40" spans="1:36" x14ac:dyDescent="0.35">
      <c r="A40" s="5"/>
      <c r="B40" s="5"/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7"/>
      <c r="AJ40" s="5"/>
    </row>
    <row r="41" spans="1:36" x14ac:dyDescent="0.35">
      <c r="A41" s="5"/>
      <c r="B41" s="5"/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7"/>
      <c r="AJ41" s="5"/>
    </row>
    <row r="42" spans="1:36" x14ac:dyDescent="0.35">
      <c r="A42" s="5"/>
      <c r="B42" s="5"/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7"/>
      <c r="AJ42" s="5"/>
    </row>
    <row r="43" spans="1:36" x14ac:dyDescent="0.35">
      <c r="A43" s="5"/>
      <c r="B43" s="5"/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7"/>
      <c r="AJ43" s="5"/>
    </row>
    <row r="44" spans="1:36" x14ac:dyDescent="0.35">
      <c r="A44" s="5"/>
      <c r="B44" s="5"/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7"/>
      <c r="AJ44" s="5"/>
    </row>
    <row r="45" spans="1:36" x14ac:dyDescent="0.35">
      <c r="A45" s="5"/>
      <c r="B45" s="5"/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7"/>
      <c r="AJ45" s="5"/>
    </row>
    <row r="46" spans="1:36" x14ac:dyDescent="0.35">
      <c r="A46" s="5"/>
      <c r="B46" s="5"/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7"/>
      <c r="AJ46" s="5"/>
    </row>
    <row r="47" spans="1:36" ht="18.5" x14ac:dyDescent="0.35">
      <c r="A47" s="5"/>
      <c r="B47" s="5"/>
      <c r="C47" s="86"/>
      <c r="D47" s="342"/>
      <c r="E47" s="342"/>
      <c r="F47" s="342"/>
      <c r="G47" s="342"/>
      <c r="H47" s="342"/>
      <c r="I47" s="342"/>
      <c r="J47" s="342"/>
      <c r="K47" s="342"/>
      <c r="L47" s="342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7"/>
      <c r="AJ47" s="5"/>
    </row>
    <row r="48" spans="1:36" ht="15.5" x14ac:dyDescent="0.35">
      <c r="A48" s="5"/>
      <c r="B48" s="5"/>
      <c r="C48" s="86"/>
      <c r="D48" s="97"/>
      <c r="E48" s="97"/>
      <c r="F48" s="97"/>
      <c r="G48" s="97"/>
      <c r="H48" s="97"/>
      <c r="I48" s="97"/>
      <c r="J48" s="97"/>
      <c r="K48" s="97"/>
      <c r="L48" s="97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7"/>
      <c r="AJ48" s="5"/>
    </row>
    <row r="49" spans="1:36" ht="15.5" x14ac:dyDescent="0.35">
      <c r="A49" s="5"/>
      <c r="B49" s="5"/>
      <c r="C49" s="86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7"/>
      <c r="AJ49" s="5"/>
    </row>
    <row r="50" spans="1:36" ht="15.5" x14ac:dyDescent="0.35">
      <c r="A50" s="5"/>
      <c r="B50" s="5"/>
      <c r="C50" s="86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7"/>
      <c r="AJ50" s="5"/>
    </row>
    <row r="51" spans="1:36" ht="15.5" x14ac:dyDescent="0.35">
      <c r="A51" s="5"/>
      <c r="B51" s="5"/>
      <c r="C51" s="86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7"/>
      <c r="AJ51" s="5"/>
    </row>
    <row r="52" spans="1:36" ht="15.5" x14ac:dyDescent="0.35">
      <c r="A52" s="5"/>
      <c r="B52" s="5"/>
      <c r="C52" s="86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7"/>
      <c r="AJ52" s="5"/>
    </row>
    <row r="53" spans="1:36" ht="15.5" x14ac:dyDescent="0.35">
      <c r="A53" s="5"/>
      <c r="B53" s="5"/>
      <c r="C53" s="86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7"/>
      <c r="AJ53" s="5"/>
    </row>
    <row r="54" spans="1:36" ht="15.5" x14ac:dyDescent="0.35">
      <c r="A54" s="5"/>
      <c r="B54" s="5"/>
      <c r="C54" s="86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7"/>
      <c r="AJ54" s="5"/>
    </row>
    <row r="55" spans="1:36" x14ac:dyDescent="0.35">
      <c r="A55" s="5"/>
      <c r="B55" s="5"/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7"/>
      <c r="AJ55" s="5"/>
    </row>
    <row r="56" spans="1:36" x14ac:dyDescent="0.35">
      <c r="A56" s="5"/>
      <c r="B56" s="5"/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7"/>
      <c r="AJ56" s="5"/>
    </row>
    <row r="57" spans="1:36" x14ac:dyDescent="0.35">
      <c r="A57" s="5"/>
      <c r="B57" s="5"/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7"/>
      <c r="AJ57" s="5"/>
    </row>
    <row r="58" spans="1:36" x14ac:dyDescent="0.35">
      <c r="A58" s="5"/>
      <c r="B58" s="5"/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7"/>
      <c r="AJ58" s="5"/>
    </row>
    <row r="59" spans="1:36" x14ac:dyDescent="0.35">
      <c r="A59" s="5"/>
      <c r="B59" s="5"/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7"/>
      <c r="AJ59" s="5"/>
    </row>
    <row r="60" spans="1:36" x14ac:dyDescent="0.35">
      <c r="A60" s="5"/>
      <c r="B60" s="5"/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7"/>
      <c r="AJ60" s="5"/>
    </row>
    <row r="61" spans="1:36" x14ac:dyDescent="0.35">
      <c r="A61" s="5"/>
      <c r="B61" s="5"/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7"/>
      <c r="AJ61" s="5"/>
    </row>
    <row r="62" spans="1:36" x14ac:dyDescent="0.35">
      <c r="A62" s="5"/>
      <c r="B62" s="5"/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7"/>
      <c r="AJ62" s="5"/>
    </row>
    <row r="63" spans="1:36" x14ac:dyDescent="0.35">
      <c r="A63" s="5"/>
      <c r="B63" s="5"/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7"/>
      <c r="AJ63" s="5"/>
    </row>
    <row r="64" spans="1:36" x14ac:dyDescent="0.35">
      <c r="A64" s="5"/>
      <c r="B64" s="5"/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7"/>
      <c r="AJ64" s="5"/>
    </row>
    <row r="65" spans="1:36" x14ac:dyDescent="0.35">
      <c r="A65" s="5"/>
      <c r="B65" s="5"/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7"/>
      <c r="AJ65" s="5"/>
    </row>
    <row r="66" spans="1:36" x14ac:dyDescent="0.35">
      <c r="A66" s="5"/>
      <c r="B66" s="5"/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7"/>
      <c r="AJ66" s="5"/>
    </row>
    <row r="67" spans="1:36" x14ac:dyDescent="0.35">
      <c r="A67" s="5"/>
      <c r="B67" s="5"/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7"/>
      <c r="AJ67" s="5"/>
    </row>
    <row r="68" spans="1:36" x14ac:dyDescent="0.35">
      <c r="A68" s="5"/>
      <c r="B68" s="5"/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7"/>
      <c r="AJ68" s="5"/>
    </row>
    <row r="69" spans="1:36" ht="15" thickBot="1" x14ac:dyDescent="0.4">
      <c r="A69" s="5"/>
      <c r="B69" s="5"/>
      <c r="C69" s="78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8"/>
      <c r="AE69" s="88"/>
      <c r="AF69" s="88"/>
      <c r="AG69" s="88"/>
      <c r="AH69" s="88"/>
      <c r="AI69" s="65"/>
      <c r="AJ69" s="5"/>
    </row>
    <row r="70" spans="1:36" x14ac:dyDescent="0.35">
      <c r="A70" s="5"/>
      <c r="B70" s="5"/>
      <c r="C70" s="91"/>
      <c r="D70" s="91"/>
      <c r="E70" s="91"/>
      <c r="F70" s="91"/>
      <c r="G70" s="91"/>
      <c r="H70" s="91"/>
      <c r="I70" s="91"/>
      <c r="J70" s="91"/>
      <c r="K70" s="91"/>
      <c r="L70" s="91"/>
      <c r="M70" s="91"/>
      <c r="N70" s="91"/>
      <c r="O70" s="91"/>
      <c r="P70" s="91"/>
      <c r="Q70" s="91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23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CB1751B0-E051-49A9-941E-B34BA527E631}">
          <x14:formula1>
            <xm:f>DataBank!$A$3:$A$11</xm:f>
          </x14:formula1>
          <xm:sqref>N11</xm:sqref>
        </x14:dataValidation>
        <x14:dataValidation type="list" allowBlank="1" showInputMessage="1" showErrorMessage="1" xr:uid="{75709756-3351-4470-A044-90EB7F10921B}">
          <x14:formula1>
            <xm:f>Sources!$E$6:$O$6</xm:f>
          </x14:formula1>
          <xm:sqref>O13:Q13</xm:sqref>
        </x14:dataValidation>
        <x14:dataValidation type="list" allowBlank="1" showInputMessage="1" showErrorMessage="1" xr:uid="{6C33A03A-D739-490F-AE5C-B87695557C21}">
          <x14:formula1>
            <xm:f>DataBank!$B$2:$B$3</xm:f>
          </x14:formula1>
          <xm:sqref>J15</xm:sqref>
        </x14:dataValidation>
        <x14:dataValidation type="list" allowBlank="1" showInputMessage="1" showErrorMessage="1" xr:uid="{B9FFAFCB-6042-461B-84D3-AB3144E7724D}">
          <x14:formula1>
            <xm:f>Systemblatt!$E$5:$E$38</xm:f>
          </x14:formula1>
          <xm:sqref>N13 AE10:AE27 AC10:AC27 N12:Q12 N14:Q27 I16:I27 T10:T27</xm:sqref>
        </x14:dataValidation>
        <x14:dataValidation type="list" allowBlank="1" showInputMessage="1" showErrorMessage="1" xr:uid="{9DAAD441-511C-45F7-A5A6-F191C657880D}">
          <x14:formula1>
            <xm:f>Sources!$E$7:$O$7</xm:f>
          </x14:formula1>
          <xm:sqref>W10:W27</xm:sqref>
        </x14:dataValidation>
        <x14:dataValidation type="list" allowBlank="1" showInputMessage="1" showErrorMessage="1" xr:uid="{8F385570-BCEE-4E8F-9A31-B4E766C5428F}">
          <x14:formula1>
            <xm:f>DataBank!$K$17:$K$18</xm:f>
          </x14:formula1>
          <xm:sqref>E26</xm:sqref>
        </x14:dataValidation>
        <x14:dataValidation type="list" allowBlank="1" showInputMessage="1" showErrorMessage="1" xr:uid="{99A299F3-60D8-431D-A45D-7C05E262C80D}">
          <x14:formula1>
            <xm:f>DataBank!$A$3:$A$10</xm:f>
          </x14:formula1>
          <xm:sqref>O11:Q11</xm:sqref>
        </x14:dataValidation>
        <x14:dataValidation type="list" allowBlank="1" showInputMessage="1" showErrorMessage="1" xr:uid="{DEAF84E3-2D52-48B1-B0FD-B38BEF4BD672}">
          <x14:formula1>
            <xm:f>DataBank!$C$2:$C$7</xm:f>
          </x14:formula1>
          <xm:sqref>I15</xm:sqref>
        </x14:dataValidation>
        <x14:dataValidation type="list" allowBlank="1" showInputMessage="1" showErrorMessage="1" xr:uid="{7F5B6298-821C-4C8E-885D-EC12A03CB60E}">
          <x14:formula1>
            <xm:f>Systemblatt!$E$5:$E$11</xm:f>
          </x14:formula1>
          <xm:sqref>K16:K17</xm:sqref>
        </x14:dataValidation>
        <x14:dataValidation type="list" allowBlank="1" showInputMessage="1" showErrorMessage="1" xr:uid="{8BA35D08-5D7E-4C39-ADB1-53CB01E12CF9}">
          <x14:formula1>
            <xm:f>DataBank!$A$3:$A$4</xm:f>
          </x14:formula1>
          <xm:sqref>AB10 AD10</xm:sqref>
        </x14:dataValidation>
        <x14:dataValidation type="list" allowBlank="1" showInputMessage="1" showErrorMessage="1" xr:uid="{4E92E341-56CE-491C-9893-EDFD549EDBEA}">
          <x14:formula1>
            <xm:f>DataBank!$A$3:$A$5</xm:f>
          </x14:formula1>
          <xm:sqref>K15</xm:sqref>
        </x14:dataValidation>
        <x14:dataValidation type="whole" allowBlank="1" showInputMessage="1" showErrorMessage="1" xr:uid="{A4A0C627-3D53-481A-A966-AF04153AC115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C282F-3E52-41B2-8F6D-4836E12A92C4}">
  <sheetPr codeName="Tabelle41"/>
  <dimension ref="C1:AO130"/>
  <sheetViews>
    <sheetView zoomScale="70" zoomScaleNormal="70" workbookViewId="0">
      <selection activeCell="AF35" sqref="AF3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6.4531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6" width="20" style="3" bestFit="1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95"/>
      <c r="AJ2" s="95"/>
      <c r="AK2" s="91"/>
      <c r="AL2" s="91"/>
      <c r="AM2" s="91"/>
      <c r="AN2" s="91"/>
      <c r="AO2" s="96"/>
    </row>
    <row r="3" spans="3:41" x14ac:dyDescent="0.35">
      <c r="C3" s="86"/>
      <c r="D3" s="5"/>
      <c r="E3" s="5"/>
      <c r="F3" s="5"/>
      <c r="G3" s="5"/>
      <c r="H3" s="5"/>
      <c r="I3" s="5"/>
      <c r="J3" s="5" t="s">
        <v>22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7"/>
    </row>
    <row r="4" spans="3:41" x14ac:dyDescent="0.35"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7"/>
    </row>
    <row r="5" spans="3:41" x14ac:dyDescent="0.35"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7"/>
    </row>
    <row r="6" spans="3:41" x14ac:dyDescent="0.35">
      <c r="C6" s="86"/>
      <c r="D6" s="363"/>
      <c r="E6" s="363"/>
      <c r="F6" s="5"/>
      <c r="G6" s="5"/>
      <c r="H6" s="363"/>
      <c r="I6" s="363"/>
      <c r="J6" s="15"/>
      <c r="K6" s="15"/>
      <c r="L6" s="5"/>
      <c r="M6" s="363"/>
      <c r="N6" s="363"/>
      <c r="O6" s="363"/>
      <c r="P6" s="363"/>
      <c r="Q6" s="5"/>
      <c r="R6" s="5"/>
      <c r="S6" s="364"/>
      <c r="T6" s="364"/>
      <c r="U6" s="364"/>
      <c r="V6" s="364"/>
      <c r="W6" s="364"/>
      <c r="X6" s="364"/>
      <c r="Y6" s="364"/>
      <c r="Z6" s="364"/>
      <c r="AA6" s="364"/>
      <c r="AB6" s="364"/>
      <c r="AC6" s="364"/>
      <c r="AD6" s="364"/>
      <c r="AE6" s="364"/>
      <c r="AF6" s="364"/>
      <c r="AG6" s="11"/>
      <c r="AH6" s="11"/>
      <c r="AI6" s="11"/>
      <c r="AJ6" s="11"/>
      <c r="AK6" s="11"/>
      <c r="AL6" s="11"/>
      <c r="AM6" s="11"/>
      <c r="AN6" s="11"/>
      <c r="AO6" s="87"/>
    </row>
    <row r="7" spans="3:41" ht="15" thickBot="1" x14ac:dyDescent="0.4"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7"/>
    </row>
    <row r="8" spans="3:41" ht="24" thickBot="1" x14ac:dyDescent="0.6">
      <c r="C8" s="86"/>
      <c r="D8" s="344" t="s">
        <v>52</v>
      </c>
      <c r="E8" s="345"/>
      <c r="F8" s="346"/>
      <c r="G8" s="5"/>
      <c r="H8" s="347" t="s">
        <v>53</v>
      </c>
      <c r="I8" s="348"/>
      <c r="J8" s="349"/>
      <c r="K8" s="16"/>
      <c r="L8" s="5"/>
      <c r="M8" s="357" t="s">
        <v>72</v>
      </c>
      <c r="N8" s="358"/>
      <c r="O8" s="358"/>
      <c r="P8" s="358"/>
      <c r="Q8" s="359"/>
      <c r="R8" s="5"/>
      <c r="S8" s="351" t="s">
        <v>78</v>
      </c>
      <c r="T8" s="352"/>
      <c r="U8" s="353"/>
      <c r="V8" s="12"/>
      <c r="W8" s="354" t="s">
        <v>108</v>
      </c>
      <c r="X8" s="355"/>
      <c r="Y8" s="355"/>
      <c r="Z8" s="356"/>
      <c r="AA8" s="11"/>
      <c r="AB8" s="354" t="s">
        <v>85</v>
      </c>
      <c r="AC8" s="355"/>
      <c r="AD8" s="355"/>
      <c r="AE8" s="355"/>
      <c r="AF8" s="356"/>
      <c r="AG8" s="11"/>
      <c r="AH8" s="360" t="s">
        <v>5</v>
      </c>
      <c r="AI8" s="361"/>
      <c r="AJ8" s="362"/>
      <c r="AK8" s="98"/>
      <c r="AL8" s="360" t="s">
        <v>6</v>
      </c>
      <c r="AM8" s="361"/>
      <c r="AN8" s="362"/>
      <c r="AO8" s="87"/>
    </row>
    <row r="9" spans="3:41" ht="21.5" thickBot="1" x14ac:dyDescent="0.55000000000000004">
      <c r="C9" s="86"/>
      <c r="D9" s="73" t="s">
        <v>32</v>
      </c>
      <c r="E9" s="213" t="s">
        <v>0</v>
      </c>
      <c r="F9" s="216" t="s">
        <v>181</v>
      </c>
      <c r="G9" s="5"/>
      <c r="H9" s="74" t="s">
        <v>32</v>
      </c>
      <c r="I9" s="74" t="s">
        <v>54</v>
      </c>
      <c r="J9" s="74" t="s">
        <v>181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/>
      <c r="S9" s="85" t="s">
        <v>79</v>
      </c>
      <c r="T9" s="85" t="s">
        <v>35</v>
      </c>
      <c r="U9" s="85" t="s">
        <v>80</v>
      </c>
      <c r="V9" s="13"/>
      <c r="W9" s="101" t="s">
        <v>104</v>
      </c>
      <c r="X9" s="203" t="s">
        <v>162</v>
      </c>
      <c r="Y9" s="203" t="s">
        <v>163</v>
      </c>
      <c r="Z9" s="204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11"/>
      <c r="AH9" s="142" t="s">
        <v>35</v>
      </c>
      <c r="AI9" s="142" t="s">
        <v>91</v>
      </c>
      <c r="AJ9" s="142" t="s">
        <v>0</v>
      </c>
      <c r="AK9" s="97"/>
      <c r="AL9" s="142" t="s">
        <v>91</v>
      </c>
      <c r="AM9" s="142" t="s">
        <v>92</v>
      </c>
      <c r="AN9" s="142" t="s">
        <v>93</v>
      </c>
      <c r="AO9" s="87"/>
    </row>
    <row r="10" spans="3:41" ht="18.5" x14ac:dyDescent="0.45">
      <c r="C10" s="86"/>
      <c r="D10" s="67" t="s">
        <v>1</v>
      </c>
      <c r="E10" s="68" t="s">
        <v>206</v>
      </c>
      <c r="F10" s="214" t="s">
        <v>182</v>
      </c>
      <c r="G10" s="5"/>
      <c r="H10" s="69" t="s">
        <v>2</v>
      </c>
      <c r="I10" s="70"/>
      <c r="J10" s="217" t="s">
        <v>182</v>
      </c>
      <c r="K10" s="79"/>
      <c r="L10" s="79"/>
      <c r="M10" s="254" t="s">
        <v>75</v>
      </c>
      <c r="N10" s="251">
        <v>1E-4</v>
      </c>
      <c r="O10" s="179">
        <v>0.1</v>
      </c>
      <c r="P10" s="257"/>
      <c r="Q10" s="181"/>
      <c r="R10" s="114"/>
      <c r="S10" s="103">
        <v>2000</v>
      </c>
      <c r="T10" s="104" t="s">
        <v>200</v>
      </c>
      <c r="U10" s="105">
        <v>0.99</v>
      </c>
      <c r="V10" s="106"/>
      <c r="W10" s="138">
        <v>22</v>
      </c>
      <c r="X10" s="83">
        <v>2000</v>
      </c>
      <c r="Y10" s="139">
        <v>1000</v>
      </c>
      <c r="Z10" s="137"/>
      <c r="AA10" s="75"/>
      <c r="AB10" s="136" t="s">
        <v>12</v>
      </c>
      <c r="AC10" s="83" t="s">
        <v>14</v>
      </c>
      <c r="AD10" s="139" t="s">
        <v>12</v>
      </c>
      <c r="AE10" s="83" t="s">
        <v>177</v>
      </c>
      <c r="AF10" s="137">
        <v>10</v>
      </c>
      <c r="AG10" s="120"/>
      <c r="AH10" s="126" t="s">
        <v>177</v>
      </c>
      <c r="AI10" s="125">
        <v>1</v>
      </c>
      <c r="AJ10" s="127">
        <v>-1</v>
      </c>
      <c r="AK10" s="115"/>
      <c r="AL10" s="128">
        <v>1</v>
      </c>
      <c r="AM10" s="129" t="s">
        <v>177</v>
      </c>
      <c r="AN10" s="130">
        <v>0.95</v>
      </c>
      <c r="AO10" s="87"/>
    </row>
    <row r="11" spans="3:41" ht="19" thickBot="1" x14ac:dyDescent="0.5">
      <c r="C11" s="86"/>
      <c r="D11" s="69" t="s">
        <v>3</v>
      </c>
      <c r="E11" s="70">
        <v>210</v>
      </c>
      <c r="F11" s="214" t="s">
        <v>182</v>
      </c>
      <c r="G11" s="5"/>
      <c r="H11" s="69" t="s">
        <v>67</v>
      </c>
      <c r="I11" s="105">
        <v>2</v>
      </c>
      <c r="J11" s="214" t="s">
        <v>191</v>
      </c>
      <c r="K11" s="79"/>
      <c r="L11" s="79"/>
      <c r="M11" s="255" t="s">
        <v>76</v>
      </c>
      <c r="N11" s="252" t="s">
        <v>12</v>
      </c>
      <c r="O11" s="125" t="s">
        <v>12</v>
      </c>
      <c r="P11" s="258"/>
      <c r="Q11" s="259"/>
      <c r="R11" s="114"/>
      <c r="S11" s="103">
        <v>2000</v>
      </c>
      <c r="T11" s="104" t="s">
        <v>14</v>
      </c>
      <c r="U11" s="105">
        <v>0.05</v>
      </c>
      <c r="V11" s="106"/>
      <c r="W11" s="109"/>
      <c r="X11" s="75"/>
      <c r="Y11" s="106"/>
      <c r="Z11" s="108"/>
      <c r="AA11" s="75"/>
      <c r="AB11" s="107"/>
      <c r="AC11" s="75"/>
      <c r="AD11" s="106"/>
      <c r="AE11" s="75"/>
      <c r="AF11" s="108"/>
      <c r="AG11" s="120"/>
      <c r="AH11" s="126" t="s">
        <v>15</v>
      </c>
      <c r="AI11" s="125">
        <v>1</v>
      </c>
      <c r="AJ11" s="127">
        <v>0.15</v>
      </c>
      <c r="AK11" s="115"/>
      <c r="AL11" s="116"/>
      <c r="AM11" s="6"/>
      <c r="AN11" s="131"/>
      <c r="AO11" s="87"/>
    </row>
    <row r="12" spans="3:41" ht="18.5" x14ac:dyDescent="0.45">
      <c r="C12" s="86"/>
      <c r="D12" s="69" t="s">
        <v>42</v>
      </c>
      <c r="E12" s="261" t="s">
        <v>229</v>
      </c>
      <c r="F12" s="214" t="s">
        <v>182</v>
      </c>
      <c r="G12" s="5"/>
      <c r="H12" s="69" t="s">
        <v>68</v>
      </c>
      <c r="I12" s="105">
        <v>10</v>
      </c>
      <c r="J12" s="214" t="str">
        <f>J15</f>
        <v>t/h</v>
      </c>
      <c r="K12" s="79"/>
      <c r="L12" s="79"/>
      <c r="M12" s="248" t="s">
        <v>77</v>
      </c>
      <c r="N12" s="251" t="s">
        <v>175</v>
      </c>
      <c r="O12" s="251" t="s">
        <v>175</v>
      </c>
      <c r="P12" s="180"/>
      <c r="Q12" s="181"/>
      <c r="R12" s="114"/>
      <c r="S12" s="103">
        <v>2000</v>
      </c>
      <c r="T12" s="104" t="s">
        <v>180</v>
      </c>
      <c r="U12" s="105">
        <v>0</v>
      </c>
      <c r="V12" s="106"/>
      <c r="W12" s="109"/>
      <c r="X12" s="75"/>
      <c r="Y12" s="44"/>
      <c r="Z12" s="30"/>
      <c r="AA12" s="44"/>
      <c r="AB12" s="51"/>
      <c r="AC12" s="75"/>
      <c r="AD12" s="44"/>
      <c r="AE12" s="75"/>
      <c r="AF12" s="108"/>
      <c r="AG12" s="120"/>
      <c r="AH12" s="126" t="s">
        <v>200</v>
      </c>
      <c r="AI12" s="125">
        <v>1</v>
      </c>
      <c r="AJ12" s="127">
        <v>0.2</v>
      </c>
      <c r="AK12" s="115"/>
      <c r="AL12" s="116"/>
      <c r="AM12" s="6"/>
      <c r="AN12" s="131"/>
      <c r="AO12" s="87"/>
    </row>
    <row r="13" spans="3:41" ht="18.5" x14ac:dyDescent="0.45">
      <c r="C13" s="86"/>
      <c r="D13" s="69" t="s">
        <v>56</v>
      </c>
      <c r="F13" s="214" t="s">
        <v>182</v>
      </c>
      <c r="G13" s="5"/>
      <c r="H13" s="69" t="s">
        <v>69</v>
      </c>
      <c r="I13" s="105">
        <v>0.1</v>
      </c>
      <c r="J13" s="214" t="s">
        <v>182</v>
      </c>
      <c r="K13" s="79"/>
      <c r="L13" s="79"/>
      <c r="M13" s="249"/>
      <c r="N13" s="253" t="s">
        <v>176</v>
      </c>
      <c r="O13" s="253" t="s">
        <v>176</v>
      </c>
      <c r="P13" s="75"/>
      <c r="Q13" s="70"/>
      <c r="R13" s="114"/>
      <c r="S13" s="103">
        <v>1000</v>
      </c>
      <c r="T13" s="104" t="s">
        <v>180</v>
      </c>
      <c r="U13" s="105">
        <v>1</v>
      </c>
      <c r="V13" s="44"/>
      <c r="W13" s="109"/>
      <c r="X13" s="75"/>
      <c r="Y13" s="44"/>
      <c r="Z13" s="30"/>
      <c r="AA13" s="44"/>
      <c r="AB13" s="51"/>
      <c r="AC13" s="75"/>
      <c r="AD13" s="44"/>
      <c r="AE13" s="75"/>
      <c r="AF13" s="108"/>
      <c r="AG13" s="120"/>
      <c r="AH13" s="107" t="s">
        <v>180</v>
      </c>
      <c r="AI13" s="106">
        <v>1</v>
      </c>
      <c r="AJ13" s="108">
        <v>0.65</v>
      </c>
      <c r="AK13" s="115"/>
      <c r="AL13" s="117"/>
      <c r="AM13" s="6"/>
      <c r="AN13" s="118"/>
      <c r="AO13" s="87"/>
    </row>
    <row r="14" spans="3:41" ht="18.5" x14ac:dyDescent="0.45"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>
        <v>2018</v>
      </c>
      <c r="J14" s="214" t="s">
        <v>194</v>
      </c>
      <c r="K14" s="79"/>
      <c r="L14" s="79"/>
      <c r="M14" s="250"/>
      <c r="N14" s="253" t="s">
        <v>177</v>
      </c>
      <c r="O14" s="253" t="s">
        <v>177</v>
      </c>
      <c r="P14" s="79"/>
      <c r="Q14" s="82"/>
      <c r="R14" s="114"/>
      <c r="S14" s="103">
        <v>1000</v>
      </c>
      <c r="T14" s="75" t="s">
        <v>200</v>
      </c>
      <c r="U14" s="105">
        <v>0</v>
      </c>
      <c r="V14" s="44"/>
      <c r="W14" s="109"/>
      <c r="X14" s="75"/>
      <c r="Y14" s="44"/>
      <c r="Z14" s="30"/>
      <c r="AA14" s="44"/>
      <c r="AB14" s="51"/>
      <c r="AC14" s="75"/>
      <c r="AD14" s="44"/>
      <c r="AE14" s="75"/>
      <c r="AF14" s="108"/>
      <c r="AG14" s="120"/>
      <c r="AH14" s="107"/>
      <c r="AI14" s="106"/>
      <c r="AJ14" s="108"/>
      <c r="AK14" s="115"/>
      <c r="AL14" s="117"/>
      <c r="AM14" s="6"/>
      <c r="AN14" s="118"/>
      <c r="AO14" s="87"/>
    </row>
    <row r="15" spans="3:41" ht="19" thickBot="1" x14ac:dyDescent="0.5">
      <c r="C15" s="86"/>
      <c r="D15" s="69" t="s">
        <v>58</v>
      </c>
      <c r="E15" s="70">
        <v>2.6</v>
      </c>
      <c r="F15" s="214" t="s">
        <v>182</v>
      </c>
      <c r="G15" s="5"/>
      <c r="H15" s="76" t="s">
        <v>71</v>
      </c>
      <c r="I15" s="70" t="s">
        <v>12</v>
      </c>
      <c r="J15" s="214" t="s">
        <v>192</v>
      </c>
      <c r="K15" s="79"/>
      <c r="L15" s="79"/>
      <c r="M15" s="250"/>
      <c r="N15" s="244" t="s">
        <v>173</v>
      </c>
      <c r="O15" s="244" t="s">
        <v>173</v>
      </c>
      <c r="P15" s="79"/>
      <c r="Q15" s="82"/>
      <c r="R15" s="114"/>
      <c r="S15" s="103"/>
      <c r="T15" s="75"/>
      <c r="U15" s="105"/>
      <c r="V15" s="44"/>
      <c r="W15" s="89"/>
      <c r="X15" s="15"/>
      <c r="Y15" s="15"/>
      <c r="Z15" s="66"/>
      <c r="AA15" s="75"/>
      <c r="AB15" s="109"/>
      <c r="AC15" s="75"/>
      <c r="AD15" s="75"/>
      <c r="AE15" s="75"/>
      <c r="AF15" s="108"/>
      <c r="AG15" s="120"/>
      <c r="AH15" s="107"/>
      <c r="AI15" s="106"/>
      <c r="AJ15" s="108"/>
      <c r="AK15" s="115"/>
      <c r="AL15" s="117"/>
      <c r="AM15" s="6"/>
      <c r="AN15" s="118"/>
      <c r="AO15" s="87"/>
    </row>
    <row r="16" spans="3:41" ht="19" thickBot="1" x14ac:dyDescent="0.5">
      <c r="C16" s="86"/>
      <c r="D16" s="69" t="s">
        <v>59</v>
      </c>
      <c r="E16" s="70">
        <v>1.44</v>
      </c>
      <c r="F16" s="214" t="s">
        <v>182</v>
      </c>
      <c r="G16" s="5"/>
      <c r="H16" s="241" t="s">
        <v>55</v>
      </c>
      <c r="I16" s="68" t="s">
        <v>177</v>
      </c>
      <c r="J16" s="214" t="s">
        <v>182</v>
      </c>
      <c r="K16" s="79"/>
      <c r="L16" s="79"/>
      <c r="M16" s="250"/>
      <c r="N16" s="245"/>
      <c r="O16" s="245"/>
      <c r="P16" s="79"/>
      <c r="Q16" s="82"/>
      <c r="R16" s="114"/>
      <c r="S16" s="109"/>
      <c r="T16" s="75"/>
      <c r="U16" s="70"/>
      <c r="V16" s="75"/>
      <c r="W16" s="89"/>
      <c r="X16" s="15"/>
      <c r="Y16" s="15"/>
      <c r="Z16" s="66"/>
      <c r="AA16" s="75"/>
      <c r="AB16" s="109"/>
      <c r="AC16" s="75"/>
      <c r="AD16" s="75"/>
      <c r="AE16" s="75"/>
      <c r="AF16" s="70"/>
      <c r="AG16" s="120"/>
      <c r="AH16" s="107"/>
      <c r="AI16" s="75"/>
      <c r="AJ16" s="70"/>
      <c r="AK16" s="79"/>
      <c r="AL16" s="110"/>
      <c r="AM16" s="6"/>
      <c r="AN16" s="82"/>
      <c r="AO16" s="87"/>
    </row>
    <row r="17" spans="3:41" ht="18.5" x14ac:dyDescent="0.45">
      <c r="C17" s="86"/>
      <c r="D17" s="69" t="s">
        <v>60</v>
      </c>
      <c r="E17" s="70">
        <v>25</v>
      </c>
      <c r="F17" s="214" t="s">
        <v>186</v>
      </c>
      <c r="G17" s="5"/>
      <c r="H17" s="218"/>
      <c r="I17" s="70" t="s">
        <v>173</v>
      </c>
      <c r="J17" s="214" t="s">
        <v>182</v>
      </c>
      <c r="K17" s="79"/>
      <c r="L17" s="79"/>
      <c r="M17" s="250"/>
      <c r="N17" s="245"/>
      <c r="O17" s="245"/>
      <c r="P17" s="79"/>
      <c r="Q17" s="82"/>
      <c r="R17" s="114"/>
      <c r="S17" s="109"/>
      <c r="T17" s="75"/>
      <c r="U17" s="70"/>
      <c r="V17" s="75"/>
      <c r="W17" s="89"/>
      <c r="X17" s="15"/>
      <c r="Y17" s="15"/>
      <c r="Z17" s="66"/>
      <c r="AA17" s="75"/>
      <c r="AB17" s="109"/>
      <c r="AC17" s="75"/>
      <c r="AD17" s="75"/>
      <c r="AE17" s="75"/>
      <c r="AF17" s="70"/>
      <c r="AG17" s="120"/>
      <c r="AH17" s="107"/>
      <c r="AI17" s="75"/>
      <c r="AJ17" s="70"/>
      <c r="AK17" s="79"/>
      <c r="AL17" s="110"/>
      <c r="AM17" s="6"/>
      <c r="AN17" s="82"/>
      <c r="AO17" s="87"/>
    </row>
    <row r="18" spans="3:41" ht="18.5" x14ac:dyDescent="0.45">
      <c r="C18" s="86"/>
      <c r="D18" s="71" t="s">
        <v>61</v>
      </c>
      <c r="E18" s="70">
        <v>30</v>
      </c>
      <c r="F18" s="214" t="s">
        <v>186</v>
      </c>
      <c r="G18" s="5"/>
      <c r="H18" s="77"/>
      <c r="I18" s="70" t="s">
        <v>175</v>
      </c>
      <c r="J18" s="214"/>
      <c r="K18" s="79"/>
      <c r="L18" s="79"/>
      <c r="M18" s="250"/>
      <c r="N18" s="245"/>
      <c r="O18" s="245"/>
      <c r="P18" s="79"/>
      <c r="Q18" s="82"/>
      <c r="R18" s="114"/>
      <c r="S18" s="109"/>
      <c r="T18" s="75"/>
      <c r="U18" s="70"/>
      <c r="V18" s="75"/>
      <c r="W18" s="89"/>
      <c r="X18" s="15"/>
      <c r="Y18" s="15"/>
      <c r="Z18" s="66"/>
      <c r="AA18" s="75"/>
      <c r="AB18" s="109"/>
      <c r="AC18" s="75"/>
      <c r="AD18" s="75"/>
      <c r="AE18" s="75"/>
      <c r="AF18" s="70"/>
      <c r="AG18" s="120"/>
      <c r="AH18" s="107"/>
      <c r="AI18" s="75"/>
      <c r="AJ18" s="70"/>
      <c r="AK18" s="79"/>
      <c r="AL18" s="110"/>
      <c r="AM18" s="6"/>
      <c r="AN18" s="82"/>
      <c r="AO18" s="87"/>
    </row>
    <row r="19" spans="3:41" ht="18.5" x14ac:dyDescent="0.45">
      <c r="C19" s="86"/>
      <c r="D19" s="69" t="s">
        <v>62</v>
      </c>
      <c r="E19" s="70"/>
      <c r="F19" s="214" t="s">
        <v>186</v>
      </c>
      <c r="G19" s="5"/>
      <c r="H19" s="77"/>
      <c r="I19" s="70" t="s">
        <v>176</v>
      </c>
      <c r="J19" s="214"/>
      <c r="K19" s="79"/>
      <c r="L19" s="79"/>
      <c r="M19" s="250"/>
      <c r="N19" s="245"/>
      <c r="O19" s="245"/>
      <c r="P19" s="79"/>
      <c r="Q19" s="82"/>
      <c r="R19" s="114"/>
      <c r="S19" s="109"/>
      <c r="T19" s="75"/>
      <c r="U19" s="70"/>
      <c r="V19" s="75"/>
      <c r="W19" s="89"/>
      <c r="X19" s="15"/>
      <c r="Y19" s="15"/>
      <c r="Z19" s="66"/>
      <c r="AA19" s="75"/>
      <c r="AB19" s="109"/>
      <c r="AC19" s="75"/>
      <c r="AD19" s="75"/>
      <c r="AE19" s="75"/>
      <c r="AF19" s="70"/>
      <c r="AG19" s="120"/>
      <c r="AH19" s="107"/>
      <c r="AI19" s="75"/>
      <c r="AJ19" s="70"/>
      <c r="AK19" s="79"/>
      <c r="AL19" s="110"/>
      <c r="AM19" s="6"/>
      <c r="AN19" s="82"/>
      <c r="AO19" s="87"/>
    </row>
    <row r="20" spans="3:41" ht="18.5" x14ac:dyDescent="0.45">
      <c r="C20" s="86"/>
      <c r="D20" s="71" t="s">
        <v>63</v>
      </c>
      <c r="E20" s="70"/>
      <c r="F20" s="214" t="s">
        <v>186</v>
      </c>
      <c r="G20" s="5"/>
      <c r="H20" s="77"/>
      <c r="I20" s="70"/>
      <c r="J20" s="214"/>
      <c r="K20" s="79"/>
      <c r="L20" s="79"/>
      <c r="M20" s="245"/>
      <c r="N20" s="245"/>
      <c r="O20" s="245"/>
      <c r="P20" s="79"/>
      <c r="Q20" s="82"/>
      <c r="R20" s="114"/>
      <c r="S20" s="109"/>
      <c r="T20" s="75"/>
      <c r="U20" s="70"/>
      <c r="V20" s="75"/>
      <c r="W20" s="89"/>
      <c r="X20" s="15"/>
      <c r="Y20" s="15"/>
      <c r="Z20" s="66"/>
      <c r="AA20" s="75"/>
      <c r="AB20" s="109"/>
      <c r="AC20" s="75"/>
      <c r="AD20" s="75"/>
      <c r="AE20" s="75"/>
      <c r="AF20" s="70"/>
      <c r="AG20" s="120"/>
      <c r="AH20" s="107"/>
      <c r="AI20" s="75"/>
      <c r="AJ20" s="70"/>
      <c r="AK20" s="79"/>
      <c r="AL20" s="110"/>
      <c r="AM20" s="6"/>
      <c r="AN20" s="82"/>
      <c r="AO20" s="87"/>
    </row>
    <row r="21" spans="3:41" ht="18.5" x14ac:dyDescent="0.45">
      <c r="C21" s="86"/>
      <c r="D21" s="71" t="s">
        <v>64</v>
      </c>
      <c r="E21" s="143" t="s">
        <v>94</v>
      </c>
      <c r="F21" s="214" t="s">
        <v>182</v>
      </c>
      <c r="G21" s="5"/>
      <c r="H21" s="110"/>
      <c r="I21" s="70"/>
      <c r="J21" s="214"/>
      <c r="K21" s="79"/>
      <c r="L21" s="79"/>
      <c r="M21" s="245"/>
      <c r="N21" s="245"/>
      <c r="O21" s="245"/>
      <c r="P21" s="79"/>
      <c r="Q21" s="82"/>
      <c r="R21" s="114"/>
      <c r="S21" s="109"/>
      <c r="T21" s="75"/>
      <c r="U21" s="70"/>
      <c r="V21" s="75"/>
      <c r="W21" s="89"/>
      <c r="X21" s="15"/>
      <c r="Y21" s="15"/>
      <c r="Z21" s="66"/>
      <c r="AA21" s="75"/>
      <c r="AB21" s="109"/>
      <c r="AC21" s="75"/>
      <c r="AD21" s="75"/>
      <c r="AE21" s="75"/>
      <c r="AF21" s="70"/>
      <c r="AG21" s="120"/>
      <c r="AH21" s="107"/>
      <c r="AI21" s="75"/>
      <c r="AJ21" s="70"/>
      <c r="AK21" s="79"/>
      <c r="AL21" s="110"/>
      <c r="AM21" s="6"/>
      <c r="AN21" s="82"/>
      <c r="AO21" s="87"/>
    </row>
    <row r="22" spans="3:41" ht="18.5" x14ac:dyDescent="0.45">
      <c r="C22" s="86"/>
      <c r="D22" s="71" t="s">
        <v>65</v>
      </c>
      <c r="E22" s="70"/>
      <c r="F22" s="214" t="s">
        <v>182</v>
      </c>
      <c r="G22" s="5"/>
      <c r="H22" s="110"/>
      <c r="I22" s="70"/>
      <c r="J22" s="214"/>
      <c r="K22" s="79"/>
      <c r="L22" s="79"/>
      <c r="M22" s="245"/>
      <c r="N22" s="245"/>
      <c r="O22" s="245"/>
      <c r="P22" s="79"/>
      <c r="Q22" s="82"/>
      <c r="R22" s="114"/>
      <c r="S22" s="109"/>
      <c r="T22" s="75"/>
      <c r="U22" s="70"/>
      <c r="V22" s="75"/>
      <c r="W22" s="89"/>
      <c r="X22" s="15"/>
      <c r="Y22" s="15"/>
      <c r="Z22" s="66"/>
      <c r="AA22" s="75"/>
      <c r="AB22" s="109"/>
      <c r="AC22" s="75"/>
      <c r="AD22" s="75"/>
      <c r="AE22" s="75"/>
      <c r="AF22" s="70"/>
      <c r="AG22" s="120"/>
      <c r="AH22" s="107"/>
      <c r="AI22" s="75"/>
      <c r="AJ22" s="70"/>
      <c r="AK22" s="79"/>
      <c r="AL22" s="110"/>
      <c r="AM22" s="6"/>
      <c r="AN22" s="82"/>
      <c r="AO22" s="87"/>
    </row>
    <row r="23" spans="3:41" ht="18.5" x14ac:dyDescent="0.45">
      <c r="C23" s="86"/>
      <c r="D23" s="71" t="s">
        <v>66</v>
      </c>
      <c r="E23" s="70"/>
      <c r="F23" s="214" t="s">
        <v>182</v>
      </c>
      <c r="G23" s="5"/>
      <c r="H23" s="110"/>
      <c r="I23" s="82"/>
      <c r="J23" s="214"/>
      <c r="K23" s="79"/>
      <c r="L23" s="79"/>
      <c r="M23" s="245"/>
      <c r="N23" s="245"/>
      <c r="O23" s="245"/>
      <c r="P23" s="79"/>
      <c r="Q23" s="82"/>
      <c r="R23" s="114"/>
      <c r="S23" s="109"/>
      <c r="T23" s="75"/>
      <c r="U23" s="70"/>
      <c r="V23" s="75"/>
      <c r="W23" s="89"/>
      <c r="X23" s="15"/>
      <c r="Y23" s="15"/>
      <c r="Z23" s="66"/>
      <c r="AA23" s="75"/>
      <c r="AB23" s="109"/>
      <c r="AC23" s="75"/>
      <c r="AD23" s="75"/>
      <c r="AE23" s="75"/>
      <c r="AF23" s="70"/>
      <c r="AG23" s="120"/>
      <c r="AH23" s="107"/>
      <c r="AI23" s="75"/>
      <c r="AJ23" s="70"/>
      <c r="AK23" s="79"/>
      <c r="AL23" s="110"/>
      <c r="AM23" s="6"/>
      <c r="AN23" s="82"/>
      <c r="AO23" s="87"/>
    </row>
    <row r="24" spans="3:41" ht="18.5" x14ac:dyDescent="0.45">
      <c r="C24" s="86"/>
      <c r="D24" s="132" t="s">
        <v>86</v>
      </c>
      <c r="E24" s="92"/>
      <c r="F24" s="214" t="s">
        <v>182</v>
      </c>
      <c r="G24" s="11"/>
      <c r="H24" s="110"/>
      <c r="I24" s="82"/>
      <c r="J24" s="176"/>
      <c r="K24" s="79"/>
      <c r="L24" s="79"/>
      <c r="M24" s="245"/>
      <c r="N24" s="245"/>
      <c r="O24" s="245"/>
      <c r="P24" s="79"/>
      <c r="Q24" s="82"/>
      <c r="R24" s="114"/>
      <c r="S24" s="109"/>
      <c r="T24" s="75"/>
      <c r="U24" s="70"/>
      <c r="V24" s="75"/>
      <c r="W24" s="89"/>
      <c r="X24" s="15"/>
      <c r="Y24" s="15"/>
      <c r="Z24" s="66"/>
      <c r="AA24" s="75"/>
      <c r="AB24" s="109"/>
      <c r="AC24" s="75"/>
      <c r="AD24" s="75"/>
      <c r="AE24" s="75"/>
      <c r="AF24" s="70"/>
      <c r="AG24" s="120"/>
      <c r="AH24" s="107"/>
      <c r="AI24" s="75"/>
      <c r="AJ24" s="70"/>
      <c r="AK24" s="79"/>
      <c r="AL24" s="110"/>
      <c r="AM24" s="6"/>
      <c r="AN24" s="82"/>
      <c r="AO24" s="87"/>
    </row>
    <row r="25" spans="3:41" ht="18.5" x14ac:dyDescent="0.45">
      <c r="C25" s="86"/>
      <c r="D25" s="132" t="s">
        <v>87</v>
      </c>
      <c r="E25" s="92"/>
      <c r="F25" s="214" t="s">
        <v>182</v>
      </c>
      <c r="G25" s="11"/>
      <c r="H25" s="110"/>
      <c r="I25" s="82"/>
      <c r="J25" s="176"/>
      <c r="K25" s="79"/>
      <c r="L25" s="79"/>
      <c r="M25" s="245"/>
      <c r="N25" s="245"/>
      <c r="O25" s="245"/>
      <c r="P25" s="79"/>
      <c r="Q25" s="82"/>
      <c r="R25" s="114"/>
      <c r="S25" s="119"/>
      <c r="T25" s="120"/>
      <c r="U25" s="121"/>
      <c r="V25" s="120"/>
      <c r="W25" s="119"/>
      <c r="X25" s="120"/>
      <c r="Y25" s="120"/>
      <c r="Z25" s="121"/>
      <c r="AA25" s="120"/>
      <c r="AB25" s="119"/>
      <c r="AC25" s="120"/>
      <c r="AD25" s="120"/>
      <c r="AE25" s="120"/>
      <c r="AF25" s="121"/>
      <c r="AG25" s="120"/>
      <c r="AH25" s="107"/>
      <c r="AI25" s="75"/>
      <c r="AJ25" s="70"/>
      <c r="AK25" s="79"/>
      <c r="AL25" s="110"/>
      <c r="AM25" s="6"/>
      <c r="AN25" s="82"/>
      <c r="AO25" s="87"/>
    </row>
    <row r="26" spans="3:41" ht="19" thickBot="1" x14ac:dyDescent="0.5">
      <c r="C26" s="86"/>
      <c r="D26" s="133" t="s">
        <v>88</v>
      </c>
      <c r="E26" s="65"/>
      <c r="F26" s="215" t="s">
        <v>182</v>
      </c>
      <c r="G26" s="5"/>
      <c r="H26" s="110"/>
      <c r="I26" s="82"/>
      <c r="J26" s="214"/>
      <c r="K26" s="79"/>
      <c r="L26" s="79"/>
      <c r="M26" s="245"/>
      <c r="N26" s="245"/>
      <c r="O26" s="245"/>
      <c r="P26" s="79"/>
      <c r="Q26" s="82"/>
      <c r="R26" s="114"/>
      <c r="S26" s="119"/>
      <c r="T26" s="120"/>
      <c r="U26" s="121"/>
      <c r="V26" s="120"/>
      <c r="W26" s="119"/>
      <c r="X26" s="120"/>
      <c r="Y26" s="120"/>
      <c r="Z26" s="121"/>
      <c r="AA26" s="120"/>
      <c r="AB26" s="119"/>
      <c r="AC26" s="120"/>
      <c r="AD26" s="120"/>
      <c r="AE26" s="120"/>
      <c r="AF26" s="121"/>
      <c r="AG26" s="120"/>
      <c r="AH26" s="107"/>
      <c r="AI26" s="75"/>
      <c r="AJ26" s="70"/>
      <c r="AK26" s="79"/>
      <c r="AL26" s="110"/>
      <c r="AM26" s="6"/>
      <c r="AN26" s="82"/>
      <c r="AO26" s="87"/>
    </row>
    <row r="27" spans="3:41" ht="19" thickBot="1" x14ac:dyDescent="0.5">
      <c r="C27" s="86"/>
      <c r="D27" s="229" t="s">
        <v>221</v>
      </c>
      <c r="E27" s="230">
        <f>Systemblatt!C11</f>
        <v>8000</v>
      </c>
      <c r="F27" s="231" t="s">
        <v>184</v>
      </c>
      <c r="G27" s="5"/>
      <c r="H27" s="111"/>
      <c r="I27" s="72"/>
      <c r="J27" s="215"/>
      <c r="K27" s="79"/>
      <c r="L27" s="79"/>
      <c r="M27" s="246"/>
      <c r="N27" s="246"/>
      <c r="O27" s="246"/>
      <c r="P27" s="80"/>
      <c r="Q27" s="81"/>
      <c r="R27" s="114"/>
      <c r="S27" s="122"/>
      <c r="T27" s="123"/>
      <c r="U27" s="124"/>
      <c r="V27" s="120"/>
      <c r="W27" s="122"/>
      <c r="X27" s="123"/>
      <c r="Y27" s="123"/>
      <c r="Z27" s="124"/>
      <c r="AA27" s="120"/>
      <c r="AB27" s="122"/>
      <c r="AC27" s="123"/>
      <c r="AD27" s="123"/>
      <c r="AE27" s="123"/>
      <c r="AF27" s="124"/>
      <c r="AG27" s="120"/>
      <c r="AH27" s="134"/>
      <c r="AI27" s="113"/>
      <c r="AJ27" s="72"/>
      <c r="AK27" s="79"/>
      <c r="AL27" s="111"/>
      <c r="AM27" s="135"/>
      <c r="AN27" s="81"/>
      <c r="AO27" s="87"/>
    </row>
    <row r="28" spans="3:41" ht="15.5" x14ac:dyDescent="0.35">
      <c r="C28" s="8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7"/>
    </row>
    <row r="29" spans="3:41" ht="15.5" x14ac:dyDescent="0.35">
      <c r="C29" s="8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7"/>
    </row>
    <row r="30" spans="3:41" ht="15.5" x14ac:dyDescent="0.35"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7"/>
    </row>
    <row r="31" spans="3:41" x14ac:dyDescent="0.35"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7"/>
    </row>
    <row r="32" spans="3:41" x14ac:dyDescent="0.35"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7"/>
    </row>
    <row r="33" spans="3:41" x14ac:dyDescent="0.35"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7"/>
    </row>
    <row r="34" spans="3:41" x14ac:dyDescent="0.35"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7"/>
    </row>
    <row r="35" spans="3:41" x14ac:dyDescent="0.35"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7"/>
    </row>
    <row r="36" spans="3:41" x14ac:dyDescent="0.35"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7"/>
    </row>
    <row r="37" spans="3:41" x14ac:dyDescent="0.35"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7"/>
    </row>
    <row r="38" spans="3:41" x14ac:dyDescent="0.35"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7"/>
    </row>
    <row r="39" spans="3:41" x14ac:dyDescent="0.35"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7"/>
    </row>
    <row r="40" spans="3:41" x14ac:dyDescent="0.35"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7"/>
    </row>
    <row r="41" spans="3:41" x14ac:dyDescent="0.35"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7"/>
    </row>
    <row r="42" spans="3:41" x14ac:dyDescent="0.35"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7"/>
    </row>
    <row r="43" spans="3:41" x14ac:dyDescent="0.35"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7"/>
    </row>
    <row r="44" spans="3:41" x14ac:dyDescent="0.35"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7"/>
    </row>
    <row r="45" spans="3:41" x14ac:dyDescent="0.35"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7"/>
    </row>
    <row r="46" spans="3:41" x14ac:dyDescent="0.35"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7"/>
    </row>
    <row r="47" spans="3:41" ht="15.5" x14ac:dyDescent="0.35">
      <c r="C47" s="86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7"/>
    </row>
    <row r="48" spans="3:41" x14ac:dyDescent="0.35">
      <c r="C48" s="86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7"/>
    </row>
    <row r="49" spans="3:41" x14ac:dyDescent="0.35">
      <c r="C49" s="8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7"/>
    </row>
    <row r="50" spans="3:41" x14ac:dyDescent="0.35">
      <c r="C50" s="86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7"/>
    </row>
    <row r="51" spans="3:41" x14ac:dyDescent="0.35">
      <c r="C51" s="86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7"/>
    </row>
    <row r="52" spans="3:41" x14ac:dyDescent="0.35">
      <c r="C52" s="86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7"/>
    </row>
    <row r="53" spans="3:41" x14ac:dyDescent="0.35">
      <c r="C53" s="86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7"/>
    </row>
    <row r="54" spans="3:41" x14ac:dyDescent="0.35">
      <c r="C54" s="86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7"/>
    </row>
    <row r="55" spans="3:41" x14ac:dyDescent="0.35"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7"/>
    </row>
    <row r="56" spans="3:41" x14ac:dyDescent="0.35"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7"/>
    </row>
    <row r="57" spans="3:41" x14ac:dyDescent="0.35"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7"/>
    </row>
    <row r="58" spans="3:41" x14ac:dyDescent="0.35"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7"/>
    </row>
    <row r="59" spans="3:41" x14ac:dyDescent="0.35"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7"/>
    </row>
    <row r="60" spans="3:41" x14ac:dyDescent="0.35"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7"/>
    </row>
    <row r="61" spans="3:41" x14ac:dyDescent="0.35"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7"/>
    </row>
    <row r="62" spans="3:41" x14ac:dyDescent="0.35"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7"/>
    </row>
    <row r="63" spans="3:41" x14ac:dyDescent="0.35"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7"/>
    </row>
    <row r="64" spans="3:41" x14ac:dyDescent="0.35"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7"/>
    </row>
    <row r="65" spans="3:41" x14ac:dyDescent="0.35"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7"/>
    </row>
    <row r="66" spans="3:41" x14ac:dyDescent="0.35"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7"/>
    </row>
    <row r="67" spans="3:41" x14ac:dyDescent="0.35"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7"/>
    </row>
    <row r="68" spans="3:41" x14ac:dyDescent="0.35"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7"/>
    </row>
    <row r="69" spans="3:41" x14ac:dyDescent="0.35">
      <c r="C69" s="86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7"/>
    </row>
    <row r="70" spans="3:41" ht="15" thickBot="1" x14ac:dyDescent="0.4">
      <c r="C70" s="7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  <c r="AI70" s="94"/>
      <c r="AJ70" s="94"/>
      <c r="AK70" s="88"/>
      <c r="AL70" s="88"/>
      <c r="AM70" s="88"/>
      <c r="AN70" s="88"/>
      <c r="AO70" s="65"/>
    </row>
    <row r="130" spans="18:18" x14ac:dyDescent="0.35">
      <c r="R130" s="3" t="s">
        <v>23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60A0CD14-D4D6-46A2-9E46-69DC1537DA63}">
          <x14:formula1>
            <xm:f>DataBank!$A$3:$A$11</xm:f>
          </x14:formula1>
          <xm:sqref>N11:Q11</xm:sqref>
        </x14:dataValidation>
        <x14:dataValidation type="list" allowBlank="1" showInputMessage="1" showErrorMessage="1" xr:uid="{D608C2B1-88D6-412A-934A-30BBE7D0845A}">
          <x14:formula1>
            <xm:f>Sources!$E$6:$O$6</xm:f>
          </x14:formula1>
          <xm:sqref>P13:Q13</xm:sqref>
        </x14:dataValidation>
        <x14:dataValidation type="list" allowBlank="1" showInputMessage="1" showErrorMessage="1" xr:uid="{9CCC9063-A9FA-47B6-B80C-1EF5E9B15AEC}">
          <x14:formula1>
            <xm:f>DataBank!$C$2:$C$7</xm:f>
          </x14:formula1>
          <xm:sqref>I15</xm:sqref>
        </x14:dataValidation>
        <x14:dataValidation type="list" allowBlank="1" showInputMessage="1" showErrorMessage="1" xr:uid="{6CAEA436-F68D-486E-9A71-4A6BE70C4CBC}">
          <x14:formula1>
            <xm:f>DataBank!$B$2:$B$3</xm:f>
          </x14:formula1>
          <xm:sqref>J15</xm:sqref>
        </x14:dataValidation>
        <x14:dataValidation type="list" allowBlank="1" showInputMessage="1" showErrorMessage="1" xr:uid="{F5F5269E-B5C7-40AF-B5D2-74BD991B7BEE}">
          <x14:formula1>
            <xm:f>Systemblatt!$E$5:$E$38</xm:f>
          </x14:formula1>
          <xm:sqref>AE10:AE27 AC10:AC27 AH10:AH27 I16:I27 T10:T27 N12:N27 P14:Q27 O13:O27 O12:Q12</xm:sqref>
        </x14:dataValidation>
        <x14:dataValidation type="list" allowBlank="1" showInputMessage="1" showErrorMessage="1" xr:uid="{52DB17B5-F23A-4FDA-8F6E-68A01BC36789}">
          <x14:formula1>
            <xm:f>DataBank!$K$17:$K$18</xm:f>
          </x14:formula1>
          <xm:sqref>E26</xm:sqref>
        </x14:dataValidation>
        <x14:dataValidation type="list" allowBlank="1" showInputMessage="1" showErrorMessage="1" xr:uid="{88369BDD-79A8-4C16-9F11-ED49E58E7AF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B89FA5A5-BF00-4CAA-8841-2A05D020B5D6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B91E7407-3844-4B06-9DE8-DD5BB53901DF}">
          <x14:formula1>
            <xm:f>DataBank!$A$3:$A$4</xm:f>
          </x14:formula1>
          <xm:sqref>AB10 AD10</xm:sqref>
        </x14:dataValidation>
        <x14:dataValidation type="whole" allowBlank="1" showInputMessage="1" showErrorMessage="1" xr:uid="{D2D8E6FE-36CB-4263-8DE8-EE27B899100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AFCDEF7-4468-42F0-96C9-4B2EC3E47DA5}">
          <x14:formula1>
            <xm:f>Sources!E7:O7</xm:f>
          </x14:formula1>
          <xm:sqref>W10:W27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/>
  <dimension ref="C1:AO130"/>
  <sheetViews>
    <sheetView topLeftCell="A6" zoomScale="70" zoomScaleNormal="70" workbookViewId="0">
      <selection activeCell="AL12" sqref="AL1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6" width="19.81640625" style="3" bestFit="1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95"/>
      <c r="AJ2" s="95"/>
      <c r="AK2" s="91"/>
      <c r="AL2" s="91"/>
      <c r="AM2" s="91"/>
      <c r="AN2" s="91"/>
      <c r="AO2" s="96"/>
    </row>
    <row r="3" spans="3:41" x14ac:dyDescent="0.35">
      <c r="C3" s="86"/>
      <c r="D3" s="5"/>
      <c r="E3" s="5"/>
      <c r="F3" s="5"/>
      <c r="G3" s="5"/>
      <c r="H3" s="5"/>
      <c r="I3" s="5"/>
      <c r="J3" s="5" t="s">
        <v>22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7"/>
    </row>
    <row r="4" spans="3:41" x14ac:dyDescent="0.35"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7"/>
    </row>
    <row r="5" spans="3:41" x14ac:dyDescent="0.35"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7"/>
    </row>
    <row r="6" spans="3:41" x14ac:dyDescent="0.35">
      <c r="C6" s="86"/>
      <c r="D6" s="363"/>
      <c r="E6" s="363"/>
      <c r="F6" s="5"/>
      <c r="G6" s="5"/>
      <c r="H6" s="363"/>
      <c r="I6" s="363"/>
      <c r="J6" s="15"/>
      <c r="K6" s="15"/>
      <c r="L6" s="5"/>
      <c r="M6" s="363"/>
      <c r="N6" s="363"/>
      <c r="O6" s="363"/>
      <c r="P6" s="363"/>
      <c r="Q6" s="5"/>
      <c r="R6" s="5"/>
      <c r="S6" s="364"/>
      <c r="T6" s="364"/>
      <c r="U6" s="364"/>
      <c r="V6" s="364"/>
      <c r="W6" s="364"/>
      <c r="X6" s="364"/>
      <c r="Y6" s="364"/>
      <c r="Z6" s="364"/>
      <c r="AA6" s="364"/>
      <c r="AB6" s="364"/>
      <c r="AC6" s="364"/>
      <c r="AD6" s="364"/>
      <c r="AE6" s="364"/>
      <c r="AF6" s="364"/>
      <c r="AG6" s="11"/>
      <c r="AH6" s="11"/>
      <c r="AI6" s="11"/>
      <c r="AJ6" s="11"/>
      <c r="AK6" s="11"/>
      <c r="AL6" s="11"/>
      <c r="AM6" s="11"/>
      <c r="AN6" s="11"/>
      <c r="AO6" s="87"/>
    </row>
    <row r="7" spans="3:41" ht="15" thickBot="1" x14ac:dyDescent="0.4"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7"/>
    </row>
    <row r="8" spans="3:41" ht="24" thickBot="1" x14ac:dyDescent="0.6">
      <c r="C8" s="86"/>
      <c r="D8" s="344" t="s">
        <v>52</v>
      </c>
      <c r="E8" s="345"/>
      <c r="F8" s="346"/>
      <c r="G8" s="5"/>
      <c r="H8" s="347" t="s">
        <v>53</v>
      </c>
      <c r="I8" s="348"/>
      <c r="J8" s="349"/>
      <c r="K8" s="16"/>
      <c r="L8" s="5"/>
      <c r="M8" s="357" t="s">
        <v>72</v>
      </c>
      <c r="N8" s="358"/>
      <c r="O8" s="358"/>
      <c r="P8" s="358"/>
      <c r="Q8" s="359"/>
      <c r="R8" s="5"/>
      <c r="S8" s="351" t="s">
        <v>78</v>
      </c>
      <c r="T8" s="352"/>
      <c r="U8" s="353"/>
      <c r="V8" s="12"/>
      <c r="W8" s="354" t="s">
        <v>108</v>
      </c>
      <c r="X8" s="355"/>
      <c r="Y8" s="355"/>
      <c r="Z8" s="356"/>
      <c r="AA8" s="11"/>
      <c r="AB8" s="354" t="s">
        <v>85</v>
      </c>
      <c r="AC8" s="355"/>
      <c r="AD8" s="355"/>
      <c r="AE8" s="355"/>
      <c r="AF8" s="356"/>
      <c r="AG8" s="11"/>
      <c r="AH8" s="360" t="s">
        <v>5</v>
      </c>
      <c r="AI8" s="361"/>
      <c r="AJ8" s="362"/>
      <c r="AK8" s="98"/>
      <c r="AL8" s="360" t="s">
        <v>6</v>
      </c>
      <c r="AM8" s="361"/>
      <c r="AN8" s="362"/>
      <c r="AO8" s="87"/>
    </row>
    <row r="9" spans="3:41" ht="21.5" thickBot="1" x14ac:dyDescent="0.55000000000000004">
      <c r="C9" s="86"/>
      <c r="D9" s="73" t="s">
        <v>32</v>
      </c>
      <c r="E9" s="213" t="s">
        <v>0</v>
      </c>
      <c r="F9" s="216" t="s">
        <v>181</v>
      </c>
      <c r="G9" s="5"/>
      <c r="H9" s="74" t="s">
        <v>32</v>
      </c>
      <c r="I9" s="74" t="s">
        <v>54</v>
      </c>
      <c r="J9" s="74" t="s">
        <v>181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/>
      <c r="S9" s="85" t="s">
        <v>79</v>
      </c>
      <c r="T9" s="85" t="s">
        <v>35</v>
      </c>
      <c r="U9" s="85" t="s">
        <v>80</v>
      </c>
      <c r="V9" s="13"/>
      <c r="W9" s="101" t="s">
        <v>104</v>
      </c>
      <c r="X9" s="203" t="s">
        <v>162</v>
      </c>
      <c r="Y9" s="203" t="s">
        <v>163</v>
      </c>
      <c r="Z9" s="201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11"/>
      <c r="AH9" s="142" t="s">
        <v>35</v>
      </c>
      <c r="AI9" s="142" t="s">
        <v>91</v>
      </c>
      <c r="AJ9" s="142" t="s">
        <v>0</v>
      </c>
      <c r="AK9" s="97"/>
      <c r="AL9" s="142" t="s">
        <v>91</v>
      </c>
      <c r="AM9" s="142" t="s">
        <v>92</v>
      </c>
      <c r="AN9" s="142" t="s">
        <v>93</v>
      </c>
      <c r="AO9" s="87"/>
    </row>
    <row r="10" spans="3:41" ht="18.5" x14ac:dyDescent="0.45">
      <c r="C10" s="86"/>
      <c r="D10" s="67" t="s">
        <v>1</v>
      </c>
      <c r="E10" s="263" t="s">
        <v>207</v>
      </c>
      <c r="F10" s="214" t="s">
        <v>182</v>
      </c>
      <c r="G10" s="5"/>
      <c r="H10" s="69" t="s">
        <v>2</v>
      </c>
      <c r="I10" s="70"/>
      <c r="J10" s="217" t="s">
        <v>182</v>
      </c>
      <c r="K10" s="79"/>
      <c r="L10" s="79"/>
      <c r="M10" s="67" t="s">
        <v>75</v>
      </c>
      <c r="N10" s="179">
        <v>0.1</v>
      </c>
      <c r="O10" s="179">
        <v>0.1</v>
      </c>
      <c r="P10" s="180"/>
      <c r="Q10" s="181"/>
      <c r="R10" s="114"/>
      <c r="S10" s="126">
        <v>777</v>
      </c>
      <c r="T10" s="125" t="s">
        <v>179</v>
      </c>
      <c r="U10" s="127">
        <v>0.8</v>
      </c>
      <c r="V10" s="106"/>
      <c r="W10" s="138"/>
      <c r="X10" s="83">
        <v>777</v>
      </c>
      <c r="Y10" s="139">
        <v>1000</v>
      </c>
      <c r="Z10" s="30">
        <v>1100</v>
      </c>
      <c r="AA10" s="75"/>
      <c r="AB10" s="136"/>
      <c r="AC10" s="83"/>
      <c r="AD10" s="139"/>
      <c r="AE10" s="83"/>
      <c r="AF10" s="137"/>
      <c r="AG10" s="120"/>
      <c r="AH10" s="126" t="s">
        <v>177</v>
      </c>
      <c r="AI10" s="125">
        <v>2</v>
      </c>
      <c r="AJ10" s="127">
        <v>-1</v>
      </c>
      <c r="AK10" s="115"/>
      <c r="AL10" s="128">
        <v>2</v>
      </c>
      <c r="AM10" s="129" t="s">
        <v>177</v>
      </c>
      <c r="AN10" s="130">
        <v>1</v>
      </c>
      <c r="AO10" s="87"/>
    </row>
    <row r="11" spans="3:41" ht="18.5" x14ac:dyDescent="0.45">
      <c r="C11" s="86"/>
      <c r="D11" s="69" t="s">
        <v>3</v>
      </c>
      <c r="E11" s="70">
        <v>200</v>
      </c>
      <c r="F11" s="214" t="s">
        <v>182</v>
      </c>
      <c r="G11" s="5"/>
      <c r="H11" s="69" t="s">
        <v>67</v>
      </c>
      <c r="I11" s="105">
        <v>1</v>
      </c>
      <c r="J11" s="214" t="s">
        <v>191</v>
      </c>
      <c r="K11" s="79"/>
      <c r="L11" s="79"/>
      <c r="M11" s="76" t="s">
        <v>76</v>
      </c>
      <c r="N11" s="125" t="s">
        <v>12</v>
      </c>
      <c r="O11" s="125" t="s">
        <v>12</v>
      </c>
      <c r="P11" s="125"/>
      <c r="Q11" s="125"/>
      <c r="R11" s="114"/>
      <c r="S11" s="51">
        <v>1100</v>
      </c>
      <c r="T11" s="75" t="s">
        <v>179</v>
      </c>
      <c r="U11" s="30">
        <v>0.2</v>
      </c>
      <c r="V11" s="106"/>
      <c r="W11" s="109"/>
      <c r="Y11" s="106"/>
      <c r="Z11" s="30"/>
      <c r="AA11" s="75"/>
      <c r="AB11" s="107"/>
      <c r="AC11" s="75"/>
      <c r="AD11" s="106"/>
      <c r="AE11" s="75"/>
      <c r="AF11" s="108"/>
      <c r="AG11" s="120"/>
      <c r="AH11" s="126" t="s">
        <v>179</v>
      </c>
      <c r="AI11" s="125">
        <v>2</v>
      </c>
      <c r="AJ11" s="127">
        <v>0.25</v>
      </c>
      <c r="AK11" s="115"/>
      <c r="AL11" s="116">
        <v>3</v>
      </c>
      <c r="AM11" s="6" t="s">
        <v>176</v>
      </c>
      <c r="AN11" s="131">
        <v>0.5</v>
      </c>
      <c r="AO11" s="87"/>
    </row>
    <row r="12" spans="3:41" ht="18.5" x14ac:dyDescent="0.45">
      <c r="C12" s="86"/>
      <c r="D12" s="69" t="s">
        <v>42</v>
      </c>
      <c r="E12" s="261" t="s">
        <v>229</v>
      </c>
      <c r="F12" s="214" t="s">
        <v>182</v>
      </c>
      <c r="G12" s="5"/>
      <c r="H12" s="69" t="s">
        <v>68</v>
      </c>
      <c r="I12" s="105">
        <v>10</v>
      </c>
      <c r="J12" s="214" t="str">
        <f>J15</f>
        <v>t/h</v>
      </c>
      <c r="K12" s="79"/>
      <c r="L12" s="79"/>
      <c r="M12" s="76" t="s">
        <v>77</v>
      </c>
      <c r="N12" s="125" t="s">
        <v>177</v>
      </c>
      <c r="O12" s="125" t="s">
        <v>177</v>
      </c>
      <c r="P12" s="79"/>
      <c r="Q12" s="127"/>
      <c r="R12" s="114"/>
      <c r="S12" s="51">
        <v>1000</v>
      </c>
      <c r="T12" s="75" t="s">
        <v>180</v>
      </c>
      <c r="U12" s="30">
        <v>1</v>
      </c>
      <c r="V12" s="106"/>
      <c r="W12" s="109"/>
      <c r="X12" s="75"/>
      <c r="Y12" s="44"/>
      <c r="Z12" s="30"/>
      <c r="AA12" s="44"/>
      <c r="AB12" s="51"/>
      <c r="AC12" s="75"/>
      <c r="AD12" s="44"/>
      <c r="AE12" s="75"/>
      <c r="AF12" s="108"/>
      <c r="AG12" s="120"/>
      <c r="AH12" s="126" t="s">
        <v>180</v>
      </c>
      <c r="AI12" s="125">
        <v>2</v>
      </c>
      <c r="AJ12" s="127">
        <v>0.75</v>
      </c>
      <c r="AK12" s="115"/>
      <c r="AL12" s="116">
        <v>4</v>
      </c>
      <c r="AM12" s="6" t="s">
        <v>175</v>
      </c>
      <c r="AN12" s="131">
        <v>0.6</v>
      </c>
      <c r="AO12" s="87"/>
    </row>
    <row r="13" spans="3:41" ht="18.5" x14ac:dyDescent="0.45">
      <c r="C13" s="86"/>
      <c r="D13" s="69" t="s">
        <v>56</v>
      </c>
      <c r="F13" s="214" t="s">
        <v>182</v>
      </c>
      <c r="G13" s="5"/>
      <c r="H13" s="69" t="s">
        <v>69</v>
      </c>
      <c r="I13" s="105">
        <v>0.1</v>
      </c>
      <c r="J13" s="214" t="s">
        <v>182</v>
      </c>
      <c r="K13" s="79"/>
      <c r="L13" s="79"/>
      <c r="M13" s="76"/>
      <c r="N13" s="75" t="s">
        <v>175</v>
      </c>
      <c r="O13" s="75" t="s">
        <v>175</v>
      </c>
      <c r="P13" s="75"/>
      <c r="Q13" s="70"/>
      <c r="R13" s="114"/>
      <c r="S13" s="51"/>
      <c r="T13" s="75"/>
      <c r="U13" s="30"/>
      <c r="V13" s="44"/>
      <c r="W13" s="109"/>
      <c r="X13" s="75"/>
      <c r="Y13" s="44"/>
      <c r="Z13" s="30"/>
      <c r="AA13" s="44"/>
      <c r="AB13" s="51"/>
      <c r="AC13" s="75"/>
      <c r="AD13" s="44"/>
      <c r="AE13" s="75"/>
      <c r="AF13" s="108"/>
      <c r="AG13" s="120"/>
      <c r="AH13" s="107" t="s">
        <v>176</v>
      </c>
      <c r="AI13" s="106">
        <v>3</v>
      </c>
      <c r="AJ13" s="108">
        <v>-1</v>
      </c>
      <c r="AK13" s="115"/>
      <c r="AL13" s="117"/>
      <c r="AM13" s="6"/>
      <c r="AN13" s="118"/>
      <c r="AO13" s="87"/>
    </row>
    <row r="14" spans="3:41" ht="18.5" x14ac:dyDescent="0.45"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>
        <v>2018</v>
      </c>
      <c r="J14" s="214" t="s">
        <v>194</v>
      </c>
      <c r="K14" s="79"/>
      <c r="L14" s="79"/>
      <c r="M14" s="77"/>
      <c r="N14" s="75" t="s">
        <v>176</v>
      </c>
      <c r="O14" s="75" t="s">
        <v>176</v>
      </c>
      <c r="P14" s="79"/>
      <c r="Q14" s="82"/>
      <c r="R14" s="114"/>
      <c r="S14" s="51"/>
      <c r="T14" s="75"/>
      <c r="U14" s="30"/>
      <c r="V14" s="44"/>
      <c r="W14" s="109"/>
      <c r="X14" s="75"/>
      <c r="Y14" s="44"/>
      <c r="Z14" s="30"/>
      <c r="AA14" s="44"/>
      <c r="AB14" s="51"/>
      <c r="AC14" s="75"/>
      <c r="AD14" s="44"/>
      <c r="AE14" s="75"/>
      <c r="AF14" s="108"/>
      <c r="AG14" s="120"/>
      <c r="AH14" s="107" t="s">
        <v>179</v>
      </c>
      <c r="AI14" s="106">
        <v>3</v>
      </c>
      <c r="AJ14" s="108">
        <v>0.25</v>
      </c>
      <c r="AK14" s="115"/>
      <c r="AL14" s="117"/>
      <c r="AM14" s="6"/>
      <c r="AN14" s="118"/>
      <c r="AO14" s="87"/>
    </row>
    <row r="15" spans="3:41" ht="19" thickBot="1" x14ac:dyDescent="0.5">
      <c r="C15" s="86"/>
      <c r="D15" s="69" t="s">
        <v>58</v>
      </c>
      <c r="E15" s="70">
        <v>2.6</v>
      </c>
      <c r="F15" s="214" t="s">
        <v>182</v>
      </c>
      <c r="G15" s="5"/>
      <c r="H15" s="76" t="s">
        <v>71</v>
      </c>
      <c r="I15" s="70" t="s">
        <v>12</v>
      </c>
      <c r="J15" s="214" t="s">
        <v>192</v>
      </c>
      <c r="K15" s="79"/>
      <c r="L15" s="79"/>
      <c r="M15" s="77"/>
      <c r="N15" s="75" t="s">
        <v>173</v>
      </c>
      <c r="O15" s="75" t="s">
        <v>173</v>
      </c>
      <c r="P15" s="79"/>
      <c r="Q15" s="82"/>
      <c r="R15" s="114"/>
      <c r="S15" s="51"/>
      <c r="T15" s="75"/>
      <c r="U15" s="30"/>
      <c r="V15" s="44"/>
      <c r="W15" s="89"/>
      <c r="X15" s="15"/>
      <c r="Y15" s="15"/>
      <c r="Z15" s="66"/>
      <c r="AA15" s="75"/>
      <c r="AB15" s="109"/>
      <c r="AC15" s="75"/>
      <c r="AD15" s="75"/>
      <c r="AE15" s="75"/>
      <c r="AF15" s="108"/>
      <c r="AG15" s="120"/>
      <c r="AH15" s="107" t="s">
        <v>180</v>
      </c>
      <c r="AI15" s="106">
        <v>3</v>
      </c>
      <c r="AJ15" s="108">
        <v>0.75</v>
      </c>
      <c r="AK15" s="115"/>
      <c r="AL15" s="117"/>
      <c r="AM15" s="6"/>
      <c r="AN15" s="118"/>
      <c r="AO15" s="87"/>
    </row>
    <row r="16" spans="3:41" ht="19" thickBot="1" x14ac:dyDescent="0.5">
      <c r="C16" s="86"/>
      <c r="D16" s="69" t="s">
        <v>59</v>
      </c>
      <c r="E16" s="70">
        <v>1.44</v>
      </c>
      <c r="F16" s="214" t="s">
        <v>182</v>
      </c>
      <c r="G16" s="5"/>
      <c r="H16" s="241" t="s">
        <v>55</v>
      </c>
      <c r="I16" s="68" t="s">
        <v>177</v>
      </c>
      <c r="J16" s="214" t="s">
        <v>182</v>
      </c>
      <c r="K16" s="79"/>
      <c r="L16" s="79"/>
      <c r="M16" s="77"/>
      <c r="N16" s="79"/>
      <c r="O16" s="209"/>
      <c r="P16" s="79"/>
      <c r="Q16" s="82"/>
      <c r="R16" s="114"/>
      <c r="S16" s="109"/>
      <c r="T16" s="75"/>
      <c r="U16" s="70"/>
      <c r="V16" s="75"/>
      <c r="W16" s="89"/>
      <c r="X16" s="15"/>
      <c r="Y16" s="15"/>
      <c r="Z16" s="66"/>
      <c r="AA16" s="75"/>
      <c r="AB16" s="109"/>
      <c r="AC16" s="75"/>
      <c r="AD16" s="75"/>
      <c r="AE16" s="75"/>
      <c r="AF16" s="70"/>
      <c r="AG16" s="120"/>
      <c r="AH16" s="107" t="s">
        <v>175</v>
      </c>
      <c r="AI16" s="75">
        <v>4</v>
      </c>
      <c r="AJ16" s="108">
        <v>-1</v>
      </c>
      <c r="AK16" s="79"/>
      <c r="AL16" s="110"/>
      <c r="AM16" s="6"/>
      <c r="AN16" s="82"/>
      <c r="AO16" s="87"/>
    </row>
    <row r="17" spans="3:41" ht="18.5" x14ac:dyDescent="0.45">
      <c r="C17" s="86"/>
      <c r="D17" s="69" t="s">
        <v>60</v>
      </c>
      <c r="E17" s="70">
        <v>20</v>
      </c>
      <c r="F17" s="214" t="s">
        <v>186</v>
      </c>
      <c r="G17" s="5"/>
      <c r="H17" s="218"/>
      <c r="I17" s="70" t="s">
        <v>173</v>
      </c>
      <c r="J17" s="214" t="s">
        <v>182</v>
      </c>
      <c r="K17" s="79"/>
      <c r="L17" s="79"/>
      <c r="M17" s="77"/>
      <c r="N17" s="79"/>
      <c r="O17" s="79"/>
      <c r="P17" s="79"/>
      <c r="Q17" s="82"/>
      <c r="R17" s="114"/>
      <c r="S17" s="109"/>
      <c r="T17" s="75"/>
      <c r="U17" s="70"/>
      <c r="V17" s="75"/>
      <c r="W17" s="89"/>
      <c r="X17" s="15"/>
      <c r="Y17" s="15"/>
      <c r="Z17" s="66"/>
      <c r="AA17" s="75"/>
      <c r="AB17" s="109"/>
      <c r="AC17" s="75"/>
      <c r="AD17" s="75"/>
      <c r="AE17" s="75"/>
      <c r="AF17" s="70"/>
      <c r="AG17" s="120"/>
      <c r="AH17" s="107" t="s">
        <v>179</v>
      </c>
      <c r="AI17" s="75">
        <v>4</v>
      </c>
      <c r="AJ17" s="108">
        <v>0.25</v>
      </c>
      <c r="AK17" s="79"/>
      <c r="AL17" s="110"/>
      <c r="AM17" s="6"/>
      <c r="AN17" s="82"/>
      <c r="AO17" s="87"/>
    </row>
    <row r="18" spans="3:41" ht="18.5" x14ac:dyDescent="0.45">
      <c r="C18" s="86"/>
      <c r="D18" s="71" t="s">
        <v>61</v>
      </c>
      <c r="E18" s="70">
        <v>35</v>
      </c>
      <c r="F18" s="214" t="s">
        <v>186</v>
      </c>
      <c r="G18" s="5"/>
      <c r="H18" s="77"/>
      <c r="I18" s="70" t="s">
        <v>175</v>
      </c>
      <c r="J18" s="214"/>
      <c r="K18" s="79"/>
      <c r="L18" s="79"/>
      <c r="M18" s="77"/>
      <c r="N18" s="79"/>
      <c r="O18" s="79"/>
      <c r="P18" s="79"/>
      <c r="Q18" s="82"/>
      <c r="R18" s="114"/>
      <c r="S18" s="109"/>
      <c r="T18" s="75"/>
      <c r="U18" s="70"/>
      <c r="V18" s="75"/>
      <c r="W18" s="89"/>
      <c r="X18" s="15"/>
      <c r="Y18" s="15"/>
      <c r="Z18" s="66"/>
      <c r="AA18" s="75"/>
      <c r="AB18" s="109"/>
      <c r="AC18" s="75"/>
      <c r="AD18" s="75"/>
      <c r="AE18" s="75"/>
      <c r="AF18" s="70"/>
      <c r="AG18" s="120"/>
      <c r="AH18" s="107" t="s">
        <v>180</v>
      </c>
      <c r="AI18" s="75">
        <v>4</v>
      </c>
      <c r="AJ18" s="108">
        <v>0.75</v>
      </c>
      <c r="AK18" s="79"/>
      <c r="AL18" s="110"/>
      <c r="AM18" s="6"/>
      <c r="AN18" s="82"/>
      <c r="AO18" s="87"/>
    </row>
    <row r="19" spans="3:41" ht="18.5" x14ac:dyDescent="0.45">
      <c r="C19" s="86"/>
      <c r="D19" s="69" t="s">
        <v>62</v>
      </c>
      <c r="E19" s="70"/>
      <c r="F19" s="214" t="s">
        <v>186</v>
      </c>
      <c r="G19" s="5"/>
      <c r="H19" s="77"/>
      <c r="I19" s="70" t="s">
        <v>176</v>
      </c>
      <c r="J19" s="214"/>
      <c r="K19" s="79"/>
      <c r="L19" s="79"/>
      <c r="M19" s="77"/>
      <c r="N19" s="79"/>
      <c r="O19" s="79"/>
      <c r="P19" s="79"/>
      <c r="Q19" s="82"/>
      <c r="R19" s="114"/>
      <c r="S19" s="109"/>
      <c r="T19" s="75"/>
      <c r="U19" s="70"/>
      <c r="V19" s="75"/>
      <c r="W19" s="89"/>
      <c r="X19" s="15"/>
      <c r="Y19" s="15"/>
      <c r="Z19" s="66"/>
      <c r="AA19" s="75"/>
      <c r="AB19" s="109"/>
      <c r="AC19" s="75"/>
      <c r="AD19" s="75"/>
      <c r="AE19" s="75"/>
      <c r="AF19" s="70"/>
      <c r="AG19" s="120"/>
      <c r="AH19" s="107"/>
      <c r="AI19" s="75"/>
      <c r="AJ19" s="70"/>
      <c r="AK19" s="79"/>
      <c r="AL19" s="110"/>
      <c r="AM19" s="6"/>
      <c r="AN19" s="82"/>
      <c r="AO19" s="87"/>
    </row>
    <row r="20" spans="3:41" ht="18.5" x14ac:dyDescent="0.45">
      <c r="C20" s="86"/>
      <c r="D20" s="71" t="s">
        <v>63</v>
      </c>
      <c r="E20" s="70"/>
      <c r="F20" s="214" t="s">
        <v>186</v>
      </c>
      <c r="G20" s="5"/>
      <c r="H20" s="77"/>
      <c r="I20" s="70"/>
      <c r="J20" s="214"/>
      <c r="K20" s="79"/>
      <c r="L20" s="79"/>
      <c r="M20" s="110"/>
      <c r="N20" s="79"/>
      <c r="O20" s="79"/>
      <c r="P20" s="79"/>
      <c r="Q20" s="82"/>
      <c r="R20" s="114"/>
      <c r="S20" s="109"/>
      <c r="T20" s="75"/>
      <c r="U20" s="70"/>
      <c r="V20" s="75"/>
      <c r="W20" s="89"/>
      <c r="X20" s="15"/>
      <c r="Y20" s="15"/>
      <c r="Z20" s="66"/>
      <c r="AA20" s="75"/>
      <c r="AB20" s="109"/>
      <c r="AC20" s="75"/>
      <c r="AD20" s="75"/>
      <c r="AE20" s="75"/>
      <c r="AF20" s="70"/>
      <c r="AG20" s="120"/>
      <c r="AH20" s="107"/>
      <c r="AI20" s="75"/>
      <c r="AJ20" s="70"/>
      <c r="AK20" s="79"/>
      <c r="AL20" s="110"/>
      <c r="AM20" s="6"/>
      <c r="AN20" s="82"/>
      <c r="AO20" s="87"/>
    </row>
    <row r="21" spans="3:41" ht="18.5" x14ac:dyDescent="0.45">
      <c r="C21" s="86"/>
      <c r="D21" s="71" t="s">
        <v>64</v>
      </c>
      <c r="E21" s="143" t="s">
        <v>94</v>
      </c>
      <c r="F21" s="214" t="s">
        <v>182</v>
      </c>
      <c r="G21" s="5"/>
      <c r="H21" s="110"/>
      <c r="I21" s="70"/>
      <c r="J21" s="214"/>
      <c r="K21" s="79"/>
      <c r="L21" s="79"/>
      <c r="M21" s="110"/>
      <c r="N21" s="79"/>
      <c r="O21" s="79"/>
      <c r="P21" s="79"/>
      <c r="Q21" s="82"/>
      <c r="R21" s="114"/>
      <c r="S21" s="109"/>
      <c r="T21" s="75"/>
      <c r="U21" s="70"/>
      <c r="V21" s="75"/>
      <c r="W21" s="89"/>
      <c r="X21" s="15"/>
      <c r="Y21" s="15"/>
      <c r="Z21" s="66"/>
      <c r="AA21" s="75"/>
      <c r="AB21" s="109"/>
      <c r="AC21" s="75"/>
      <c r="AD21" s="75"/>
      <c r="AE21" s="75"/>
      <c r="AF21" s="70"/>
      <c r="AG21" s="120"/>
      <c r="AH21" s="107"/>
      <c r="AI21" s="75"/>
      <c r="AJ21" s="70"/>
      <c r="AK21" s="79"/>
      <c r="AL21" s="110"/>
      <c r="AM21" s="6"/>
      <c r="AN21" s="82"/>
      <c r="AO21" s="87"/>
    </row>
    <row r="22" spans="3:41" ht="18.5" x14ac:dyDescent="0.45">
      <c r="C22" s="86"/>
      <c r="D22" s="71" t="s">
        <v>65</v>
      </c>
      <c r="E22" s="70"/>
      <c r="F22" s="214" t="s">
        <v>182</v>
      </c>
      <c r="G22" s="5"/>
      <c r="H22" s="110"/>
      <c r="I22" s="70"/>
      <c r="J22" s="214"/>
      <c r="K22" s="79"/>
      <c r="L22" s="79"/>
      <c r="M22" s="110"/>
      <c r="N22" s="79"/>
      <c r="O22" s="79"/>
      <c r="P22" s="79"/>
      <c r="Q22" s="82"/>
      <c r="R22" s="114"/>
      <c r="S22" s="109"/>
      <c r="T22" s="75"/>
      <c r="U22" s="70"/>
      <c r="V22" s="75"/>
      <c r="W22" s="89"/>
      <c r="X22" s="15"/>
      <c r="Y22" s="15"/>
      <c r="Z22" s="66"/>
      <c r="AA22" s="75"/>
      <c r="AB22" s="109"/>
      <c r="AC22" s="75"/>
      <c r="AD22" s="75"/>
      <c r="AE22" s="75"/>
      <c r="AF22" s="70"/>
      <c r="AG22" s="120"/>
      <c r="AH22" s="107"/>
      <c r="AI22" s="75"/>
      <c r="AJ22" s="70"/>
      <c r="AK22" s="79"/>
      <c r="AL22" s="110"/>
      <c r="AM22" s="6"/>
      <c r="AN22" s="82"/>
      <c r="AO22" s="87"/>
    </row>
    <row r="23" spans="3:41" ht="18.5" x14ac:dyDescent="0.45">
      <c r="C23" s="86"/>
      <c r="D23" s="71" t="s">
        <v>66</v>
      </c>
      <c r="E23" s="70"/>
      <c r="F23" s="214" t="s">
        <v>182</v>
      </c>
      <c r="G23" s="5"/>
      <c r="H23" s="110"/>
      <c r="I23" s="82"/>
      <c r="J23" s="214"/>
      <c r="K23" s="79"/>
      <c r="L23" s="79"/>
      <c r="M23" s="110"/>
      <c r="N23" s="79"/>
      <c r="O23" s="79"/>
      <c r="P23" s="79"/>
      <c r="Q23" s="82"/>
      <c r="R23" s="114"/>
      <c r="S23" s="109"/>
      <c r="T23" s="75"/>
      <c r="U23" s="70"/>
      <c r="V23" s="75"/>
      <c r="W23" s="89"/>
      <c r="X23" s="15"/>
      <c r="Y23" s="15"/>
      <c r="Z23" s="66"/>
      <c r="AA23" s="75"/>
      <c r="AB23" s="109"/>
      <c r="AC23" s="75"/>
      <c r="AD23" s="75"/>
      <c r="AE23" s="75"/>
      <c r="AF23" s="70"/>
      <c r="AG23" s="120"/>
      <c r="AH23" s="107"/>
      <c r="AI23" s="75"/>
      <c r="AJ23" s="70"/>
      <c r="AK23" s="79"/>
      <c r="AL23" s="110"/>
      <c r="AM23" s="6"/>
      <c r="AN23" s="82"/>
      <c r="AO23" s="87"/>
    </row>
    <row r="24" spans="3:41" ht="18.5" x14ac:dyDescent="0.45">
      <c r="C24" s="86"/>
      <c r="D24" s="132" t="s">
        <v>86</v>
      </c>
      <c r="E24" s="92"/>
      <c r="F24" s="214" t="s">
        <v>182</v>
      </c>
      <c r="G24" s="11"/>
      <c r="H24" s="110"/>
      <c r="I24" s="82"/>
      <c r="J24" s="176"/>
      <c r="K24" s="79"/>
      <c r="L24" s="79"/>
      <c r="M24" s="110"/>
      <c r="N24" s="79"/>
      <c r="O24" s="79"/>
      <c r="P24" s="79"/>
      <c r="Q24" s="82"/>
      <c r="R24" s="114"/>
      <c r="S24" s="109"/>
      <c r="T24" s="75"/>
      <c r="U24" s="70"/>
      <c r="V24" s="75"/>
      <c r="W24" s="89"/>
      <c r="X24" s="15"/>
      <c r="Y24" s="15"/>
      <c r="Z24" s="66"/>
      <c r="AA24" s="75"/>
      <c r="AB24" s="109"/>
      <c r="AC24" s="75"/>
      <c r="AD24" s="75"/>
      <c r="AE24" s="75"/>
      <c r="AF24" s="70"/>
      <c r="AG24" s="120"/>
      <c r="AH24" s="107"/>
      <c r="AI24" s="75"/>
      <c r="AJ24" s="70"/>
      <c r="AK24" s="79"/>
      <c r="AL24" s="110"/>
      <c r="AM24" s="6"/>
      <c r="AN24" s="82"/>
      <c r="AO24" s="87"/>
    </row>
    <row r="25" spans="3:41" ht="18.5" x14ac:dyDescent="0.45">
      <c r="C25" s="86"/>
      <c r="D25" s="132" t="s">
        <v>87</v>
      </c>
      <c r="E25" s="92"/>
      <c r="F25" s="214" t="s">
        <v>182</v>
      </c>
      <c r="G25" s="11"/>
      <c r="H25" s="110"/>
      <c r="I25" s="82"/>
      <c r="J25" s="176"/>
      <c r="K25" s="79"/>
      <c r="L25" s="79"/>
      <c r="M25" s="110"/>
      <c r="N25" s="79"/>
      <c r="O25" s="79"/>
      <c r="P25" s="79"/>
      <c r="Q25" s="82"/>
      <c r="R25" s="114"/>
      <c r="S25" s="119"/>
      <c r="T25" s="120"/>
      <c r="U25" s="121"/>
      <c r="V25" s="120"/>
      <c r="W25" s="119"/>
      <c r="X25" s="120"/>
      <c r="Y25" s="120"/>
      <c r="Z25" s="121"/>
      <c r="AA25" s="120"/>
      <c r="AB25" s="119"/>
      <c r="AC25" s="120"/>
      <c r="AD25" s="120"/>
      <c r="AE25" s="120"/>
      <c r="AF25" s="121"/>
      <c r="AG25" s="120"/>
      <c r="AH25" s="107"/>
      <c r="AI25" s="75"/>
      <c r="AJ25" s="70"/>
      <c r="AK25" s="79"/>
      <c r="AL25" s="110"/>
      <c r="AM25" s="6"/>
      <c r="AN25" s="82"/>
      <c r="AO25" s="87"/>
    </row>
    <row r="26" spans="3:41" ht="19" thickBot="1" x14ac:dyDescent="0.5">
      <c r="C26" s="86"/>
      <c r="D26" s="133" t="s">
        <v>88</v>
      </c>
      <c r="E26" s="65"/>
      <c r="F26" s="215" t="s">
        <v>182</v>
      </c>
      <c r="G26" s="5"/>
      <c r="H26" s="110"/>
      <c r="I26" s="82"/>
      <c r="J26" s="214"/>
      <c r="K26" s="79"/>
      <c r="L26" s="79"/>
      <c r="M26" s="110"/>
      <c r="N26" s="79"/>
      <c r="O26" s="79"/>
      <c r="P26" s="79"/>
      <c r="Q26" s="82"/>
      <c r="R26" s="114"/>
      <c r="S26" s="119"/>
      <c r="T26" s="120"/>
      <c r="U26" s="121"/>
      <c r="V26" s="120"/>
      <c r="W26" s="119"/>
      <c r="X26" s="120"/>
      <c r="Y26" s="120"/>
      <c r="Z26" s="121"/>
      <c r="AA26" s="120"/>
      <c r="AB26" s="119"/>
      <c r="AC26" s="120"/>
      <c r="AD26" s="120"/>
      <c r="AE26" s="120"/>
      <c r="AF26" s="121"/>
      <c r="AG26" s="120"/>
      <c r="AH26" s="107"/>
      <c r="AI26" s="75"/>
      <c r="AJ26" s="70"/>
      <c r="AK26" s="79"/>
      <c r="AL26" s="110"/>
      <c r="AM26" s="6"/>
      <c r="AN26" s="82"/>
      <c r="AO26" s="87"/>
    </row>
    <row r="27" spans="3:41" ht="19" thickBot="1" x14ac:dyDescent="0.5">
      <c r="C27" s="86"/>
      <c r="D27" s="229" t="s">
        <v>221</v>
      </c>
      <c r="E27" s="230">
        <f>Systemblatt!C11</f>
        <v>8000</v>
      </c>
      <c r="F27" s="231" t="s">
        <v>184</v>
      </c>
      <c r="G27" s="5"/>
      <c r="H27" s="111"/>
      <c r="I27" s="81"/>
      <c r="J27" s="215"/>
      <c r="K27" s="79"/>
      <c r="L27" s="79"/>
      <c r="M27" s="111"/>
      <c r="N27" s="80"/>
      <c r="O27" s="80"/>
      <c r="P27" s="80"/>
      <c r="Q27" s="81"/>
      <c r="R27" s="114"/>
      <c r="S27" s="122"/>
      <c r="T27" s="123"/>
      <c r="U27" s="124"/>
      <c r="V27" s="120"/>
      <c r="W27" s="122"/>
      <c r="X27" s="123"/>
      <c r="Y27" s="123"/>
      <c r="Z27" s="124"/>
      <c r="AA27" s="120"/>
      <c r="AB27" s="122"/>
      <c r="AC27" s="123"/>
      <c r="AD27" s="123"/>
      <c r="AE27" s="123"/>
      <c r="AF27" s="124"/>
      <c r="AG27" s="120"/>
      <c r="AH27" s="134"/>
      <c r="AI27" s="113"/>
      <c r="AJ27" s="72"/>
      <c r="AK27" s="79"/>
      <c r="AL27" s="111"/>
      <c r="AM27" s="135"/>
      <c r="AN27" s="81"/>
      <c r="AO27" s="87"/>
    </row>
    <row r="28" spans="3:41" ht="15.5" x14ac:dyDescent="0.35">
      <c r="C28" s="8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7"/>
    </row>
    <row r="29" spans="3:41" ht="15.5" x14ac:dyDescent="0.35">
      <c r="C29" s="8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7"/>
    </row>
    <row r="30" spans="3:41" ht="15.5" x14ac:dyDescent="0.35"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7"/>
    </row>
    <row r="31" spans="3:41" x14ac:dyDescent="0.35"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7"/>
    </row>
    <row r="32" spans="3:41" x14ac:dyDescent="0.35"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7"/>
    </row>
    <row r="33" spans="3:41" x14ac:dyDescent="0.35"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7"/>
    </row>
    <row r="34" spans="3:41" x14ac:dyDescent="0.35"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7"/>
    </row>
    <row r="35" spans="3:41" x14ac:dyDescent="0.35"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7"/>
    </row>
    <row r="36" spans="3:41" x14ac:dyDescent="0.35"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7"/>
    </row>
    <row r="37" spans="3:41" x14ac:dyDescent="0.35"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7"/>
    </row>
    <row r="38" spans="3:41" x14ac:dyDescent="0.35"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7"/>
    </row>
    <row r="39" spans="3:41" x14ac:dyDescent="0.35"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7"/>
    </row>
    <row r="40" spans="3:41" x14ac:dyDescent="0.35"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7"/>
    </row>
    <row r="41" spans="3:41" x14ac:dyDescent="0.35"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7"/>
    </row>
    <row r="42" spans="3:41" x14ac:dyDescent="0.35"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7"/>
    </row>
    <row r="43" spans="3:41" x14ac:dyDescent="0.35"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7"/>
    </row>
    <row r="44" spans="3:41" x14ac:dyDescent="0.35"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7"/>
    </row>
    <row r="45" spans="3:41" x14ac:dyDescent="0.35"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7"/>
    </row>
    <row r="46" spans="3:41" x14ac:dyDescent="0.35"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7"/>
    </row>
    <row r="47" spans="3:41" ht="15.5" x14ac:dyDescent="0.35">
      <c r="C47" s="86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7"/>
    </row>
    <row r="48" spans="3:41" x14ac:dyDescent="0.35">
      <c r="C48" s="86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7"/>
    </row>
    <row r="49" spans="3:41" x14ac:dyDescent="0.35">
      <c r="C49" s="8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7"/>
    </row>
    <row r="50" spans="3:41" x14ac:dyDescent="0.35">
      <c r="C50" s="86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7"/>
    </row>
    <row r="51" spans="3:41" x14ac:dyDescent="0.35">
      <c r="C51" s="86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7"/>
    </row>
    <row r="52" spans="3:41" x14ac:dyDescent="0.35">
      <c r="C52" s="86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7"/>
    </row>
    <row r="53" spans="3:41" x14ac:dyDescent="0.35">
      <c r="C53" s="86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7"/>
    </row>
    <row r="54" spans="3:41" x14ac:dyDescent="0.35">
      <c r="C54" s="86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7"/>
    </row>
    <row r="55" spans="3:41" x14ac:dyDescent="0.35"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7"/>
    </row>
    <row r="56" spans="3:41" x14ac:dyDescent="0.35"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7"/>
    </row>
    <row r="57" spans="3:41" x14ac:dyDescent="0.35"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7"/>
    </row>
    <row r="58" spans="3:41" x14ac:dyDescent="0.35"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7"/>
    </row>
    <row r="59" spans="3:41" x14ac:dyDescent="0.35"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7"/>
    </row>
    <row r="60" spans="3:41" x14ac:dyDescent="0.35"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7"/>
    </row>
    <row r="61" spans="3:41" x14ac:dyDescent="0.35"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7"/>
    </row>
    <row r="62" spans="3:41" x14ac:dyDescent="0.35"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7"/>
    </row>
    <row r="63" spans="3:41" x14ac:dyDescent="0.35"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7"/>
    </row>
    <row r="64" spans="3:41" x14ac:dyDescent="0.35"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7"/>
    </row>
    <row r="65" spans="3:41" x14ac:dyDescent="0.35"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7"/>
    </row>
    <row r="66" spans="3:41" x14ac:dyDescent="0.35"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7"/>
    </row>
    <row r="67" spans="3:41" x14ac:dyDescent="0.35"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7"/>
    </row>
    <row r="68" spans="3:41" x14ac:dyDescent="0.35"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7"/>
    </row>
    <row r="69" spans="3:41" x14ac:dyDescent="0.35">
      <c r="C69" s="86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7"/>
    </row>
    <row r="70" spans="3:41" ht="15" thickBot="1" x14ac:dyDescent="0.4">
      <c r="C70" s="7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  <c r="AI70" s="94"/>
      <c r="AJ70" s="94"/>
      <c r="AK70" s="88"/>
      <c r="AL70" s="88"/>
      <c r="AM70" s="88"/>
      <c r="AN70" s="88"/>
      <c r="AO70" s="65"/>
    </row>
    <row r="130" spans="18:18" x14ac:dyDescent="0.35">
      <c r="R130" s="3" t="s">
        <v>23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1995AB6C-0151-4C71-9942-64DBD0CD12EC}">
          <x14:formula1>
            <xm:f>DataBank!$A$3:$A$11</xm:f>
          </x14:formula1>
          <xm:sqref>N11:Q11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N13:Q13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BDE93ECE-D802-4112-863E-62E1975FB345}">
          <x14:formula1>
            <xm:f>Systemblatt!$E$5:$E$38</xm:f>
          </x14:formula1>
          <xm:sqref>AE10:AE27 AC10:AC27 P14:Q16 N12:N16 I16:I27 O13:O15 N17:Q27 AH10:AH27 O12:Q12 T10:T27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B4503F82-DBC9-40EF-9B42-6A2C0E40146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669D1316-9FE3-46AF-9C1C-600AA847D4DC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5C040-A3B1-4D3E-BD44-8CDEF112E71B}">
  <sheetPr codeName="Tabelle42"/>
  <dimension ref="C1:AO130"/>
  <sheetViews>
    <sheetView zoomScale="58" zoomScaleNormal="58" workbookViewId="0">
      <selection activeCell="AI18" sqref="AI18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3.4531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95"/>
      <c r="AJ2" s="95"/>
      <c r="AK2" s="91"/>
      <c r="AL2" s="91"/>
      <c r="AM2" s="91"/>
      <c r="AN2" s="91"/>
      <c r="AO2" s="96"/>
    </row>
    <row r="3" spans="3:41" x14ac:dyDescent="0.35">
      <c r="C3" s="86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7"/>
    </row>
    <row r="4" spans="3:41" x14ac:dyDescent="0.35"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7"/>
    </row>
    <row r="5" spans="3:41" x14ac:dyDescent="0.35"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7"/>
    </row>
    <row r="6" spans="3:41" x14ac:dyDescent="0.35">
      <c r="C6" s="86"/>
      <c r="D6" s="363"/>
      <c r="E6" s="363"/>
      <c r="F6" s="5"/>
      <c r="G6" s="5"/>
      <c r="H6" s="363"/>
      <c r="I6" s="363"/>
      <c r="J6" s="15"/>
      <c r="K6" s="15"/>
      <c r="L6" s="5"/>
      <c r="M6" s="363"/>
      <c r="N6" s="363"/>
      <c r="O6" s="363"/>
      <c r="P6" s="363"/>
      <c r="Q6" s="5"/>
      <c r="R6" s="5"/>
      <c r="S6" s="364"/>
      <c r="T6" s="364"/>
      <c r="U6" s="364"/>
      <c r="V6" s="364"/>
      <c r="W6" s="364"/>
      <c r="X6" s="364"/>
      <c r="Y6" s="364"/>
      <c r="Z6" s="364"/>
      <c r="AA6" s="364"/>
      <c r="AB6" s="364"/>
      <c r="AC6" s="364"/>
      <c r="AD6" s="364"/>
      <c r="AE6" s="364"/>
      <c r="AF6" s="364"/>
      <c r="AG6" s="11"/>
      <c r="AH6" s="11"/>
      <c r="AI6" s="11"/>
      <c r="AJ6" s="11"/>
      <c r="AK6" s="11"/>
      <c r="AL6" s="11"/>
      <c r="AM6" s="11"/>
      <c r="AN6" s="11"/>
      <c r="AO6" s="87"/>
    </row>
    <row r="7" spans="3:41" ht="15" thickBot="1" x14ac:dyDescent="0.4"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7"/>
    </row>
    <row r="8" spans="3:41" ht="24" thickBot="1" x14ac:dyDescent="0.6">
      <c r="C8" s="86"/>
      <c r="D8" s="344" t="s">
        <v>52</v>
      </c>
      <c r="E8" s="345"/>
      <c r="F8" s="346"/>
      <c r="G8" s="5"/>
      <c r="H8" s="347" t="s">
        <v>53</v>
      </c>
      <c r="I8" s="348"/>
      <c r="J8" s="349"/>
      <c r="K8" s="16"/>
      <c r="L8" s="5"/>
      <c r="M8" s="357" t="s">
        <v>72</v>
      </c>
      <c r="N8" s="358"/>
      <c r="O8" s="358"/>
      <c r="P8" s="358"/>
      <c r="Q8" s="359"/>
      <c r="R8" s="5"/>
      <c r="S8" s="351" t="s">
        <v>78</v>
      </c>
      <c r="T8" s="352"/>
      <c r="U8" s="353"/>
      <c r="V8" s="12"/>
      <c r="W8" s="354" t="s">
        <v>108</v>
      </c>
      <c r="X8" s="355"/>
      <c r="Y8" s="355"/>
      <c r="Z8" s="356"/>
      <c r="AA8" s="11"/>
      <c r="AB8" s="354" t="s">
        <v>85</v>
      </c>
      <c r="AC8" s="355"/>
      <c r="AD8" s="355"/>
      <c r="AE8" s="355"/>
      <c r="AF8" s="356"/>
      <c r="AG8" s="11"/>
      <c r="AH8" s="360" t="s">
        <v>5</v>
      </c>
      <c r="AI8" s="361"/>
      <c r="AJ8" s="362"/>
      <c r="AK8" s="98"/>
      <c r="AL8" s="360" t="s">
        <v>6</v>
      </c>
      <c r="AM8" s="361"/>
      <c r="AN8" s="362"/>
      <c r="AO8" s="87"/>
    </row>
    <row r="9" spans="3:41" ht="21.5" thickBot="1" x14ac:dyDescent="0.55000000000000004">
      <c r="C9" s="86"/>
      <c r="D9" s="73" t="s">
        <v>32</v>
      </c>
      <c r="E9" s="213" t="s">
        <v>0</v>
      </c>
      <c r="F9" s="216" t="s">
        <v>181</v>
      </c>
      <c r="G9" s="5"/>
      <c r="H9" s="99" t="s">
        <v>32</v>
      </c>
      <c r="I9" s="99" t="s">
        <v>54</v>
      </c>
      <c r="J9" s="74" t="s">
        <v>181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/>
      <c r="S9" s="85" t="s">
        <v>79</v>
      </c>
      <c r="T9" s="85" t="s">
        <v>35</v>
      </c>
      <c r="U9" s="85" t="s">
        <v>80</v>
      </c>
      <c r="V9" s="13"/>
      <c r="W9" s="101" t="s">
        <v>104</v>
      </c>
      <c r="X9" s="203" t="s">
        <v>162</v>
      </c>
      <c r="Y9" s="203" t="s">
        <v>163</v>
      </c>
      <c r="Z9" s="201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11"/>
      <c r="AH9" s="142" t="s">
        <v>35</v>
      </c>
      <c r="AI9" s="142" t="s">
        <v>91</v>
      </c>
      <c r="AJ9" s="142" t="s">
        <v>0</v>
      </c>
      <c r="AK9" s="97"/>
      <c r="AL9" s="142" t="s">
        <v>91</v>
      </c>
      <c r="AM9" s="142" t="s">
        <v>92</v>
      </c>
      <c r="AN9" s="142" t="s">
        <v>93</v>
      </c>
      <c r="AO9" s="87"/>
    </row>
    <row r="10" spans="3:41" ht="18.5" x14ac:dyDescent="0.45">
      <c r="C10" s="86"/>
      <c r="D10" s="67" t="s">
        <v>1</v>
      </c>
      <c r="E10" s="68" t="s">
        <v>208</v>
      </c>
      <c r="F10" s="214" t="s">
        <v>182</v>
      </c>
      <c r="G10" s="5"/>
      <c r="H10" s="67" t="s">
        <v>2</v>
      </c>
      <c r="I10" s="68"/>
      <c r="J10" s="96" t="s">
        <v>182</v>
      </c>
      <c r="K10" s="79"/>
      <c r="L10" s="79"/>
      <c r="M10" s="67" t="s">
        <v>75</v>
      </c>
      <c r="N10" s="179"/>
      <c r="O10" s="179"/>
      <c r="P10" s="180"/>
      <c r="Q10" s="181"/>
      <c r="R10" s="114"/>
      <c r="S10" s="103"/>
      <c r="T10" s="104"/>
      <c r="U10" s="105"/>
      <c r="V10" s="106"/>
      <c r="W10" s="138"/>
      <c r="X10" s="83"/>
      <c r="Y10" s="139"/>
      <c r="Z10" s="137"/>
      <c r="AA10" s="75"/>
      <c r="AB10" s="136"/>
      <c r="AC10" s="83"/>
      <c r="AD10" s="139"/>
      <c r="AE10" s="83"/>
      <c r="AF10" s="137"/>
      <c r="AG10" s="120"/>
      <c r="AH10" s="126" t="s">
        <v>179</v>
      </c>
      <c r="AI10" s="125">
        <v>5</v>
      </c>
      <c r="AJ10" s="127">
        <v>-1</v>
      </c>
      <c r="AK10" s="115"/>
      <c r="AL10" s="128">
        <v>5</v>
      </c>
      <c r="AM10" s="129" t="s">
        <v>179</v>
      </c>
      <c r="AN10" s="130">
        <v>1</v>
      </c>
      <c r="AO10" s="87"/>
    </row>
    <row r="11" spans="3:41" ht="18.5" x14ac:dyDescent="0.45">
      <c r="C11" s="86"/>
      <c r="D11" s="69" t="s">
        <v>3</v>
      </c>
      <c r="E11" s="70">
        <v>300</v>
      </c>
      <c r="F11" s="214" t="s">
        <v>182</v>
      </c>
      <c r="G11" s="5"/>
      <c r="H11" s="69" t="s">
        <v>67</v>
      </c>
      <c r="I11" s="105">
        <v>2</v>
      </c>
      <c r="J11" s="87" t="s">
        <v>191</v>
      </c>
      <c r="K11" s="79"/>
      <c r="L11" s="79"/>
      <c r="M11" s="76" t="s">
        <v>76</v>
      </c>
      <c r="N11" s="125"/>
      <c r="O11" s="125"/>
      <c r="P11" s="125"/>
      <c r="Q11" s="125"/>
      <c r="R11" s="114"/>
      <c r="S11" s="103"/>
      <c r="T11" s="104"/>
      <c r="U11" s="105"/>
      <c r="V11" s="106"/>
      <c r="W11" s="109"/>
      <c r="X11" s="75"/>
      <c r="Y11" s="106"/>
      <c r="Z11" s="108"/>
      <c r="AA11" s="75"/>
      <c r="AB11" s="107"/>
      <c r="AC11" s="75"/>
      <c r="AD11" s="106"/>
      <c r="AE11" s="75"/>
      <c r="AF11" s="108"/>
      <c r="AG11" s="120"/>
      <c r="AH11" s="126" t="s">
        <v>15</v>
      </c>
      <c r="AI11" s="125">
        <v>5</v>
      </c>
      <c r="AJ11" s="127">
        <v>0.8</v>
      </c>
      <c r="AK11" s="115"/>
      <c r="AL11" s="116"/>
      <c r="AM11" s="6"/>
      <c r="AN11" s="131"/>
      <c r="AO11" s="87"/>
    </row>
    <row r="12" spans="3:41" ht="18.5" x14ac:dyDescent="0.45">
      <c r="C12" s="86"/>
      <c r="D12" s="69" t="s">
        <v>42</v>
      </c>
      <c r="E12" s="205" t="s">
        <v>165</v>
      </c>
      <c r="F12" s="214" t="s">
        <v>182</v>
      </c>
      <c r="G12" s="5"/>
      <c r="H12" s="69" t="s">
        <v>68</v>
      </c>
      <c r="I12" s="105">
        <v>10</v>
      </c>
      <c r="J12" s="87" t="str">
        <f>J15</f>
        <v>t/h</v>
      </c>
      <c r="K12" s="79"/>
      <c r="L12" s="79"/>
      <c r="M12" s="76" t="s">
        <v>77</v>
      </c>
      <c r="N12" s="125"/>
      <c r="O12" s="125"/>
      <c r="P12" s="79"/>
      <c r="Q12" s="127"/>
      <c r="R12" s="114"/>
      <c r="S12" s="126"/>
      <c r="T12" s="125"/>
      <c r="U12" s="127"/>
      <c r="V12" s="106"/>
      <c r="W12" s="109"/>
      <c r="X12" s="75"/>
      <c r="Y12" s="44"/>
      <c r="Z12" s="30"/>
      <c r="AA12" s="44"/>
      <c r="AB12" s="51"/>
      <c r="AC12" s="75"/>
      <c r="AD12" s="44"/>
      <c r="AE12" s="75"/>
      <c r="AF12" s="108"/>
      <c r="AG12" s="120"/>
      <c r="AH12" s="107" t="s">
        <v>14</v>
      </c>
      <c r="AI12" s="125">
        <v>5</v>
      </c>
      <c r="AJ12" s="108">
        <v>0.2</v>
      </c>
      <c r="AK12" s="115"/>
      <c r="AL12" s="116"/>
      <c r="AM12" s="6"/>
      <c r="AN12" s="131"/>
      <c r="AO12" s="87"/>
    </row>
    <row r="13" spans="3:41" ht="18.5" x14ac:dyDescent="0.45">
      <c r="C13" s="86"/>
      <c r="D13" s="69" t="s">
        <v>56</v>
      </c>
      <c r="E13" s="3" t="s">
        <v>209</v>
      </c>
      <c r="F13" s="214" t="s">
        <v>182</v>
      </c>
      <c r="G13" s="5"/>
      <c r="H13" s="69" t="s">
        <v>69</v>
      </c>
      <c r="I13" s="105">
        <v>0.1</v>
      </c>
      <c r="J13" s="87" t="s">
        <v>182</v>
      </c>
      <c r="K13" s="79"/>
      <c r="L13" s="79"/>
      <c r="M13" s="76" t="s">
        <v>195</v>
      </c>
      <c r="N13" s="75"/>
      <c r="O13" s="75"/>
      <c r="P13" s="75"/>
      <c r="Q13" s="70"/>
      <c r="R13" s="114"/>
      <c r="S13" s="119"/>
      <c r="T13" s="120"/>
      <c r="U13" s="121"/>
      <c r="V13" s="44"/>
      <c r="W13" s="109"/>
      <c r="X13" s="75"/>
      <c r="Y13" s="44"/>
      <c r="Z13" s="30"/>
      <c r="AA13" s="44"/>
      <c r="AB13" s="51"/>
      <c r="AC13" s="75"/>
      <c r="AD13" s="44"/>
      <c r="AE13" s="75"/>
      <c r="AF13" s="108"/>
      <c r="AG13" s="120"/>
      <c r="AH13" s="107"/>
      <c r="AI13" s="106"/>
      <c r="AJ13" s="108"/>
      <c r="AK13" s="115"/>
      <c r="AL13" s="117"/>
      <c r="AM13" s="6"/>
      <c r="AN13" s="118"/>
      <c r="AO13" s="87"/>
    </row>
    <row r="14" spans="3:41" ht="18.5" x14ac:dyDescent="0.45"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>
        <v>2018</v>
      </c>
      <c r="J14" s="87" t="s">
        <v>194</v>
      </c>
      <c r="K14" s="79"/>
      <c r="L14" s="79"/>
      <c r="M14" s="77"/>
      <c r="N14" s="79"/>
      <c r="O14" s="79"/>
      <c r="P14" s="79"/>
      <c r="Q14" s="82"/>
      <c r="R14" s="114"/>
      <c r="S14" s="51"/>
      <c r="T14" s="75"/>
      <c r="U14" s="30"/>
      <c r="V14" s="44"/>
      <c r="W14" s="109"/>
      <c r="X14" s="75"/>
      <c r="Y14" s="44"/>
      <c r="Z14" s="30"/>
      <c r="AA14" s="44"/>
      <c r="AB14" s="51"/>
      <c r="AC14" s="75"/>
      <c r="AD14" s="44"/>
      <c r="AE14" s="75"/>
      <c r="AF14" s="108"/>
      <c r="AG14" s="120"/>
      <c r="AH14" s="107"/>
      <c r="AI14" s="106"/>
      <c r="AJ14" s="108"/>
      <c r="AK14" s="115"/>
      <c r="AL14" s="117"/>
      <c r="AM14" s="6"/>
      <c r="AN14" s="118"/>
      <c r="AO14" s="87"/>
    </row>
    <row r="15" spans="3:41" ht="18.5" x14ac:dyDescent="0.45">
      <c r="C15" s="86"/>
      <c r="D15" s="69" t="s">
        <v>58</v>
      </c>
      <c r="E15" s="70">
        <v>2.6</v>
      </c>
      <c r="F15" s="214" t="s">
        <v>182</v>
      </c>
      <c r="G15" s="5"/>
      <c r="H15" s="76" t="s">
        <v>71</v>
      </c>
      <c r="I15" s="70" t="s">
        <v>12</v>
      </c>
      <c r="J15" s="87" t="s">
        <v>192</v>
      </c>
      <c r="K15" s="79"/>
      <c r="L15" s="79"/>
      <c r="M15" s="77"/>
      <c r="N15" s="79"/>
      <c r="O15" s="79"/>
      <c r="P15" s="79"/>
      <c r="Q15" s="82"/>
      <c r="R15" s="114"/>
      <c r="S15" s="51"/>
      <c r="T15" s="75"/>
      <c r="U15" s="30"/>
      <c r="V15" s="44"/>
      <c r="W15" s="89"/>
      <c r="X15" s="15"/>
      <c r="Y15" s="15"/>
      <c r="Z15" s="66"/>
      <c r="AA15" s="75"/>
      <c r="AB15" s="109"/>
      <c r="AC15" s="75"/>
      <c r="AD15" s="75"/>
      <c r="AE15" s="75"/>
      <c r="AF15" s="108"/>
      <c r="AG15" s="120"/>
      <c r="AH15" s="107"/>
      <c r="AI15" s="106"/>
      <c r="AJ15" s="108"/>
      <c r="AK15" s="115"/>
      <c r="AL15" s="117"/>
      <c r="AM15" s="6"/>
      <c r="AN15" s="118"/>
      <c r="AO15" s="87"/>
    </row>
    <row r="16" spans="3:41" ht="18.5" x14ac:dyDescent="0.45">
      <c r="C16" s="86"/>
      <c r="D16" s="69" t="s">
        <v>59</v>
      </c>
      <c r="E16" s="70">
        <v>1.44</v>
      </c>
      <c r="F16" s="214" t="s">
        <v>182</v>
      </c>
      <c r="G16" s="5"/>
      <c r="H16" s="76" t="s">
        <v>55</v>
      </c>
      <c r="I16" s="70" t="s">
        <v>179</v>
      </c>
      <c r="J16" s="87" t="s">
        <v>182</v>
      </c>
      <c r="K16" s="79"/>
      <c r="L16" s="79"/>
      <c r="M16" s="77"/>
      <c r="N16" s="79"/>
      <c r="O16" s="79"/>
      <c r="P16" s="79"/>
      <c r="Q16" s="82"/>
      <c r="R16" s="114"/>
      <c r="S16" s="109"/>
      <c r="T16" s="75"/>
      <c r="U16" s="70"/>
      <c r="V16" s="75"/>
      <c r="W16" s="89"/>
      <c r="X16" s="15"/>
      <c r="Y16" s="15"/>
      <c r="Z16" s="66"/>
      <c r="AA16" s="75"/>
      <c r="AB16" s="109"/>
      <c r="AC16" s="75"/>
      <c r="AD16" s="75"/>
      <c r="AE16" s="75"/>
      <c r="AF16" s="70"/>
      <c r="AG16" s="120"/>
      <c r="AH16" s="107"/>
      <c r="AI16" s="75"/>
      <c r="AJ16" s="70"/>
      <c r="AK16" s="79"/>
      <c r="AL16" s="110"/>
      <c r="AM16" s="6"/>
      <c r="AN16" s="82"/>
      <c r="AO16" s="87"/>
    </row>
    <row r="17" spans="3:41" ht="18.5" x14ac:dyDescent="0.45">
      <c r="C17" s="86"/>
      <c r="D17" s="69" t="s">
        <v>60</v>
      </c>
      <c r="E17" s="70"/>
      <c r="F17" s="214" t="s">
        <v>197</v>
      </c>
      <c r="G17" s="5"/>
      <c r="H17" s="76" t="s">
        <v>195</v>
      </c>
      <c r="I17" s="70"/>
      <c r="J17" s="87" t="s">
        <v>182</v>
      </c>
      <c r="K17" s="79"/>
      <c r="L17" s="79"/>
      <c r="M17" s="77"/>
      <c r="N17" s="79"/>
      <c r="O17" s="79"/>
      <c r="P17" s="79"/>
      <c r="Q17" s="82"/>
      <c r="R17" s="114"/>
      <c r="S17" s="109"/>
      <c r="T17" s="75"/>
      <c r="U17" s="70"/>
      <c r="V17" s="75"/>
      <c r="W17" s="89"/>
      <c r="X17" s="15"/>
      <c r="Y17" s="15"/>
      <c r="Z17" s="66"/>
      <c r="AA17" s="75"/>
      <c r="AB17" s="109"/>
      <c r="AC17" s="75"/>
      <c r="AD17" s="75"/>
      <c r="AE17" s="75"/>
      <c r="AF17" s="70"/>
      <c r="AG17" s="120"/>
      <c r="AH17" s="107"/>
      <c r="AI17" s="75"/>
      <c r="AJ17" s="70"/>
      <c r="AK17" s="79"/>
      <c r="AL17" s="110"/>
      <c r="AM17" s="6"/>
      <c r="AN17" s="82"/>
      <c r="AO17" s="87"/>
    </row>
    <row r="18" spans="3:41" ht="18.5" x14ac:dyDescent="0.45">
      <c r="C18" s="86"/>
      <c r="D18" s="71" t="s">
        <v>61</v>
      </c>
      <c r="E18" s="70"/>
      <c r="F18" s="214" t="s">
        <v>197</v>
      </c>
      <c r="G18" s="5"/>
      <c r="H18" s="77"/>
      <c r="I18" s="70"/>
      <c r="J18" s="87"/>
      <c r="K18" s="79"/>
      <c r="L18" s="79"/>
      <c r="M18" s="77"/>
      <c r="N18" s="79"/>
      <c r="O18" s="79"/>
      <c r="P18" s="79"/>
      <c r="Q18" s="82"/>
      <c r="R18" s="114"/>
      <c r="S18" s="109"/>
      <c r="T18" s="75"/>
      <c r="U18" s="70"/>
      <c r="V18" s="75"/>
      <c r="W18" s="89"/>
      <c r="X18" s="15"/>
      <c r="Y18" s="15"/>
      <c r="Z18" s="66"/>
      <c r="AA18" s="75"/>
      <c r="AB18" s="109"/>
      <c r="AC18" s="75"/>
      <c r="AD18" s="75"/>
      <c r="AE18" s="75"/>
      <c r="AF18" s="70"/>
      <c r="AG18" s="120"/>
      <c r="AH18" s="107"/>
      <c r="AI18" s="75"/>
      <c r="AJ18" s="70"/>
      <c r="AK18" s="79"/>
      <c r="AL18" s="110"/>
      <c r="AM18" s="6"/>
      <c r="AN18" s="82"/>
      <c r="AO18" s="87"/>
    </row>
    <row r="19" spans="3:41" ht="18.5" x14ac:dyDescent="0.45">
      <c r="C19" s="86"/>
      <c r="D19" s="69" t="s">
        <v>62</v>
      </c>
      <c r="E19" s="70"/>
      <c r="F19" s="214" t="s">
        <v>197</v>
      </c>
      <c r="G19" s="5"/>
      <c r="H19" s="77"/>
      <c r="I19" s="70"/>
      <c r="J19" s="87"/>
      <c r="K19" s="79"/>
      <c r="L19" s="79"/>
      <c r="M19" s="77"/>
      <c r="N19" s="79"/>
      <c r="O19" s="79"/>
      <c r="P19" s="79"/>
      <c r="Q19" s="82"/>
      <c r="R19" s="114"/>
      <c r="S19" s="109"/>
      <c r="T19" s="75"/>
      <c r="U19" s="70"/>
      <c r="V19" s="75"/>
      <c r="W19" s="89"/>
      <c r="X19" s="15"/>
      <c r="Y19" s="15"/>
      <c r="Z19" s="66"/>
      <c r="AA19" s="75"/>
      <c r="AB19" s="109"/>
      <c r="AC19" s="75"/>
      <c r="AD19" s="75"/>
      <c r="AE19" s="75"/>
      <c r="AF19" s="70"/>
      <c r="AG19" s="120"/>
      <c r="AH19" s="107"/>
      <c r="AI19" s="75"/>
      <c r="AJ19" s="70"/>
      <c r="AK19" s="79"/>
      <c r="AL19" s="110"/>
      <c r="AM19" s="6"/>
      <c r="AN19" s="82"/>
      <c r="AO19" s="87"/>
    </row>
    <row r="20" spans="3:41" ht="18.5" x14ac:dyDescent="0.45">
      <c r="C20" s="86"/>
      <c r="D20" s="71" t="s">
        <v>63</v>
      </c>
      <c r="E20" s="70"/>
      <c r="F20" s="214" t="s">
        <v>197</v>
      </c>
      <c r="G20" s="5"/>
      <c r="H20" s="77"/>
      <c r="I20" s="70"/>
      <c r="J20" s="87"/>
      <c r="K20" s="79"/>
      <c r="L20" s="79"/>
      <c r="M20" s="110"/>
      <c r="N20" s="79"/>
      <c r="O20" s="79"/>
      <c r="P20" s="79"/>
      <c r="Q20" s="82"/>
      <c r="R20" s="114"/>
      <c r="S20" s="109"/>
      <c r="T20" s="75"/>
      <c r="U20" s="70"/>
      <c r="V20" s="75"/>
      <c r="W20" s="89"/>
      <c r="X20" s="15"/>
      <c r="Y20" s="15"/>
      <c r="Z20" s="66"/>
      <c r="AA20" s="75"/>
      <c r="AB20" s="109"/>
      <c r="AC20" s="75"/>
      <c r="AD20" s="75"/>
      <c r="AE20" s="75"/>
      <c r="AF20" s="70"/>
      <c r="AG20" s="120"/>
      <c r="AH20" s="107"/>
      <c r="AI20" s="75"/>
      <c r="AJ20" s="70"/>
      <c r="AK20" s="79"/>
      <c r="AL20" s="110"/>
      <c r="AM20" s="6"/>
      <c r="AN20" s="82"/>
      <c r="AO20" s="87"/>
    </row>
    <row r="21" spans="3:41" ht="18.5" x14ac:dyDescent="0.45">
      <c r="C21" s="86"/>
      <c r="D21" s="71" t="s">
        <v>64</v>
      </c>
      <c r="E21" s="143">
        <v>0.57999999999999996</v>
      </c>
      <c r="F21" s="214" t="s">
        <v>182</v>
      </c>
      <c r="G21" s="5"/>
      <c r="H21" s="110"/>
      <c r="I21" s="70"/>
      <c r="J21" s="87"/>
      <c r="K21" s="79"/>
      <c r="L21" s="79"/>
      <c r="M21" s="110"/>
      <c r="N21" s="79"/>
      <c r="O21" s="79"/>
      <c r="P21" s="79"/>
      <c r="Q21" s="82"/>
      <c r="R21" s="114"/>
      <c r="S21" s="109"/>
      <c r="T21" s="75"/>
      <c r="U21" s="70"/>
      <c r="V21" s="75"/>
      <c r="W21" s="89"/>
      <c r="X21" s="15"/>
      <c r="Y21" s="15"/>
      <c r="Z21" s="66"/>
      <c r="AA21" s="75"/>
      <c r="AB21" s="109"/>
      <c r="AC21" s="75"/>
      <c r="AD21" s="75"/>
      <c r="AE21" s="75"/>
      <c r="AF21" s="70"/>
      <c r="AG21" s="120"/>
      <c r="AH21" s="107"/>
      <c r="AI21" s="75"/>
      <c r="AJ21" s="70"/>
      <c r="AK21" s="79"/>
      <c r="AL21" s="110"/>
      <c r="AM21" s="6"/>
      <c r="AN21" s="82"/>
      <c r="AO21" s="87"/>
    </row>
    <row r="22" spans="3:41" ht="18.5" x14ac:dyDescent="0.45">
      <c r="C22" s="86"/>
      <c r="D22" s="71" t="s">
        <v>65</v>
      </c>
      <c r="E22" s="70"/>
      <c r="F22" s="214" t="s">
        <v>182</v>
      </c>
      <c r="G22" s="5"/>
      <c r="H22" s="110"/>
      <c r="I22" s="70"/>
      <c r="J22" s="87"/>
      <c r="K22" s="79"/>
      <c r="L22" s="79"/>
      <c r="M22" s="110"/>
      <c r="N22" s="79"/>
      <c r="O22" s="79"/>
      <c r="P22" s="79"/>
      <c r="Q22" s="82"/>
      <c r="R22" s="114"/>
      <c r="S22" s="109"/>
      <c r="T22" s="75"/>
      <c r="U22" s="70"/>
      <c r="V22" s="75"/>
      <c r="W22" s="89"/>
      <c r="X22" s="15"/>
      <c r="Y22" s="15"/>
      <c r="Z22" s="66"/>
      <c r="AA22" s="75"/>
      <c r="AB22" s="109"/>
      <c r="AC22" s="75"/>
      <c r="AD22" s="75"/>
      <c r="AE22" s="75"/>
      <c r="AF22" s="70"/>
      <c r="AG22" s="120"/>
      <c r="AH22" s="107"/>
      <c r="AI22" s="75"/>
      <c r="AJ22" s="70"/>
      <c r="AK22" s="79"/>
      <c r="AL22" s="110"/>
      <c r="AM22" s="6"/>
      <c r="AN22" s="82"/>
      <c r="AO22" s="87"/>
    </row>
    <row r="23" spans="3:41" ht="18.5" x14ac:dyDescent="0.45">
      <c r="C23" s="86"/>
      <c r="D23" s="71" t="s">
        <v>66</v>
      </c>
      <c r="E23" s="70"/>
      <c r="F23" s="214" t="s">
        <v>182</v>
      </c>
      <c r="G23" s="5"/>
      <c r="H23" s="110"/>
      <c r="I23" s="82"/>
      <c r="J23" s="87"/>
      <c r="K23" s="79"/>
      <c r="L23" s="79"/>
      <c r="M23" s="110"/>
      <c r="N23" s="79"/>
      <c r="O23" s="79"/>
      <c r="P23" s="79"/>
      <c r="Q23" s="82"/>
      <c r="R23" s="114"/>
      <c r="S23" s="109"/>
      <c r="T23" s="75"/>
      <c r="U23" s="70"/>
      <c r="V23" s="75"/>
      <c r="W23" s="89"/>
      <c r="X23" s="15"/>
      <c r="Y23" s="15"/>
      <c r="Z23" s="66"/>
      <c r="AA23" s="75"/>
      <c r="AB23" s="109"/>
      <c r="AC23" s="75"/>
      <c r="AD23" s="75"/>
      <c r="AE23" s="75"/>
      <c r="AF23" s="70"/>
      <c r="AG23" s="120"/>
      <c r="AH23" s="107"/>
      <c r="AI23" s="75"/>
      <c r="AJ23" s="70"/>
      <c r="AK23" s="79"/>
      <c r="AL23" s="110"/>
      <c r="AM23" s="6"/>
      <c r="AN23" s="82"/>
      <c r="AO23" s="87"/>
    </row>
    <row r="24" spans="3:41" ht="18.5" x14ac:dyDescent="0.45">
      <c r="C24" s="86"/>
      <c r="D24" s="132" t="s">
        <v>86</v>
      </c>
      <c r="E24" s="92"/>
      <c r="F24" s="214" t="s">
        <v>182</v>
      </c>
      <c r="G24" s="11"/>
      <c r="H24" s="110"/>
      <c r="I24" s="82"/>
      <c r="J24" s="92"/>
      <c r="K24" s="79"/>
      <c r="L24" s="79"/>
      <c r="M24" s="110"/>
      <c r="N24" s="79"/>
      <c r="O24" s="79"/>
      <c r="P24" s="79"/>
      <c r="Q24" s="82"/>
      <c r="R24" s="114"/>
      <c r="S24" s="109"/>
      <c r="T24" s="75"/>
      <c r="U24" s="70"/>
      <c r="V24" s="75"/>
      <c r="W24" s="89"/>
      <c r="X24" s="15"/>
      <c r="Y24" s="15"/>
      <c r="Z24" s="66"/>
      <c r="AA24" s="75"/>
      <c r="AB24" s="109"/>
      <c r="AC24" s="75"/>
      <c r="AD24" s="75"/>
      <c r="AE24" s="75"/>
      <c r="AF24" s="70"/>
      <c r="AG24" s="120"/>
      <c r="AH24" s="107"/>
      <c r="AI24" s="75"/>
      <c r="AJ24" s="70"/>
      <c r="AK24" s="79"/>
      <c r="AL24" s="110"/>
      <c r="AM24" s="6"/>
      <c r="AN24" s="82"/>
      <c r="AO24" s="87"/>
    </row>
    <row r="25" spans="3:41" ht="18.5" x14ac:dyDescent="0.45">
      <c r="C25" s="86"/>
      <c r="D25" s="132" t="s">
        <v>87</v>
      </c>
      <c r="E25" s="92"/>
      <c r="F25" s="214" t="s">
        <v>182</v>
      </c>
      <c r="G25" s="11"/>
      <c r="H25" s="110"/>
      <c r="I25" s="82"/>
      <c r="J25" s="92"/>
      <c r="K25" s="79"/>
      <c r="L25" s="79"/>
      <c r="M25" s="110"/>
      <c r="N25" s="79"/>
      <c r="O25" s="79"/>
      <c r="P25" s="79"/>
      <c r="Q25" s="82"/>
      <c r="R25" s="114"/>
      <c r="S25" s="119"/>
      <c r="T25" s="120"/>
      <c r="U25" s="121"/>
      <c r="V25" s="120"/>
      <c r="W25" s="119"/>
      <c r="X25" s="120"/>
      <c r="Y25" s="120"/>
      <c r="Z25" s="121"/>
      <c r="AA25" s="120"/>
      <c r="AB25" s="119"/>
      <c r="AC25" s="120"/>
      <c r="AD25" s="120"/>
      <c r="AE25" s="120"/>
      <c r="AF25" s="121"/>
      <c r="AG25" s="120"/>
      <c r="AH25" s="107"/>
      <c r="AI25" s="75"/>
      <c r="AJ25" s="70"/>
      <c r="AK25" s="79"/>
      <c r="AL25" s="110"/>
      <c r="AM25" s="6"/>
      <c r="AN25" s="82"/>
      <c r="AO25" s="87"/>
    </row>
    <row r="26" spans="3:41" ht="19" thickBot="1" x14ac:dyDescent="0.5">
      <c r="C26" s="86"/>
      <c r="D26" s="133" t="s">
        <v>88</v>
      </c>
      <c r="E26" s="65"/>
      <c r="F26" s="215" t="s">
        <v>182</v>
      </c>
      <c r="G26" s="5"/>
      <c r="H26" s="110"/>
      <c r="I26" s="82"/>
      <c r="J26" s="87"/>
      <c r="K26" s="79"/>
      <c r="L26" s="79"/>
      <c r="M26" s="110"/>
      <c r="N26" s="79"/>
      <c r="O26" s="79"/>
      <c r="P26" s="79"/>
      <c r="Q26" s="82"/>
      <c r="R26" s="114"/>
      <c r="S26" s="119"/>
      <c r="T26" s="120"/>
      <c r="U26" s="121"/>
      <c r="V26" s="120"/>
      <c r="W26" s="119"/>
      <c r="X26" s="120"/>
      <c r="Y26" s="120"/>
      <c r="Z26" s="121"/>
      <c r="AA26" s="120"/>
      <c r="AB26" s="119"/>
      <c r="AC26" s="120"/>
      <c r="AD26" s="120"/>
      <c r="AE26" s="120"/>
      <c r="AF26" s="121"/>
      <c r="AG26" s="120"/>
      <c r="AH26" s="107"/>
      <c r="AI26" s="75"/>
      <c r="AJ26" s="70"/>
      <c r="AK26" s="79"/>
      <c r="AL26" s="110"/>
      <c r="AM26" s="6"/>
      <c r="AN26" s="82"/>
      <c r="AO26" s="87"/>
    </row>
    <row r="27" spans="3:41" ht="19" thickBot="1" x14ac:dyDescent="0.5">
      <c r="C27" s="86"/>
      <c r="D27" s="229" t="s">
        <v>221</v>
      </c>
      <c r="E27" s="230">
        <f>Systemblatt!C11</f>
        <v>8000</v>
      </c>
      <c r="F27" s="231" t="s">
        <v>184</v>
      </c>
      <c r="G27" s="5"/>
      <c r="H27" s="111"/>
      <c r="I27" s="81"/>
      <c r="J27" s="65"/>
      <c r="K27" s="79"/>
      <c r="L27" s="79"/>
      <c r="M27" s="111"/>
      <c r="N27" s="80"/>
      <c r="O27" s="80"/>
      <c r="P27" s="80"/>
      <c r="Q27" s="81"/>
      <c r="R27" s="114"/>
      <c r="S27" s="122"/>
      <c r="T27" s="123"/>
      <c r="U27" s="124"/>
      <c r="V27" s="120"/>
      <c r="W27" s="122"/>
      <c r="X27" s="123"/>
      <c r="Y27" s="123"/>
      <c r="Z27" s="124"/>
      <c r="AA27" s="120"/>
      <c r="AB27" s="122"/>
      <c r="AC27" s="123"/>
      <c r="AD27" s="123"/>
      <c r="AE27" s="123"/>
      <c r="AF27" s="124"/>
      <c r="AG27" s="120"/>
      <c r="AH27" s="134"/>
      <c r="AI27" s="113"/>
      <c r="AJ27" s="72"/>
      <c r="AK27" s="79"/>
      <c r="AL27" s="111"/>
      <c r="AM27" s="135"/>
      <c r="AN27" s="81"/>
      <c r="AO27" s="87"/>
    </row>
    <row r="28" spans="3:41" ht="15.5" x14ac:dyDescent="0.35">
      <c r="C28" s="8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7"/>
    </row>
    <row r="29" spans="3:41" ht="15.5" x14ac:dyDescent="0.35">
      <c r="C29" s="8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7"/>
    </row>
    <row r="30" spans="3:41" ht="15.5" x14ac:dyDescent="0.35"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7"/>
    </row>
    <row r="31" spans="3:41" x14ac:dyDescent="0.35"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7"/>
    </row>
    <row r="32" spans="3:41" x14ac:dyDescent="0.35"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7"/>
    </row>
    <row r="33" spans="3:41" x14ac:dyDescent="0.35"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7"/>
    </row>
    <row r="34" spans="3:41" x14ac:dyDescent="0.35"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7"/>
    </row>
    <row r="35" spans="3:41" x14ac:dyDescent="0.35"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7"/>
    </row>
    <row r="36" spans="3:41" x14ac:dyDescent="0.35"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7"/>
    </row>
    <row r="37" spans="3:41" x14ac:dyDescent="0.35"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7"/>
    </row>
    <row r="38" spans="3:41" x14ac:dyDescent="0.35"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7"/>
    </row>
    <row r="39" spans="3:41" x14ac:dyDescent="0.35"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7"/>
    </row>
    <row r="40" spans="3:41" x14ac:dyDescent="0.35"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7"/>
    </row>
    <row r="41" spans="3:41" x14ac:dyDescent="0.35"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7"/>
    </row>
    <row r="42" spans="3:41" x14ac:dyDescent="0.35"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7"/>
    </row>
    <row r="43" spans="3:41" x14ac:dyDescent="0.35"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7"/>
    </row>
    <row r="44" spans="3:41" x14ac:dyDescent="0.35"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7"/>
    </row>
    <row r="45" spans="3:41" x14ac:dyDescent="0.35"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7"/>
    </row>
    <row r="46" spans="3:41" x14ac:dyDescent="0.35"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7"/>
    </row>
    <row r="47" spans="3:41" ht="15.5" x14ac:dyDescent="0.35">
      <c r="C47" s="86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7"/>
    </row>
    <row r="48" spans="3:41" x14ac:dyDescent="0.35">
      <c r="C48" s="86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7"/>
    </row>
    <row r="49" spans="3:41" x14ac:dyDescent="0.35">
      <c r="C49" s="8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7"/>
    </row>
    <row r="50" spans="3:41" x14ac:dyDescent="0.35">
      <c r="C50" s="86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7"/>
    </row>
    <row r="51" spans="3:41" x14ac:dyDescent="0.35">
      <c r="C51" s="86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7"/>
    </row>
    <row r="52" spans="3:41" x14ac:dyDescent="0.35">
      <c r="C52" s="86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7"/>
    </row>
    <row r="53" spans="3:41" x14ac:dyDescent="0.35">
      <c r="C53" s="86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7"/>
    </row>
    <row r="54" spans="3:41" x14ac:dyDescent="0.35">
      <c r="C54" s="86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7"/>
    </row>
    <row r="55" spans="3:41" x14ac:dyDescent="0.35"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7"/>
    </row>
    <row r="56" spans="3:41" x14ac:dyDescent="0.35"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7"/>
    </row>
    <row r="57" spans="3:41" x14ac:dyDescent="0.35"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7"/>
    </row>
    <row r="58" spans="3:41" x14ac:dyDescent="0.35"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7"/>
    </row>
    <row r="59" spans="3:41" x14ac:dyDescent="0.35"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7"/>
    </row>
    <row r="60" spans="3:41" x14ac:dyDescent="0.35"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7"/>
    </row>
    <row r="61" spans="3:41" x14ac:dyDescent="0.35"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7"/>
    </row>
    <row r="62" spans="3:41" x14ac:dyDescent="0.35"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7"/>
    </row>
    <row r="63" spans="3:41" x14ac:dyDescent="0.35"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7"/>
    </row>
    <row r="64" spans="3:41" x14ac:dyDescent="0.35"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7"/>
    </row>
    <row r="65" spans="3:41" x14ac:dyDescent="0.35"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7"/>
    </row>
    <row r="66" spans="3:41" x14ac:dyDescent="0.35"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7"/>
    </row>
    <row r="67" spans="3:41" x14ac:dyDescent="0.35"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7"/>
    </row>
    <row r="68" spans="3:41" x14ac:dyDescent="0.35"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7"/>
    </row>
    <row r="69" spans="3:41" x14ac:dyDescent="0.35">
      <c r="C69" s="86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7"/>
    </row>
    <row r="70" spans="3:41" ht="15" thickBot="1" x14ac:dyDescent="0.4">
      <c r="C70" s="7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  <c r="AI70" s="94"/>
      <c r="AJ70" s="94"/>
      <c r="AK70" s="88"/>
      <c r="AL70" s="88"/>
      <c r="AM70" s="88"/>
      <c r="AN70" s="88"/>
      <c r="AO70" s="65"/>
    </row>
    <row r="130" spans="18:18" x14ac:dyDescent="0.35">
      <c r="R130" s="3" t="s">
        <v>23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BDAD927-BD82-49CE-8A29-BA51D7700C7D}">
          <x14:formula1>
            <xm:f>DataBank!$A$3:$A$11</xm:f>
          </x14:formula1>
          <xm:sqref>N11:Q11</xm:sqref>
        </x14:dataValidation>
        <x14:dataValidation type="list" allowBlank="1" showInputMessage="1" showErrorMessage="1" xr:uid="{A44656A8-98D6-4D13-880D-FC429B715885}">
          <x14:formula1>
            <xm:f>Sources!$E$6:$O$6</xm:f>
          </x14:formula1>
          <xm:sqref>N13:Q13</xm:sqref>
        </x14:dataValidation>
        <x14:dataValidation type="list" allowBlank="1" showInputMessage="1" showErrorMessage="1" xr:uid="{0643AB9E-C851-498D-B1B7-9D253C3E8BF7}">
          <x14:formula1>
            <xm:f>DataBank!$C$2:$C$7</xm:f>
          </x14:formula1>
          <xm:sqref>I15</xm:sqref>
        </x14:dataValidation>
        <x14:dataValidation type="list" allowBlank="1" showInputMessage="1" showErrorMessage="1" xr:uid="{768F85D5-FFFA-4B7A-A7D8-C7ECDA409F6B}">
          <x14:formula1>
            <xm:f>Sources!$E$6:$G$6</xm:f>
          </x14:formula1>
          <xm:sqref>I17</xm:sqref>
        </x14:dataValidation>
        <x14:dataValidation type="list" allowBlank="1" showInputMessage="1" showErrorMessage="1" xr:uid="{D8A44FFF-EE74-41BA-8D3B-924EA3FF07A4}">
          <x14:formula1>
            <xm:f>DataBank!$B$2:$B$3</xm:f>
          </x14:formula1>
          <xm:sqref>J15</xm:sqref>
        </x14:dataValidation>
        <x14:dataValidation type="list" allowBlank="1" showInputMessage="1" showErrorMessage="1" xr:uid="{F2009837-D847-4FA8-AB6C-48F4742CF1F4}">
          <x14:formula1>
            <xm:f>Systemblatt!$E$5:$E$38</xm:f>
          </x14:formula1>
          <xm:sqref>AC10:AC27 AE10:AE27 T10:T27 I18:I27 I16 N14:Q27 N12:Q12 AH10:AH27</xm:sqref>
        </x14:dataValidation>
        <x14:dataValidation type="list" allowBlank="1" showInputMessage="1" showErrorMessage="1" xr:uid="{D4CC2746-B069-4ABA-A5A7-D87D0B6E66C3}">
          <x14:formula1>
            <xm:f>Sources!$E$7:$O$7</xm:f>
          </x14:formula1>
          <xm:sqref>W10:W27</xm:sqref>
        </x14:dataValidation>
        <x14:dataValidation type="list" allowBlank="1" showInputMessage="1" showErrorMessage="1" xr:uid="{82E8C605-478D-490D-AEFB-0ED326358EFE}">
          <x14:formula1>
            <xm:f>DataBank!$K$17:$K$18</xm:f>
          </x14:formula1>
          <xm:sqref>E26</xm:sqref>
        </x14:dataValidation>
        <x14:dataValidation type="whole" allowBlank="1" showInputMessage="1" showErrorMessage="1" xr:uid="{C27654C1-C13F-4F20-95DE-B4AA5F86D4C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35ECB76-2668-427C-8CF7-96971EE9C7D5}">
          <x14:formula1>
            <xm:f>DataBank!$A$3:$A$4</xm:f>
          </x14:formula1>
          <xm:sqref>AB10 AD10</xm:sqref>
        </x14:dataValidation>
        <x14:dataValidation type="list" allowBlank="1" showInputMessage="1" showErrorMessage="1" xr:uid="{359C1900-D299-4691-BAB1-0973726557E1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3C8BB6-72C9-449B-853A-15230B85BADE}">
          <x14:formula1>
            <xm:f>Systemblatt!$P$5:$P$18</xm:f>
          </x14:formula1>
          <xm:sqref>AM10:AM27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8ABAD-181C-426A-8D10-2A03BEBC21BE}">
  <sheetPr codeName="Tabelle44"/>
  <dimension ref="C1:AO130"/>
  <sheetViews>
    <sheetView zoomScale="58" zoomScaleNormal="58" workbookViewId="0">
      <selection activeCell="K5" sqref="K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95"/>
      <c r="AJ2" s="95"/>
      <c r="AK2" s="91"/>
      <c r="AL2" s="91"/>
      <c r="AM2" s="91"/>
      <c r="AN2" s="91"/>
      <c r="AO2" s="96"/>
    </row>
    <row r="3" spans="3:41" x14ac:dyDescent="0.35">
      <c r="C3" s="86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7"/>
    </row>
    <row r="4" spans="3:41" x14ac:dyDescent="0.35"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7"/>
    </row>
    <row r="5" spans="3:41" x14ac:dyDescent="0.35"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7"/>
    </row>
    <row r="6" spans="3:41" x14ac:dyDescent="0.35">
      <c r="C6" s="86"/>
      <c r="D6" s="363"/>
      <c r="E6" s="363"/>
      <c r="F6" s="5"/>
      <c r="G6" s="5"/>
      <c r="H6" s="363"/>
      <c r="I6" s="363"/>
      <c r="J6" s="15"/>
      <c r="K6" s="15"/>
      <c r="L6" s="5"/>
      <c r="M6" s="363"/>
      <c r="N6" s="363"/>
      <c r="O6" s="363"/>
      <c r="P6" s="363"/>
      <c r="Q6" s="5"/>
      <c r="R6" s="5"/>
      <c r="S6" s="364"/>
      <c r="T6" s="364"/>
      <c r="U6" s="364"/>
      <c r="V6" s="364"/>
      <c r="W6" s="364"/>
      <c r="X6" s="364"/>
      <c r="Y6" s="364"/>
      <c r="Z6" s="364"/>
      <c r="AA6" s="364"/>
      <c r="AB6" s="364"/>
      <c r="AC6" s="364"/>
      <c r="AD6" s="364"/>
      <c r="AE6" s="364"/>
      <c r="AF6" s="364"/>
      <c r="AG6" s="11"/>
      <c r="AH6" s="11"/>
      <c r="AI6" s="11"/>
      <c r="AJ6" s="11"/>
      <c r="AK6" s="11"/>
      <c r="AL6" s="11"/>
      <c r="AM6" s="11"/>
      <c r="AN6" s="11"/>
      <c r="AO6" s="87"/>
    </row>
    <row r="7" spans="3:41" ht="15" thickBot="1" x14ac:dyDescent="0.4"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7"/>
    </row>
    <row r="8" spans="3:41" ht="24" thickBot="1" x14ac:dyDescent="0.6">
      <c r="C8" s="86"/>
      <c r="D8" s="344" t="s">
        <v>52</v>
      </c>
      <c r="E8" s="345"/>
      <c r="F8" s="346"/>
      <c r="G8" s="5"/>
      <c r="H8" s="347" t="s">
        <v>53</v>
      </c>
      <c r="I8" s="348"/>
      <c r="J8" s="349"/>
      <c r="K8" s="5"/>
      <c r="L8" s="5"/>
      <c r="M8" s="357" t="s">
        <v>72</v>
      </c>
      <c r="N8" s="358"/>
      <c r="O8" s="358"/>
      <c r="P8" s="358"/>
      <c r="Q8" s="359"/>
      <c r="R8" s="5"/>
      <c r="S8" s="351" t="s">
        <v>78</v>
      </c>
      <c r="T8" s="352"/>
      <c r="U8" s="353"/>
      <c r="V8" s="12"/>
      <c r="W8" s="354" t="s">
        <v>108</v>
      </c>
      <c r="X8" s="355"/>
      <c r="Y8" s="355"/>
      <c r="Z8" s="356"/>
      <c r="AA8" s="11"/>
      <c r="AB8" s="354" t="s">
        <v>85</v>
      </c>
      <c r="AC8" s="355"/>
      <c r="AD8" s="355"/>
      <c r="AE8" s="355"/>
      <c r="AF8" s="356"/>
      <c r="AG8" s="11"/>
      <c r="AH8" s="360" t="s">
        <v>5</v>
      </c>
      <c r="AI8" s="361"/>
      <c r="AJ8" s="362"/>
      <c r="AK8" s="98"/>
      <c r="AL8" s="360" t="s">
        <v>6</v>
      </c>
      <c r="AM8" s="361"/>
      <c r="AN8" s="362"/>
      <c r="AO8" s="87"/>
    </row>
    <row r="9" spans="3:41" ht="21.5" thickBot="1" x14ac:dyDescent="0.55000000000000004">
      <c r="C9" s="86"/>
      <c r="D9" s="73" t="s">
        <v>32</v>
      </c>
      <c r="E9" s="213" t="s">
        <v>0</v>
      </c>
      <c r="F9" s="216" t="s">
        <v>181</v>
      </c>
      <c r="G9" s="5"/>
      <c r="H9" s="99" t="s">
        <v>32</v>
      </c>
      <c r="I9" s="99" t="s">
        <v>54</v>
      </c>
      <c r="J9" s="74" t="s">
        <v>181</v>
      </c>
      <c r="K9" s="5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 t="s">
        <v>181</v>
      </c>
      <c r="S9" s="85" t="s">
        <v>79</v>
      </c>
      <c r="T9" s="85" t="s">
        <v>35</v>
      </c>
      <c r="U9" s="85" t="s">
        <v>80</v>
      </c>
      <c r="V9" s="13"/>
      <c r="W9" s="101" t="s">
        <v>104</v>
      </c>
      <c r="X9" s="203" t="s">
        <v>162</v>
      </c>
      <c r="Y9" s="203" t="s">
        <v>163</v>
      </c>
      <c r="Z9" s="201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11"/>
      <c r="AH9" s="142" t="s">
        <v>35</v>
      </c>
      <c r="AI9" s="142" t="s">
        <v>91</v>
      </c>
      <c r="AJ9" s="142" t="s">
        <v>0</v>
      </c>
      <c r="AK9" s="97"/>
      <c r="AL9" s="142" t="s">
        <v>91</v>
      </c>
      <c r="AM9" s="142" t="s">
        <v>92</v>
      </c>
      <c r="AN9" s="142" t="s">
        <v>93</v>
      </c>
      <c r="AO9" s="87"/>
    </row>
    <row r="10" spans="3:41" ht="18.5" x14ac:dyDescent="0.45">
      <c r="C10" s="86"/>
      <c r="D10" s="67" t="s">
        <v>1</v>
      </c>
      <c r="E10" s="68" t="s">
        <v>231</v>
      </c>
      <c r="F10" s="214" t="s">
        <v>182</v>
      </c>
      <c r="G10" s="5"/>
      <c r="H10" s="67" t="s">
        <v>2</v>
      </c>
      <c r="I10" s="68"/>
      <c r="J10" s="96" t="s">
        <v>182</v>
      </c>
      <c r="K10" s="5"/>
      <c r="L10" s="79"/>
      <c r="M10" s="67" t="s">
        <v>75</v>
      </c>
      <c r="N10" s="179"/>
      <c r="O10" s="179"/>
      <c r="P10" s="180"/>
      <c r="Q10" s="181"/>
      <c r="R10" s="5" t="s">
        <v>198</v>
      </c>
      <c r="S10" s="103"/>
      <c r="T10" s="104"/>
      <c r="U10" s="105"/>
      <c r="V10" s="106"/>
      <c r="W10" s="138"/>
      <c r="X10" s="83"/>
      <c r="Y10" s="139"/>
      <c r="Z10" s="137"/>
      <c r="AA10" s="75"/>
      <c r="AB10" s="136"/>
      <c r="AC10" s="83"/>
      <c r="AD10" s="139"/>
      <c r="AE10" s="83"/>
      <c r="AF10" s="137"/>
      <c r="AG10" s="120"/>
      <c r="AH10" s="126" t="s">
        <v>179</v>
      </c>
      <c r="AI10" s="125">
        <v>5</v>
      </c>
      <c r="AJ10" s="127">
        <v>-1</v>
      </c>
      <c r="AK10" s="115"/>
      <c r="AL10" s="128">
        <v>5</v>
      </c>
      <c r="AM10" s="129" t="s">
        <v>179</v>
      </c>
      <c r="AN10" s="130">
        <v>1</v>
      </c>
      <c r="AO10" s="87"/>
    </row>
    <row r="11" spans="3:41" ht="19" thickBot="1" x14ac:dyDescent="0.5">
      <c r="C11" s="86"/>
      <c r="D11" s="69" t="s">
        <v>3</v>
      </c>
      <c r="E11" s="70">
        <v>310</v>
      </c>
      <c r="F11" s="214" t="s">
        <v>182</v>
      </c>
      <c r="G11" s="5"/>
      <c r="H11" s="69" t="s">
        <v>67</v>
      </c>
      <c r="I11" s="105">
        <v>2</v>
      </c>
      <c r="J11" s="87" t="s">
        <v>191</v>
      </c>
      <c r="K11" s="5"/>
      <c r="L11" s="79"/>
      <c r="M11" s="76" t="s">
        <v>76</v>
      </c>
      <c r="N11" s="125"/>
      <c r="O11" s="125"/>
      <c r="P11" s="79"/>
      <c r="Q11" s="127"/>
      <c r="R11" s="5" t="s">
        <v>192</v>
      </c>
      <c r="S11" s="103"/>
      <c r="T11" s="104"/>
      <c r="U11" s="105"/>
      <c r="V11" s="106"/>
      <c r="W11" s="109"/>
      <c r="X11" s="75"/>
      <c r="Y11" s="106"/>
      <c r="Z11" s="108"/>
      <c r="AA11" s="75"/>
      <c r="AB11" s="107"/>
      <c r="AC11" s="75"/>
      <c r="AD11" s="106"/>
      <c r="AE11" s="75"/>
      <c r="AF11" s="108"/>
      <c r="AG11" s="120"/>
      <c r="AH11" s="126" t="s">
        <v>15</v>
      </c>
      <c r="AI11" s="125">
        <v>5</v>
      </c>
      <c r="AJ11" s="127">
        <v>0.8</v>
      </c>
      <c r="AK11" s="115"/>
      <c r="AL11" s="116"/>
      <c r="AM11" s="6"/>
      <c r="AN11" s="131"/>
      <c r="AO11" s="87"/>
    </row>
    <row r="12" spans="3:41" ht="18.5" x14ac:dyDescent="0.45">
      <c r="C12" s="86"/>
      <c r="D12" s="69" t="s">
        <v>42</v>
      </c>
      <c r="E12" s="205" t="s">
        <v>24</v>
      </c>
      <c r="F12" s="214" t="s">
        <v>182</v>
      </c>
      <c r="G12" s="5"/>
      <c r="H12" s="69" t="s">
        <v>68</v>
      </c>
      <c r="I12" s="105">
        <v>10</v>
      </c>
      <c r="J12" s="87" t="str">
        <f>J15</f>
        <v>t/h</v>
      </c>
      <c r="K12" s="5"/>
      <c r="L12" s="79"/>
      <c r="M12" s="248" t="s">
        <v>77</v>
      </c>
      <c r="N12" s="256"/>
      <c r="O12" s="179"/>
      <c r="P12" s="180"/>
      <c r="Q12" s="181"/>
      <c r="R12" s="114"/>
      <c r="S12" s="126"/>
      <c r="T12" s="125"/>
      <c r="U12" s="127"/>
      <c r="V12" s="106"/>
      <c r="W12" s="109"/>
      <c r="X12" s="75"/>
      <c r="Y12" s="44"/>
      <c r="Z12" s="30"/>
      <c r="AA12" s="44"/>
      <c r="AB12" s="51"/>
      <c r="AC12" s="75"/>
      <c r="AD12" s="44"/>
      <c r="AE12" s="75"/>
      <c r="AF12" s="108"/>
      <c r="AG12" s="120"/>
      <c r="AH12" s="107" t="s">
        <v>14</v>
      </c>
      <c r="AI12" s="125">
        <v>5</v>
      </c>
      <c r="AJ12" s="108">
        <v>0.2</v>
      </c>
      <c r="AK12" s="115"/>
      <c r="AL12" s="116"/>
      <c r="AM12" s="6"/>
      <c r="AN12" s="131"/>
      <c r="AO12" s="87"/>
    </row>
    <row r="13" spans="3:41" ht="18.5" x14ac:dyDescent="0.45">
      <c r="C13" s="86"/>
      <c r="D13" s="69" t="s">
        <v>56</v>
      </c>
      <c r="F13" s="214" t="s">
        <v>182</v>
      </c>
      <c r="G13" s="5"/>
      <c r="H13" s="69" t="s">
        <v>69</v>
      </c>
      <c r="I13" s="105">
        <v>0.1</v>
      </c>
      <c r="J13" s="87" t="s">
        <v>182</v>
      </c>
      <c r="K13" s="5"/>
      <c r="L13" s="79"/>
      <c r="M13" s="249"/>
      <c r="N13" s="126"/>
      <c r="O13" s="75"/>
      <c r="P13" s="75"/>
      <c r="Q13" s="70"/>
      <c r="R13" s="114"/>
      <c r="S13" s="119"/>
      <c r="T13" s="120"/>
      <c r="U13" s="121"/>
      <c r="V13" s="44"/>
      <c r="W13" s="109"/>
      <c r="X13" s="75"/>
      <c r="Y13" s="44"/>
      <c r="Z13" s="30"/>
      <c r="AA13" s="44"/>
      <c r="AB13" s="51"/>
      <c r="AC13" s="75"/>
      <c r="AD13" s="44"/>
      <c r="AE13" s="75"/>
      <c r="AF13" s="108"/>
      <c r="AG13" s="120"/>
      <c r="AH13" s="107"/>
      <c r="AI13" s="106"/>
      <c r="AJ13" s="108"/>
      <c r="AK13" s="115"/>
      <c r="AL13" s="117"/>
      <c r="AM13" s="6"/>
      <c r="AN13" s="118"/>
      <c r="AO13" s="87"/>
    </row>
    <row r="14" spans="3:41" ht="18.5" x14ac:dyDescent="0.45"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>
        <v>2018</v>
      </c>
      <c r="J14" s="87" t="s">
        <v>194</v>
      </c>
      <c r="K14" s="5"/>
      <c r="L14" s="79"/>
      <c r="M14" s="250"/>
      <c r="N14" s="110"/>
      <c r="O14" s="79"/>
      <c r="P14" s="79"/>
      <c r="Q14" s="82"/>
      <c r="R14" s="114"/>
      <c r="S14" s="51"/>
      <c r="T14" s="75"/>
      <c r="U14" s="30"/>
      <c r="V14" s="44"/>
      <c r="W14" s="109"/>
      <c r="X14" s="75"/>
      <c r="Y14" s="44"/>
      <c r="Z14" s="30"/>
      <c r="AA14" s="44"/>
      <c r="AB14" s="51"/>
      <c r="AC14" s="75"/>
      <c r="AD14" s="44"/>
      <c r="AE14" s="75"/>
      <c r="AF14" s="108"/>
      <c r="AG14" s="120"/>
      <c r="AH14" s="107"/>
      <c r="AI14" s="106"/>
      <c r="AJ14" s="108"/>
      <c r="AK14" s="115"/>
      <c r="AL14" s="117"/>
      <c r="AM14" s="6"/>
      <c r="AN14" s="118"/>
      <c r="AO14" s="87"/>
    </row>
    <row r="15" spans="3:41" ht="19" thickBot="1" x14ac:dyDescent="0.5">
      <c r="C15" s="86"/>
      <c r="D15" s="69" t="s">
        <v>58</v>
      </c>
      <c r="E15" s="70">
        <v>2.6</v>
      </c>
      <c r="F15" s="214" t="s">
        <v>182</v>
      </c>
      <c r="G15" s="5"/>
      <c r="H15" s="76" t="s">
        <v>71</v>
      </c>
      <c r="I15" s="70" t="s">
        <v>12</v>
      </c>
      <c r="J15" s="87" t="s">
        <v>192</v>
      </c>
      <c r="K15" s="5"/>
      <c r="L15" s="79"/>
      <c r="M15" s="250"/>
      <c r="N15" s="110"/>
      <c r="O15" s="79"/>
      <c r="P15" s="79"/>
      <c r="Q15" s="82"/>
      <c r="R15" s="114"/>
      <c r="S15" s="51"/>
      <c r="T15" s="75"/>
      <c r="U15" s="30"/>
      <c r="V15" s="44"/>
      <c r="W15" s="89"/>
      <c r="X15" s="15"/>
      <c r="Y15" s="15"/>
      <c r="Z15" s="66"/>
      <c r="AA15" s="75"/>
      <c r="AB15" s="109"/>
      <c r="AC15" s="75"/>
      <c r="AD15" s="75"/>
      <c r="AE15" s="75"/>
      <c r="AF15" s="108"/>
      <c r="AG15" s="120"/>
      <c r="AH15" s="107"/>
      <c r="AI15" s="106"/>
      <c r="AJ15" s="108"/>
      <c r="AK15" s="115"/>
      <c r="AL15" s="117"/>
      <c r="AM15" s="6"/>
      <c r="AN15" s="118"/>
      <c r="AO15" s="87"/>
    </row>
    <row r="16" spans="3:41" ht="19" thickBot="1" x14ac:dyDescent="0.5">
      <c r="C16" s="86"/>
      <c r="D16" s="69" t="s">
        <v>59</v>
      </c>
      <c r="E16" s="70">
        <v>1.44</v>
      </c>
      <c r="F16" s="214" t="s">
        <v>182</v>
      </c>
      <c r="G16" s="5"/>
      <c r="H16" s="241" t="s">
        <v>55</v>
      </c>
      <c r="I16" s="243" t="s">
        <v>179</v>
      </c>
      <c r="J16" s="96" t="s">
        <v>182</v>
      </c>
      <c r="K16" s="5"/>
      <c r="L16" s="79"/>
      <c r="M16" s="250"/>
      <c r="N16" s="110"/>
      <c r="O16" s="79"/>
      <c r="P16" s="79"/>
      <c r="Q16" s="82"/>
      <c r="R16" s="114"/>
      <c r="S16" s="109"/>
      <c r="T16" s="75"/>
      <c r="U16" s="70"/>
      <c r="V16" s="75"/>
      <c r="W16" s="89"/>
      <c r="X16" s="15"/>
      <c r="Y16" s="15"/>
      <c r="Z16" s="66"/>
      <c r="AA16" s="75"/>
      <c r="AB16" s="109"/>
      <c r="AC16" s="75"/>
      <c r="AD16" s="75"/>
      <c r="AE16" s="75"/>
      <c r="AF16" s="70"/>
      <c r="AG16" s="120"/>
      <c r="AH16" s="107"/>
      <c r="AI16" s="75"/>
      <c r="AJ16" s="70"/>
      <c r="AK16" s="79"/>
      <c r="AL16" s="110"/>
      <c r="AM16" s="6"/>
      <c r="AN16" s="82"/>
      <c r="AO16" s="87"/>
    </row>
    <row r="17" spans="3:41" ht="18.5" x14ac:dyDescent="0.45">
      <c r="C17" s="86"/>
      <c r="D17" s="69" t="s">
        <v>60</v>
      </c>
      <c r="E17" s="70"/>
      <c r="F17" s="214" t="s">
        <v>197</v>
      </c>
      <c r="G17" s="5"/>
      <c r="H17" s="76"/>
      <c r="I17" s="244"/>
      <c r="J17" s="87" t="s">
        <v>182</v>
      </c>
      <c r="K17" s="5"/>
      <c r="L17" s="79"/>
      <c r="M17" s="250"/>
      <c r="N17" s="110"/>
      <c r="O17" s="79"/>
      <c r="P17" s="79"/>
      <c r="Q17" s="82"/>
      <c r="R17" s="114"/>
      <c r="S17" s="109"/>
      <c r="T17" s="75"/>
      <c r="U17" s="70"/>
      <c r="V17" s="75"/>
      <c r="W17" s="89"/>
      <c r="X17" s="15"/>
      <c r="Y17" s="15"/>
      <c r="Z17" s="66"/>
      <c r="AA17" s="75"/>
      <c r="AB17" s="109"/>
      <c r="AC17" s="75"/>
      <c r="AD17" s="75"/>
      <c r="AE17" s="75"/>
      <c r="AF17" s="70"/>
      <c r="AG17" s="120"/>
      <c r="AH17" s="107"/>
      <c r="AI17" s="75"/>
      <c r="AJ17" s="70"/>
      <c r="AK17" s="79"/>
      <c r="AL17" s="110"/>
      <c r="AM17" s="6"/>
      <c r="AN17" s="82"/>
      <c r="AO17" s="87"/>
    </row>
    <row r="18" spans="3:41" ht="18.5" x14ac:dyDescent="0.45">
      <c r="C18" s="86"/>
      <c r="D18" s="71" t="s">
        <v>61</v>
      </c>
      <c r="E18" s="70"/>
      <c r="F18" s="214" t="s">
        <v>197</v>
      </c>
      <c r="G18" s="5"/>
      <c r="H18" s="77"/>
      <c r="I18" s="244"/>
      <c r="J18" s="87" t="s">
        <v>182</v>
      </c>
      <c r="K18" s="5"/>
      <c r="L18" s="79"/>
      <c r="M18" s="250"/>
      <c r="N18" s="110"/>
      <c r="O18" s="79"/>
      <c r="P18" s="79"/>
      <c r="Q18" s="82"/>
      <c r="R18" s="114"/>
      <c r="S18" s="109"/>
      <c r="T18" s="75"/>
      <c r="U18" s="70"/>
      <c r="V18" s="75"/>
      <c r="W18" s="89"/>
      <c r="X18" s="15"/>
      <c r="Y18" s="15"/>
      <c r="Z18" s="66"/>
      <c r="AA18" s="75"/>
      <c r="AB18" s="109"/>
      <c r="AC18" s="75"/>
      <c r="AD18" s="75"/>
      <c r="AE18" s="75"/>
      <c r="AF18" s="70"/>
      <c r="AG18" s="120"/>
      <c r="AH18" s="107"/>
      <c r="AI18" s="75"/>
      <c r="AJ18" s="70"/>
      <c r="AK18" s="79"/>
      <c r="AL18" s="110"/>
      <c r="AM18" s="6"/>
      <c r="AN18" s="82"/>
      <c r="AO18" s="87"/>
    </row>
    <row r="19" spans="3:41" ht="18.5" x14ac:dyDescent="0.45">
      <c r="C19" s="86"/>
      <c r="D19" s="69" t="s">
        <v>62</v>
      </c>
      <c r="E19" s="70"/>
      <c r="F19" s="214" t="s">
        <v>197</v>
      </c>
      <c r="G19" s="5"/>
      <c r="H19" s="77"/>
      <c r="I19" s="244"/>
      <c r="J19" s="87" t="s">
        <v>182</v>
      </c>
      <c r="K19" s="5"/>
      <c r="L19" s="79"/>
      <c r="M19" s="250"/>
      <c r="N19" s="110"/>
      <c r="O19" s="79"/>
      <c r="P19" s="79"/>
      <c r="Q19" s="82"/>
      <c r="R19" s="114"/>
      <c r="S19" s="109"/>
      <c r="T19" s="75"/>
      <c r="U19" s="70"/>
      <c r="V19" s="75"/>
      <c r="W19" s="89"/>
      <c r="X19" s="15"/>
      <c r="Y19" s="15"/>
      <c r="Z19" s="66"/>
      <c r="AA19" s="75"/>
      <c r="AB19" s="109"/>
      <c r="AC19" s="75"/>
      <c r="AD19" s="75"/>
      <c r="AE19" s="75"/>
      <c r="AF19" s="70"/>
      <c r="AG19" s="120"/>
      <c r="AH19" s="107"/>
      <c r="AI19" s="75"/>
      <c r="AJ19" s="70"/>
      <c r="AK19" s="79"/>
      <c r="AL19" s="110"/>
      <c r="AM19" s="6"/>
      <c r="AN19" s="82"/>
      <c r="AO19" s="87"/>
    </row>
    <row r="20" spans="3:41" ht="18.5" x14ac:dyDescent="0.45">
      <c r="C20" s="86"/>
      <c r="D20" s="71" t="s">
        <v>63</v>
      </c>
      <c r="E20" s="70"/>
      <c r="F20" s="214" t="s">
        <v>197</v>
      </c>
      <c r="G20" s="5"/>
      <c r="H20" s="77"/>
      <c r="I20" s="244"/>
      <c r="J20" s="87" t="s">
        <v>182</v>
      </c>
      <c r="K20" s="5"/>
      <c r="L20" s="79"/>
      <c r="M20" s="245"/>
      <c r="N20" s="110"/>
      <c r="O20" s="79"/>
      <c r="P20" s="79"/>
      <c r="Q20" s="82"/>
      <c r="R20" s="114"/>
      <c r="S20" s="109"/>
      <c r="T20" s="75"/>
      <c r="U20" s="70"/>
      <c r="V20" s="75"/>
      <c r="W20" s="89"/>
      <c r="X20" s="15"/>
      <c r="Y20" s="15"/>
      <c r="Z20" s="66"/>
      <c r="AA20" s="75"/>
      <c r="AB20" s="109"/>
      <c r="AC20" s="75"/>
      <c r="AD20" s="75"/>
      <c r="AE20" s="75"/>
      <c r="AF20" s="70"/>
      <c r="AG20" s="120"/>
      <c r="AH20" s="107"/>
      <c r="AI20" s="75"/>
      <c r="AJ20" s="70"/>
      <c r="AK20" s="79"/>
      <c r="AL20" s="110"/>
      <c r="AM20" s="6"/>
      <c r="AN20" s="82"/>
      <c r="AO20" s="87"/>
    </row>
    <row r="21" spans="3:41" ht="18.5" x14ac:dyDescent="0.45">
      <c r="C21" s="86"/>
      <c r="D21" s="71" t="s">
        <v>64</v>
      </c>
      <c r="E21" s="143">
        <v>0.83</v>
      </c>
      <c r="F21" s="214" t="s">
        <v>182</v>
      </c>
      <c r="G21" s="5"/>
      <c r="H21" s="110"/>
      <c r="I21" s="244"/>
      <c r="J21" s="87" t="s">
        <v>182</v>
      </c>
      <c r="K21" s="5"/>
      <c r="L21" s="79"/>
      <c r="M21" s="245"/>
      <c r="N21" s="110"/>
      <c r="O21" s="79"/>
      <c r="P21" s="79"/>
      <c r="Q21" s="82"/>
      <c r="R21" s="114"/>
      <c r="S21" s="109"/>
      <c r="T21" s="75"/>
      <c r="U21" s="70"/>
      <c r="V21" s="75"/>
      <c r="W21" s="89"/>
      <c r="X21" s="15"/>
      <c r="Y21" s="15"/>
      <c r="Z21" s="66"/>
      <c r="AA21" s="75"/>
      <c r="AB21" s="109"/>
      <c r="AC21" s="75"/>
      <c r="AD21" s="75"/>
      <c r="AE21" s="75"/>
      <c r="AF21" s="70"/>
      <c r="AG21" s="120"/>
      <c r="AH21" s="107"/>
      <c r="AI21" s="75"/>
      <c r="AJ21" s="70"/>
      <c r="AK21" s="79"/>
      <c r="AL21" s="110"/>
      <c r="AM21" s="6"/>
      <c r="AN21" s="82"/>
      <c r="AO21" s="87"/>
    </row>
    <row r="22" spans="3:41" ht="18.5" x14ac:dyDescent="0.45">
      <c r="C22" s="86"/>
      <c r="D22" s="71" t="s">
        <v>65</v>
      </c>
      <c r="E22" s="70"/>
      <c r="F22" s="214" t="s">
        <v>182</v>
      </c>
      <c r="G22" s="5"/>
      <c r="H22" s="110"/>
      <c r="I22" s="244"/>
      <c r="J22" s="87" t="s">
        <v>182</v>
      </c>
      <c r="K22" s="5"/>
      <c r="L22" s="79"/>
      <c r="M22" s="245"/>
      <c r="N22" s="110"/>
      <c r="O22" s="79"/>
      <c r="P22" s="79"/>
      <c r="Q22" s="82"/>
      <c r="R22" s="114"/>
      <c r="S22" s="109"/>
      <c r="T22" s="75"/>
      <c r="U22" s="70"/>
      <c r="V22" s="75"/>
      <c r="W22" s="89"/>
      <c r="X22" s="15"/>
      <c r="Y22" s="15"/>
      <c r="Z22" s="66"/>
      <c r="AA22" s="75"/>
      <c r="AB22" s="109"/>
      <c r="AC22" s="75"/>
      <c r="AD22" s="75"/>
      <c r="AE22" s="75"/>
      <c r="AF22" s="70"/>
      <c r="AG22" s="120"/>
      <c r="AH22" s="107"/>
      <c r="AI22" s="75"/>
      <c r="AJ22" s="70"/>
      <c r="AK22" s="79"/>
      <c r="AL22" s="110"/>
      <c r="AM22" s="6"/>
      <c r="AN22" s="82"/>
      <c r="AO22" s="87"/>
    </row>
    <row r="23" spans="3:41" ht="18.5" x14ac:dyDescent="0.45">
      <c r="C23" s="86"/>
      <c r="D23" s="71" t="s">
        <v>66</v>
      </c>
      <c r="E23" s="70"/>
      <c r="F23" s="214" t="s">
        <v>182</v>
      </c>
      <c r="G23" s="5"/>
      <c r="H23" s="110"/>
      <c r="I23" s="245"/>
      <c r="J23" s="87" t="s">
        <v>182</v>
      </c>
      <c r="K23" s="5"/>
      <c r="L23" s="79"/>
      <c r="M23" s="245"/>
      <c r="N23" s="110"/>
      <c r="O23" s="79"/>
      <c r="P23" s="79"/>
      <c r="Q23" s="82"/>
      <c r="R23" s="114"/>
      <c r="S23" s="109"/>
      <c r="T23" s="75"/>
      <c r="U23" s="70"/>
      <c r="V23" s="75"/>
      <c r="W23" s="89"/>
      <c r="X23" s="15"/>
      <c r="Y23" s="15"/>
      <c r="Z23" s="66"/>
      <c r="AA23" s="75"/>
      <c r="AB23" s="109"/>
      <c r="AC23" s="75"/>
      <c r="AD23" s="75"/>
      <c r="AE23" s="75"/>
      <c r="AF23" s="70"/>
      <c r="AG23" s="120"/>
      <c r="AH23" s="107"/>
      <c r="AI23" s="75"/>
      <c r="AJ23" s="70"/>
      <c r="AK23" s="79"/>
      <c r="AL23" s="110"/>
      <c r="AM23" s="6"/>
      <c r="AN23" s="82"/>
      <c r="AO23" s="87"/>
    </row>
    <row r="24" spans="3:41" ht="18.5" x14ac:dyDescent="0.45">
      <c r="C24" s="86"/>
      <c r="D24" s="132" t="s">
        <v>86</v>
      </c>
      <c r="E24" s="92"/>
      <c r="F24" s="214" t="s">
        <v>182</v>
      </c>
      <c r="G24" s="11"/>
      <c r="H24" s="110"/>
      <c r="I24" s="245"/>
      <c r="J24" s="87" t="s">
        <v>182</v>
      </c>
      <c r="K24" s="5"/>
      <c r="L24" s="79"/>
      <c r="M24" s="245"/>
      <c r="N24" s="110"/>
      <c r="O24" s="79"/>
      <c r="P24" s="79"/>
      <c r="Q24" s="82"/>
      <c r="R24" s="114"/>
      <c r="S24" s="109"/>
      <c r="T24" s="75"/>
      <c r="U24" s="70"/>
      <c r="V24" s="75"/>
      <c r="W24" s="89"/>
      <c r="X24" s="15"/>
      <c r="Y24" s="15"/>
      <c r="Z24" s="66"/>
      <c r="AA24" s="75"/>
      <c r="AB24" s="109"/>
      <c r="AC24" s="75"/>
      <c r="AD24" s="75"/>
      <c r="AE24" s="75"/>
      <c r="AF24" s="70"/>
      <c r="AG24" s="120"/>
      <c r="AH24" s="107"/>
      <c r="AI24" s="75"/>
      <c r="AJ24" s="70"/>
      <c r="AK24" s="79"/>
      <c r="AL24" s="110"/>
      <c r="AM24" s="6"/>
      <c r="AN24" s="82"/>
      <c r="AO24" s="87"/>
    </row>
    <row r="25" spans="3:41" ht="18.5" x14ac:dyDescent="0.45">
      <c r="C25" s="86"/>
      <c r="D25" s="132" t="s">
        <v>87</v>
      </c>
      <c r="E25" s="92"/>
      <c r="F25" s="214" t="s">
        <v>182</v>
      </c>
      <c r="G25" s="11"/>
      <c r="H25" s="110"/>
      <c r="I25" s="245"/>
      <c r="J25" s="87" t="s">
        <v>182</v>
      </c>
      <c r="K25" s="5"/>
      <c r="L25" s="79"/>
      <c r="M25" s="245"/>
      <c r="N25" s="110"/>
      <c r="O25" s="79"/>
      <c r="P25" s="79"/>
      <c r="Q25" s="82"/>
      <c r="R25" s="114"/>
      <c r="S25" s="119"/>
      <c r="T25" s="120"/>
      <c r="U25" s="121"/>
      <c r="V25" s="120"/>
      <c r="W25" s="119"/>
      <c r="X25" s="120"/>
      <c r="Y25" s="120"/>
      <c r="Z25" s="121"/>
      <c r="AA25" s="120"/>
      <c r="AB25" s="119"/>
      <c r="AC25" s="120"/>
      <c r="AD25" s="120"/>
      <c r="AE25" s="120"/>
      <c r="AF25" s="121"/>
      <c r="AG25" s="120"/>
      <c r="AH25" s="107"/>
      <c r="AI25" s="75"/>
      <c r="AJ25" s="70"/>
      <c r="AK25" s="79"/>
      <c r="AL25" s="110"/>
      <c r="AM25" s="6"/>
      <c r="AN25" s="82"/>
      <c r="AO25" s="87"/>
    </row>
    <row r="26" spans="3:41" ht="19" thickBot="1" x14ac:dyDescent="0.5">
      <c r="C26" s="86"/>
      <c r="D26" s="133" t="s">
        <v>88</v>
      </c>
      <c r="E26" s="65"/>
      <c r="F26" s="215" t="s">
        <v>182</v>
      </c>
      <c r="G26" s="5"/>
      <c r="H26" s="110"/>
      <c r="I26" s="245"/>
      <c r="J26" s="87" t="s">
        <v>182</v>
      </c>
      <c r="K26" s="5"/>
      <c r="L26" s="79"/>
      <c r="M26" s="245"/>
      <c r="N26" s="110"/>
      <c r="O26" s="79"/>
      <c r="P26" s="79"/>
      <c r="Q26" s="82"/>
      <c r="R26" s="114"/>
      <c r="S26" s="119"/>
      <c r="T26" s="120"/>
      <c r="U26" s="121"/>
      <c r="V26" s="120"/>
      <c r="W26" s="119"/>
      <c r="X26" s="120"/>
      <c r="Y26" s="120"/>
      <c r="Z26" s="121"/>
      <c r="AA26" s="120"/>
      <c r="AB26" s="119"/>
      <c r="AC26" s="120"/>
      <c r="AD26" s="120"/>
      <c r="AE26" s="120"/>
      <c r="AF26" s="121"/>
      <c r="AG26" s="120"/>
      <c r="AH26" s="107"/>
      <c r="AI26" s="75"/>
      <c r="AJ26" s="70"/>
      <c r="AK26" s="79"/>
      <c r="AL26" s="110"/>
      <c r="AM26" s="6"/>
      <c r="AN26" s="82"/>
      <c r="AO26" s="87"/>
    </row>
    <row r="27" spans="3:41" ht="19" thickBot="1" x14ac:dyDescent="0.5">
      <c r="C27" s="86"/>
      <c r="D27" s="133" t="s">
        <v>109</v>
      </c>
      <c r="E27" s="72">
        <f>Systemblatt!C11</f>
        <v>8000</v>
      </c>
      <c r="F27" s="215" t="s">
        <v>184</v>
      </c>
      <c r="G27" s="5"/>
      <c r="H27" s="111"/>
      <c r="I27" s="246"/>
      <c r="J27" s="65" t="s">
        <v>182</v>
      </c>
      <c r="K27" s="5"/>
      <c r="L27" s="79"/>
      <c r="M27" s="246"/>
      <c r="N27" s="111"/>
      <c r="O27" s="80"/>
      <c r="P27" s="80"/>
      <c r="Q27" s="81"/>
      <c r="R27" s="114"/>
      <c r="S27" s="122"/>
      <c r="T27" s="123"/>
      <c r="U27" s="124"/>
      <c r="V27" s="120"/>
      <c r="W27" s="122"/>
      <c r="X27" s="123"/>
      <c r="Y27" s="123"/>
      <c r="Z27" s="124"/>
      <c r="AA27" s="120"/>
      <c r="AB27" s="122"/>
      <c r="AC27" s="123"/>
      <c r="AD27" s="123"/>
      <c r="AE27" s="123"/>
      <c r="AF27" s="124"/>
      <c r="AG27" s="120"/>
      <c r="AH27" s="134"/>
      <c r="AI27" s="113"/>
      <c r="AJ27" s="72"/>
      <c r="AK27" s="79"/>
      <c r="AL27" s="111"/>
      <c r="AM27" s="135"/>
      <c r="AN27" s="81"/>
      <c r="AO27" s="87"/>
    </row>
    <row r="28" spans="3:41" ht="15.5" x14ac:dyDescent="0.35">
      <c r="C28" s="8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7"/>
    </row>
    <row r="29" spans="3:41" ht="15.5" x14ac:dyDescent="0.35">
      <c r="C29" s="8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7"/>
    </row>
    <row r="30" spans="3:41" ht="15.5" x14ac:dyDescent="0.35"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7"/>
    </row>
    <row r="31" spans="3:41" x14ac:dyDescent="0.35"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7"/>
    </row>
    <row r="32" spans="3:41" x14ac:dyDescent="0.35"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7"/>
    </row>
    <row r="33" spans="3:41" x14ac:dyDescent="0.35"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7"/>
    </row>
    <row r="34" spans="3:41" x14ac:dyDescent="0.35"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7"/>
    </row>
    <row r="35" spans="3:41" x14ac:dyDescent="0.35"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7"/>
    </row>
    <row r="36" spans="3:41" x14ac:dyDescent="0.35"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7"/>
    </row>
    <row r="37" spans="3:41" x14ac:dyDescent="0.35"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7"/>
    </row>
    <row r="38" spans="3:41" x14ac:dyDescent="0.35"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7"/>
    </row>
    <row r="39" spans="3:41" x14ac:dyDescent="0.35"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7"/>
    </row>
    <row r="40" spans="3:41" x14ac:dyDescent="0.35"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7"/>
    </row>
    <row r="41" spans="3:41" x14ac:dyDescent="0.35"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7"/>
    </row>
    <row r="42" spans="3:41" x14ac:dyDescent="0.35"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7"/>
    </row>
    <row r="43" spans="3:41" x14ac:dyDescent="0.35"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7"/>
    </row>
    <row r="44" spans="3:41" x14ac:dyDescent="0.35"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7"/>
    </row>
    <row r="45" spans="3:41" x14ac:dyDescent="0.35"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7"/>
    </row>
    <row r="46" spans="3:41" x14ac:dyDescent="0.35"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7"/>
    </row>
    <row r="47" spans="3:41" ht="15.5" x14ac:dyDescent="0.35">
      <c r="C47" s="86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7"/>
    </row>
    <row r="48" spans="3:41" x14ac:dyDescent="0.35">
      <c r="C48" s="86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7"/>
    </row>
    <row r="49" spans="3:41" x14ac:dyDescent="0.35">
      <c r="C49" s="8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7"/>
    </row>
    <row r="50" spans="3:41" x14ac:dyDescent="0.35">
      <c r="C50" s="86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7"/>
    </row>
    <row r="51" spans="3:41" x14ac:dyDescent="0.35">
      <c r="C51" s="86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7"/>
    </row>
    <row r="52" spans="3:41" x14ac:dyDescent="0.35">
      <c r="C52" s="86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7"/>
    </row>
    <row r="53" spans="3:41" x14ac:dyDescent="0.35">
      <c r="C53" s="86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7"/>
    </row>
    <row r="54" spans="3:41" x14ac:dyDescent="0.35">
      <c r="C54" s="86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7"/>
    </row>
    <row r="55" spans="3:41" x14ac:dyDescent="0.35"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7"/>
    </row>
    <row r="56" spans="3:41" x14ac:dyDescent="0.35"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7"/>
    </row>
    <row r="57" spans="3:41" x14ac:dyDescent="0.35"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7"/>
    </row>
    <row r="58" spans="3:41" x14ac:dyDescent="0.35"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7"/>
    </row>
    <row r="59" spans="3:41" x14ac:dyDescent="0.35"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7"/>
    </row>
    <row r="60" spans="3:41" x14ac:dyDescent="0.35"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7"/>
    </row>
    <row r="61" spans="3:41" x14ac:dyDescent="0.35"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7"/>
    </row>
    <row r="62" spans="3:41" x14ac:dyDescent="0.35"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7"/>
    </row>
    <row r="63" spans="3:41" x14ac:dyDescent="0.35"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7"/>
    </row>
    <row r="64" spans="3:41" x14ac:dyDescent="0.35"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7"/>
    </row>
    <row r="65" spans="3:41" x14ac:dyDescent="0.35"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7"/>
    </row>
    <row r="66" spans="3:41" x14ac:dyDescent="0.35"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7"/>
    </row>
    <row r="67" spans="3:41" x14ac:dyDescent="0.35"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7"/>
    </row>
    <row r="68" spans="3:41" x14ac:dyDescent="0.35"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7"/>
    </row>
    <row r="69" spans="3:41" x14ac:dyDescent="0.35">
      <c r="C69" s="86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7"/>
    </row>
    <row r="70" spans="3:41" ht="15" thickBot="1" x14ac:dyDescent="0.4">
      <c r="C70" s="7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  <c r="AI70" s="94"/>
      <c r="AJ70" s="94"/>
      <c r="AK70" s="88"/>
      <c r="AL70" s="88"/>
      <c r="AM70" s="88"/>
      <c r="AN70" s="88"/>
      <c r="AO70" s="65"/>
    </row>
    <row r="130" spans="18:18" x14ac:dyDescent="0.35">
      <c r="R130" s="3" t="s">
        <v>23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D8C6A0A-7206-4822-8AA4-8698DABDA8FD}">
          <x14:formula1>
            <xm:f>DataBank!$A$3:$A$11</xm:f>
          </x14:formula1>
          <xm:sqref>N11</xm:sqref>
        </x14:dataValidation>
        <x14:dataValidation type="list" allowBlank="1" showInputMessage="1" showErrorMessage="1" xr:uid="{ADDD37F8-290A-4CF6-904A-3126D87FAE77}">
          <x14:formula1>
            <xm:f>Sources!$E$6:$O$6</xm:f>
          </x14:formula1>
          <xm:sqref>O13:Q13</xm:sqref>
        </x14:dataValidation>
        <x14:dataValidation type="list" allowBlank="1" showInputMessage="1" showErrorMessage="1" xr:uid="{1E7AF9C6-C7F4-41A4-BB47-E9102F672B9D}">
          <x14:formula1>
            <xm:f>DataBank!$B$2:$B$3</xm:f>
          </x14:formula1>
          <xm:sqref>J15</xm:sqref>
        </x14:dataValidation>
        <x14:dataValidation type="list" allowBlank="1" showInputMessage="1" showErrorMessage="1" xr:uid="{D5AB8099-D358-46DD-8710-111BCE34A239}">
          <x14:formula1>
            <xm:f>DataBank!$C$2:$C$7</xm:f>
          </x14:formula1>
          <xm:sqref>I15</xm:sqref>
        </x14:dataValidation>
        <x14:dataValidation type="list" allowBlank="1" showInputMessage="1" showErrorMessage="1" xr:uid="{3D986F80-7CF9-4870-9C74-003E406E6877}">
          <x14:formula1>
            <xm:f>Systemblatt!$E$5:$E$38</xm:f>
          </x14:formula1>
          <xm:sqref>N13 AC10:AC27 I16:I27 T10:T27 AE10:AE27 N14:Q27 N12:Q12 AH10:AH27</xm:sqref>
        </x14:dataValidation>
        <x14:dataValidation type="list" allowBlank="1" showInputMessage="1" showErrorMessage="1" xr:uid="{0989581E-D598-4485-8478-59542F1D5EAC}">
          <x14:formula1>
            <xm:f>Sources!$E$7:$O$7</xm:f>
          </x14:formula1>
          <xm:sqref>W10:W27</xm:sqref>
        </x14:dataValidation>
        <x14:dataValidation type="list" allowBlank="1" showInputMessage="1" showErrorMessage="1" xr:uid="{A1734701-491B-40DD-BA88-E70DEA18851D}">
          <x14:formula1>
            <xm:f>DataBank!$K$17:$K$18</xm:f>
          </x14:formula1>
          <xm:sqref>E26</xm:sqref>
        </x14:dataValidation>
        <x14:dataValidation type="whole" allowBlank="1" showInputMessage="1" showErrorMessage="1" xr:uid="{7D5AD491-B8A3-4120-A086-8EE99961A15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9EACDC-C687-450E-ADF0-952060365352}">
          <x14:formula1>
            <xm:f>DataBank!$A$3:$A$4</xm:f>
          </x14:formula1>
          <xm:sqref>AB10 AD10</xm:sqref>
        </x14:dataValidation>
        <x14:dataValidation type="list" allowBlank="1" showInputMessage="1" showErrorMessage="1" xr:uid="{9A4F9FC3-B358-4E06-B506-5D68009F8BEB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C6CC28-35F5-4D07-A7C5-598B2EF0C12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3FFF40C3-2A33-423E-BD83-6DA72E1072AD}">
          <x14:formula1>
            <xm:f>DataBank!$A$3:$A$10</xm:f>
          </x14:formula1>
          <xm:sqref>O11:Q11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23</vt:i4>
      </vt:variant>
    </vt:vector>
  </HeadingPairs>
  <TitlesOfParts>
    <vt:vector size="23" baseType="lpstr">
      <vt:lpstr>Systemblatt</vt:lpstr>
      <vt:lpstr>Template_PhysicalProcess</vt:lpstr>
      <vt:lpstr>Template_StoichReactor</vt:lpstr>
      <vt:lpstr>Template_YieldReactor</vt:lpstr>
      <vt:lpstr>Template_ElGenerator</vt:lpstr>
      <vt:lpstr>Template_SteamGenerator</vt:lpstr>
      <vt:lpstr>DataBank</vt:lpstr>
      <vt:lpstr>Pools</vt:lpstr>
      <vt:lpstr>Sources</vt:lpstr>
      <vt:lpstr>Uncertainty_test_idea</vt:lpstr>
      <vt:lpstr>Distributor</vt:lpstr>
      <vt:lpstr>Uncertainty</vt:lpstr>
      <vt:lpstr>testYield</vt:lpstr>
      <vt:lpstr>preprocessing</vt:lpstr>
      <vt:lpstr>help_unit</vt:lpstr>
      <vt:lpstr>Microwave assisted extraction</vt:lpstr>
      <vt:lpstr>Solvent recovery</vt:lpstr>
      <vt:lpstr>ultra sound assisted extraction</vt:lpstr>
      <vt:lpstr>Solvent Recovery 2</vt:lpstr>
      <vt:lpstr>Yeast Fermentation</vt:lpstr>
      <vt:lpstr>Anaerobic Digestor</vt:lpstr>
      <vt:lpstr>elek Generator</vt:lpstr>
      <vt:lpstr>steam generator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2023-10-24T12:07:51Z</dcterms:modified>
</cp:coreProperties>
</file>