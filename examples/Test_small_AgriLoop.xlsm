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BFA1ABF7-0814-4E57-B379-87F00CFBABDA}" xr6:coauthVersionLast="47" xr6:coauthVersionMax="47" xr10:uidLastSave="{00000000-0000-0000-0000-000000000000}"/>
  <bookViews>
    <workbookView xWindow="57480" yWindow="-1680" windowWidth="29040" windowHeight="15720" tabRatio="609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preprocessing" sheetId="124" r:id="rId13"/>
    <sheet name="help_unit" sheetId="129" r:id="rId14"/>
    <sheet name="Microwave assisted extraction" sheetId="125" r:id="rId15"/>
    <sheet name="Solvent recovery" sheetId="132" r:id="rId16"/>
    <sheet name="ultra sound assisted extraction" sheetId="133" r:id="rId17"/>
    <sheet name="Solvent Recovery 2" sheetId="134" r:id="rId18"/>
    <sheet name="Yeast Fermentation" sheetId="127" r:id="rId19"/>
    <sheet name="Anaerobic Digestor" sheetId="126" r:id="rId20"/>
    <sheet name="elek Generator" sheetId="128" r:id="rId21"/>
    <sheet name="steam generator" sheetId="131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36" l="1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6" i="103"/>
  <c r="E27" i="120"/>
  <c r="E27" i="90"/>
  <c r="E27" i="83"/>
  <c r="J12" i="129"/>
  <c r="J12" i="128"/>
  <c r="J12" i="127"/>
  <c r="J12" i="126"/>
  <c r="J12" i="125"/>
  <c r="J12" i="124"/>
  <c r="J12" i="121"/>
  <c r="J12" i="120"/>
  <c r="J11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<sst xmlns="http://schemas.openxmlformats.org/spreadsheetml/2006/main" count="1929" uniqueCount="275">
  <si>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</si>
  <si>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</si>
  <si>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</si>
  <si>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</si>
  <si>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</si>
  <si>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</si>
  <si>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</si>
  <si>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</si>
  <si>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</si>
  <si>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</si>
  <si>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</si>
  <si>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</si>
  <si>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</si>
  <si>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</si>
  <si>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</si>
  <si>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</si>
  <si>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</si>
  <si>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</si>
  <si>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</si>
  <si>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</si>
  <si>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</si>
  <si>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</si>
  <si>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</si>
  <si>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</si>
  <si>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</si>
  <si>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</si>
  <si>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</si>
  <si>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</si>
  <si>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</si>
  <si>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</si>
  <si>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</si>
  <si>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</si>
  <si>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</si>
  <si>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</si>
  <si>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</si>
  <si>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</si>
  <si>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</si>
  <si>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</si>
  <si>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</si>
  <si>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</si>
  <si>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</si>
  <si>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</si>
  <si>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</si>
  <si>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</si>
  <si>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</si>
  <si>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</si>
  <si>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</si>
  <si>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</si>
  <si>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</si>
  <si>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</si>
  <si>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</si>
  <si>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</si>
  <si>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</si>
  <si>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</si>
  <si>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</si>
  <si>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</si>
  <si>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</si>
  <si>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</si>
  <si>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</si>
  <si>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</si>
  <si>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</si>
  <si>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</si>
  <si>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</si>
  <si>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</si>
  <si>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</si>
  <si>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</si>
  <si>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</si>
  <si>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</si>
  <si>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</si>
  <si>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</si>
  <si>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</si>
  <si>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</si>
  <si>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</si>
  <si>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</si>
  <si>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</si>
  <si>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</si>
  <si>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</si>
  <si>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</si>
  <si>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</si>
  <si>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</si>
  <si>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</si>
  <si>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</si>
  <si>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</si>
  <si>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</si>
  <si>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</si>
  <si>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</si>
  <si>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</si>
  <si>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</si>
  <si>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</si>
  <si>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</si>
  <si>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</si>
  <si>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</si>
  <si>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</si>
  <si>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</si>
  <si>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</si>
  <si>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</si>
  <si>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</si>
  <si>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</si>
  <si>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</si>
  <si>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</si>
  <si>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</si>
  <si>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</si>
  <si>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</si>
  <si>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</si>
  <si>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</si>
  <si>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</si>
  <si>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</si>
  <si>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</si>
  <si>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</si>
  <si>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</si>
  <si>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</si>
  <si>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</si>
  <si>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</si>
  <si>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</si>
  <si>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</si>
  <si>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</si>
  <si>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</si>
  <si>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</si>
  <si>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</si>
  <si>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</si>
  <si>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</si>
  <si>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</si>
  <si>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</si>
  <si>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</si>
  <si>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</si>
  <si>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</si>
  <si>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</si>
  <si>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</si>
  <si>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</si>
  <si>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</si>
  <si>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</si>
  <si>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</si>
  <si>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</si>
  <si>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</si>
  <si>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</si>
  <si>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</si>
  <si>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</si>
  <si>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</si>
  <si>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</si>
  <si>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</si>
  <si>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</si>
  <si>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</si>
  <si>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</si>
  <si>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</si>
  <si>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</si>
  <si>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</si>
  <si>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</si>
  <si>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</si>
  <si>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</si>
  <si>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</si>
  <si>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</si>
  <si>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</si>
  <si>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</si>
  <si>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</si>
  <si>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</si>
  <si>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</si>
  <si>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</si>
  <si>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</si>
  <si>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</si>
  <si>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</si>
  <si>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</si>
  <si>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</si>
  <si>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</si>
  <si>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</si>
  <si>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</si>
  <si>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</si>
  <si>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</si>
  <si>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</si>
  <si>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</si>
  <si>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</si>
  <si>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</si>
  <si>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</si>
  <si>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</si>
  <si>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</si>
  <si>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</si>
  <si>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</si>
  <si>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</si>
  <si>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</si>
  <si>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</si>
  <si>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</si>
  <si>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</si>
  <si>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</si>
  <si>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</si>
  <si>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</si>
  <si>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</si>
  <si>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</si>
  <si>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</si>
  <si>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</si>
  <si>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</si>
  <si>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</si>
  <si>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</si>
  <si>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</si>
  <si>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</si>
  <si>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</si>
  <si>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</si>
  <si>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</si>
  <si>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</si>
  <si>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</si>
  <si>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</si>
  <si>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</si>
  <si>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</si>
  <si>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</si>
  <si>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</si>
  <si>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</si>
  <si>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</si>
  <si>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</si>
  <si>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</si>
  <si>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</si>
  <si>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</si>
  <si>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</si>
  <si>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</si>
  <si>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</si>
  <si>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</si>
  <si>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</si>
  <si>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</si>
  <si>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</si>
  <si>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</si>
  <si>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</si>
  <si>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</si>
  <si>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</si>
  <si>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</si>
  <si>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</si>
  <si>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</si>
  <si>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</si>
  <si>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</si>
  <si>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</si>
  <si>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</si>
  <si>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</si>
  <si>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</si>
  <si>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</si>
  <si>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</si>
  <si>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</si>
  <si>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</si>
  <si>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</si>
  <si>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</si>
  <si>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DES recovery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</si>
  <si>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</si>
  <si>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</si>
  <si>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</si>
  <si>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</si>
  <si>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</si>
  <si>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</si>
  <si>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</si>
  <si>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</si>
  <si>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</si>
  <si>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</si>
  <si>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</si>
  <si>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</si>
  <si>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</si>
  <si>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</si>
  <si>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</si>
  <si>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</si>
  <si>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</si>
  <si>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</si>
  <si>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</si>
  <si>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</si>
  <si>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</si>
  <si>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</si>
  <si>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>high low</t>
  </si>
  <si>
    <t>high averg. Low</t>
  </si>
  <si>
    <t xml:space="preserve">Levels of Uncertainty </t>
  </si>
  <si>
    <t xml:space="preserve">Conversion factor </t>
  </si>
  <si>
    <t>Stoichiometric factor</t>
  </si>
  <si>
    <t>Split factors</t>
  </si>
  <si>
    <t>Components</t>
  </si>
  <si>
    <t>Genaral Data</t>
  </si>
  <si>
    <t xml:space="preserve">level </t>
  </si>
  <si>
    <t>Stoichiometric-factor  (+/-%)</t>
  </si>
  <si>
    <t>Probality of occurance</t>
  </si>
  <si>
    <t>split-factor  (+/-%)</t>
  </si>
  <si>
    <t xml:space="preserve">Probability of occurance </t>
  </si>
  <si>
    <t xml:space="preserve">Equal </t>
  </si>
  <si>
    <t xml:space="preserve">Manual </t>
  </si>
  <si>
    <t xml:space="preserve">lump scenarios </t>
  </si>
  <si>
    <t>lump occorances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</si>
</sst>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6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9" fillId="5" borderId="18" xfId="4" applyFont="1" applyFill="1" applyBorder="1" applyAlignment="1" applyProtection="1">
      <alignment horizontal="center"/>
      <protection locked="0"/>
    </xf>
    <xf numFmtId="0" fontId="19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9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21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20" fillId="5" borderId="18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3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4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/>
    <xf numFmtId="0" fontId="0" fillId="5" borderId="14" xfId="0" applyFill="1" applyBorder="1"/>
    <xf numFmtId="0" fontId="0" fillId="0" borderId="0" xfId="0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/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5" borderId="11" xfId="0" applyFill="1" applyBorder="1" applyAlignment="1">
      <alignment horizontal="center" vertical="center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B10" sqref="B10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9.36328125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273" t="s">
        <v>31</v>
      </c>
      <c r="C3" s="274"/>
      <c r="D3" s="275"/>
      <c r="E3" s="268" t="s">
        <v>34</v>
      </c>
      <c r="F3" s="269"/>
      <c r="G3" s="269"/>
      <c r="H3" s="269"/>
      <c r="I3" s="269"/>
      <c r="J3" s="270"/>
      <c r="K3" s="33"/>
      <c r="L3" s="14"/>
      <c r="M3" s="14"/>
      <c r="N3" s="279" t="s">
        <v>37</v>
      </c>
      <c r="O3" s="280"/>
      <c r="P3" s="281"/>
      <c r="Q3" s="14"/>
      <c r="R3" s="14"/>
      <c r="S3" s="282" t="s">
        <v>41</v>
      </c>
      <c r="T3" s="283"/>
      <c r="U3" s="283"/>
      <c r="V3" s="284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189" t="s">
        <v>32</v>
      </c>
      <c r="C4" s="190" t="s">
        <v>0</v>
      </c>
      <c r="D4" s="235" t="s">
        <v>181</v>
      </c>
      <c r="E4" s="185" t="s">
        <v>35</v>
      </c>
      <c r="F4" s="186" t="s">
        <v>190</v>
      </c>
      <c r="G4" s="186" t="s">
        <v>188</v>
      </c>
      <c r="H4" s="186" t="s">
        <v>189</v>
      </c>
      <c r="I4" s="187" t="s">
        <v>36</v>
      </c>
      <c r="J4" s="188"/>
      <c r="K4" s="14"/>
      <c r="L4" s="32"/>
      <c r="M4" s="32"/>
      <c r="N4" s="47" t="s">
        <v>38</v>
      </c>
      <c r="O4" s="48" t="s">
        <v>40</v>
      </c>
      <c r="P4" s="47" t="s">
        <v>39</v>
      </c>
      <c r="Q4" s="14"/>
      <c r="R4" s="14"/>
      <c r="S4" s="166" t="s">
        <v>50</v>
      </c>
      <c r="T4" s="166" t="s">
        <v>49</v>
      </c>
      <c r="U4" s="167" t="s">
        <v>51</v>
      </c>
      <c r="V4" s="167" t="s">
        <v>119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29</v>
      </c>
      <c r="C5" s="28" t="s">
        <v>172</v>
      </c>
      <c r="D5" s="236" t="s">
        <v>182</v>
      </c>
      <c r="E5" s="24" t="s">
        <v>175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>
        <v>1</v>
      </c>
      <c r="O5" s="50" t="s">
        <v>199</v>
      </c>
      <c r="P5" s="28" t="s">
        <v>177</v>
      </c>
      <c r="Q5" s="14"/>
      <c r="R5" s="14"/>
      <c r="S5" s="20" t="s">
        <v>19</v>
      </c>
      <c r="T5" s="43">
        <v>87</v>
      </c>
      <c r="U5" s="43">
        <v>1.4E-2</v>
      </c>
      <c r="V5" s="168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30</v>
      </c>
      <c r="C6" s="30" t="s">
        <v>171</v>
      </c>
      <c r="D6" s="237" t="s">
        <v>182</v>
      </c>
      <c r="E6" s="24" t="s">
        <v>176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>
        <v>2</v>
      </c>
      <c r="O6" s="52" t="s">
        <v>202</v>
      </c>
      <c r="P6" s="30" t="s">
        <v>177</v>
      </c>
      <c r="Q6" s="14"/>
      <c r="R6" s="14"/>
      <c r="S6" s="24" t="s">
        <v>20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191" t="s">
        <v>134</v>
      </c>
      <c r="C7" s="192" t="s">
        <v>132</v>
      </c>
      <c r="D7" s="237" t="s">
        <v>182</v>
      </c>
      <c r="E7" s="24" t="s">
        <v>177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>
        <v>3</v>
      </c>
      <c r="O7" s="52" t="s">
        <v>203</v>
      </c>
      <c r="P7" s="30" t="s">
        <v>176</v>
      </c>
      <c r="Q7" s="14"/>
      <c r="R7" s="14"/>
      <c r="S7" s="25" t="s">
        <v>118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33" t="s">
        <v>226</v>
      </c>
      <c r="C8" s="234" t="s">
        <v>225</v>
      </c>
      <c r="D8" s="237" t="s">
        <v>182</v>
      </c>
      <c r="E8" s="24" t="s">
        <v>173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>
        <v>4</v>
      </c>
      <c r="O8" s="52" t="s">
        <v>204</v>
      </c>
      <c r="P8" s="30" t="s">
        <v>175</v>
      </c>
      <c r="Q8" s="14"/>
      <c r="R8" s="14"/>
      <c r="S8" s="59"/>
      <c r="T8" s="35"/>
      <c r="U8" s="35"/>
      <c r="V8" s="168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11</v>
      </c>
      <c r="C9" s="30"/>
      <c r="D9" s="237" t="s">
        <v>182</v>
      </c>
      <c r="E9" s="24" t="s">
        <v>179</v>
      </c>
      <c r="F9" s="44">
        <v>5</v>
      </c>
      <c r="G9" s="45">
        <v>2</v>
      </c>
      <c r="H9" s="44">
        <v>20</v>
      </c>
      <c r="I9" s="44">
        <v>10</v>
      </c>
      <c r="J9" s="37"/>
      <c r="K9" s="14"/>
      <c r="L9" s="14"/>
      <c r="M9" s="14"/>
      <c r="N9" s="51">
        <v>5</v>
      </c>
      <c r="O9" s="19" t="s">
        <v>205</v>
      </c>
      <c r="P9" s="30" t="s">
        <v>179</v>
      </c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" thickBot="1" x14ac:dyDescent="0.5">
      <c r="A10" s="38"/>
      <c r="B10" s="27" t="s">
        <v>18</v>
      </c>
      <c r="C10" s="29"/>
      <c r="D10" s="237" t="s">
        <v>183</v>
      </c>
      <c r="E10" s="24" t="s">
        <v>15</v>
      </c>
      <c r="F10" s="44"/>
      <c r="G10" s="45">
        <v>2</v>
      </c>
      <c r="H10" s="44">
        <v>44</v>
      </c>
      <c r="I10" s="44">
        <v>1</v>
      </c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0" t="s">
        <v>170</v>
      </c>
      <c r="C11" s="28">
        <v>8000</v>
      </c>
      <c r="D11" s="237" t="s">
        <v>184</v>
      </c>
      <c r="E11" s="24" t="s">
        <v>14</v>
      </c>
      <c r="F11" s="44"/>
      <c r="G11" s="45">
        <v>4</v>
      </c>
      <c r="H11" s="44">
        <v>18</v>
      </c>
      <c r="I11" s="44">
        <v>0</v>
      </c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33</v>
      </c>
      <c r="C12" s="30">
        <v>2018</v>
      </c>
      <c r="D12" s="238"/>
      <c r="E12" s="24" t="s">
        <v>4</v>
      </c>
      <c r="F12" s="44"/>
      <c r="G12" s="45">
        <v>2</v>
      </c>
      <c r="H12" s="44">
        <v>32</v>
      </c>
      <c r="I12" s="44">
        <v>0</v>
      </c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5" customHeight="1" thickBot="1" x14ac:dyDescent="0.5">
      <c r="A13" s="38"/>
      <c r="B13" s="21" t="s">
        <v>135</v>
      </c>
      <c r="C13" s="30">
        <v>0.05</v>
      </c>
      <c r="D13" s="238"/>
      <c r="E13" s="24" t="s">
        <v>180</v>
      </c>
      <c r="F13" s="44"/>
      <c r="G13" s="45">
        <v>4</v>
      </c>
      <c r="H13" s="44">
        <v>200</v>
      </c>
      <c r="I13" s="44">
        <v>0</v>
      </c>
      <c r="J13" s="37"/>
      <c r="K13" s="14"/>
      <c r="L13" s="14"/>
      <c r="M13" s="14"/>
      <c r="N13" s="53"/>
      <c r="O13" s="19"/>
      <c r="P13" s="54"/>
      <c r="Q13" s="14"/>
      <c r="R13" s="14"/>
      <c r="S13" s="60" t="s">
        <v>42</v>
      </c>
      <c r="T13" s="61" t="s">
        <v>48</v>
      </c>
      <c r="U13" s="62" t="s">
        <v>49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3" t="s">
        <v>136</v>
      </c>
      <c r="C14" s="30" t="s">
        <v>120</v>
      </c>
      <c r="D14" s="238"/>
      <c r="E14" s="24" t="s">
        <v>200</v>
      </c>
      <c r="F14" s="44"/>
      <c r="G14" s="45">
        <v>2.4</v>
      </c>
      <c r="H14" s="44">
        <v>62.08</v>
      </c>
      <c r="I14" s="44">
        <v>0</v>
      </c>
      <c r="J14" s="37"/>
      <c r="K14" s="14"/>
      <c r="L14" s="14"/>
      <c r="M14" s="14"/>
      <c r="N14" s="53"/>
      <c r="O14" s="19"/>
      <c r="P14" s="54"/>
      <c r="Q14" s="14"/>
      <c r="R14" s="14"/>
      <c r="S14" s="26" t="s">
        <v>43</v>
      </c>
      <c r="T14" s="43">
        <v>600</v>
      </c>
      <c r="U14" s="28">
        <v>34</v>
      </c>
      <c r="V14" s="168"/>
      <c r="W14" s="14"/>
      <c r="X14" s="14"/>
      <c r="Y14" s="14"/>
      <c r="Z14" s="37"/>
      <c r="AA14" s="14"/>
      <c r="AB14" s="14"/>
      <c r="AC14" s="14"/>
    </row>
    <row r="15" spans="1:29" ht="19" thickBot="1" x14ac:dyDescent="0.5">
      <c r="A15" s="38"/>
      <c r="B15" s="27" t="s">
        <v>169</v>
      </c>
      <c r="C15" s="29">
        <v>0.04</v>
      </c>
      <c r="D15" s="238"/>
      <c r="E15" s="24" t="s">
        <v>17</v>
      </c>
      <c r="F15" s="44"/>
      <c r="G15" s="45">
        <v>1</v>
      </c>
      <c r="H15" s="44">
        <v>28</v>
      </c>
      <c r="I15" s="44">
        <v>0</v>
      </c>
      <c r="J15" s="37"/>
      <c r="K15" s="14"/>
      <c r="L15" s="14"/>
      <c r="M15" s="14"/>
      <c r="N15" s="53"/>
      <c r="O15" s="19"/>
      <c r="P15" s="54"/>
      <c r="Q15" s="14"/>
      <c r="R15" s="14"/>
      <c r="S15" s="24" t="s">
        <v>44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26" t="s">
        <v>95</v>
      </c>
      <c r="C16" s="28" t="s">
        <v>96</v>
      </c>
      <c r="D16" s="238"/>
      <c r="E16" s="24" t="s">
        <v>234</v>
      </c>
      <c r="F16" s="44"/>
      <c r="G16" s="45">
        <v>1</v>
      </c>
      <c r="H16" s="44">
        <v>100</v>
      </c>
      <c r="I16" s="44">
        <v>0</v>
      </c>
      <c r="J16" s="37"/>
      <c r="K16" s="14"/>
      <c r="L16" s="14"/>
      <c r="M16" s="14"/>
      <c r="N16" s="53"/>
      <c r="O16" s="19"/>
      <c r="P16" s="54"/>
      <c r="Q16" s="14"/>
      <c r="R16" s="14"/>
      <c r="S16" s="24" t="s">
        <v>45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144" t="s">
        <v>97</v>
      </c>
      <c r="C17" s="145">
        <v>2.5</v>
      </c>
      <c r="D17" s="238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46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98</v>
      </c>
      <c r="C18" s="30">
        <v>450</v>
      </c>
      <c r="D18" s="238"/>
      <c r="E18" s="24"/>
      <c r="F18" s="44"/>
      <c r="G18" s="45"/>
      <c r="H18" s="44"/>
      <c r="I18" s="44"/>
      <c r="J18" s="165"/>
      <c r="K18" s="14"/>
      <c r="L18" s="14"/>
      <c r="M18" s="14"/>
      <c r="N18" s="25"/>
      <c r="O18" s="55"/>
      <c r="P18" s="56"/>
      <c r="Q18" s="8"/>
      <c r="R18" s="57"/>
      <c r="S18" s="25" t="s">
        <v>47</v>
      </c>
      <c r="T18" s="46">
        <v>15</v>
      </c>
      <c r="U18" s="29">
        <v>0.22</v>
      </c>
      <c r="V18" s="56"/>
      <c r="W18" s="271"/>
      <c r="X18" s="271"/>
      <c r="Y18" s="271"/>
      <c r="Z18" s="272"/>
      <c r="AA18" s="14"/>
      <c r="AB18" s="14"/>
      <c r="AC18" s="14"/>
    </row>
    <row r="19" spans="1:29" ht="18.5" x14ac:dyDescent="0.45">
      <c r="A19" s="38"/>
      <c r="B19" s="24" t="s">
        <v>57</v>
      </c>
      <c r="C19" s="30">
        <v>15</v>
      </c>
      <c r="D19" s="237" t="s">
        <v>185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266"/>
      <c r="Z19" s="267"/>
      <c r="AA19" s="14"/>
      <c r="AB19" s="14"/>
      <c r="AC19" s="14"/>
    </row>
    <row r="20" spans="1:29" ht="18.5" x14ac:dyDescent="0.45">
      <c r="A20" s="38"/>
      <c r="B20" s="24" t="s">
        <v>99</v>
      </c>
      <c r="C20" s="30">
        <v>20</v>
      </c>
      <c r="D20" s="237" t="s">
        <v>187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266"/>
      <c r="Z20" s="267"/>
      <c r="AA20" s="14"/>
      <c r="AB20" s="14"/>
      <c r="AC20" s="14"/>
    </row>
    <row r="21" spans="1:29" ht="19" thickBot="1" x14ac:dyDescent="0.5">
      <c r="A21" s="38"/>
      <c r="B21" s="25" t="s">
        <v>100</v>
      </c>
      <c r="C21" s="29">
        <v>35</v>
      </c>
      <c r="D21" s="239" t="s">
        <v>187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266"/>
      <c r="Z21" s="267"/>
      <c r="AA21" s="14"/>
      <c r="AB21" s="14"/>
      <c r="AC21" s="14"/>
    </row>
    <row r="22" spans="1:29" ht="18.5" x14ac:dyDescent="0.45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266"/>
      <c r="Z22" s="267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285"/>
      <c r="U23" s="285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276" t="s">
        <v>137</v>
      </c>
      <c r="O30" s="277"/>
      <c r="P30" s="278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6" t="s">
        <v>138</v>
      </c>
      <c r="O31" s="196" t="s">
        <v>139</v>
      </c>
      <c r="P31" s="196" t="s">
        <v>140</v>
      </c>
      <c r="Q31" s="14"/>
      <c r="R31" s="14"/>
      <c r="S31" s="276" t="s">
        <v>144</v>
      </c>
      <c r="T31" s="277"/>
      <c r="U31" s="277"/>
      <c r="V31" s="277"/>
      <c r="W31" s="278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90</v>
      </c>
      <c r="O32" s="197">
        <v>0.55000000000000004</v>
      </c>
      <c r="P32" s="168">
        <v>325</v>
      </c>
      <c r="Q32" s="14"/>
      <c r="R32" s="14"/>
      <c r="S32" s="198" t="s">
        <v>145</v>
      </c>
      <c r="T32" s="198" t="s">
        <v>146</v>
      </c>
      <c r="U32" s="198" t="s">
        <v>147</v>
      </c>
      <c r="V32" s="198" t="s">
        <v>148</v>
      </c>
      <c r="W32" s="199" t="s">
        <v>149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152</v>
      </c>
      <c r="O33" s="19">
        <v>0.27</v>
      </c>
      <c r="P33" s="54">
        <v>0.58599999999999997</v>
      </c>
      <c r="Q33" s="14"/>
      <c r="R33" s="14"/>
      <c r="S33" s="26" t="s">
        <v>168</v>
      </c>
      <c r="T33" s="206">
        <v>5000</v>
      </c>
      <c r="U33" s="197">
        <v>10</v>
      </c>
      <c r="V33" s="197">
        <v>50</v>
      </c>
      <c r="W33" s="168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141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3"/>
      <c r="O36" s="195"/>
      <c r="P36" s="194"/>
      <c r="Q36" s="195"/>
      <c r="R36" s="19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240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7" t="s">
        <v>23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7" t="s">
        <v>23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27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23</v>
      </c>
    </row>
    <row r="79" spans="1:29" x14ac:dyDescent="0.35">
      <c r="V79" s="2" t="s">
        <v>23</v>
      </c>
    </row>
  </sheetData>
  <mergeCells count="12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DataBank!$I$2:$I$6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84"/>
      <c r="W10" s="138"/>
      <c r="X10" s="83"/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/>
      <c r="J12" s="214" t="str">
        <f>J15</f>
        <v>t/h</v>
      </c>
      <c r="K12" s="5"/>
      <c r="L12" s="5"/>
      <c r="M12" s="248" t="s">
        <v>77</v>
      </c>
      <c r="N12" s="256"/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79"/>
      <c r="L11" s="79"/>
      <c r="M11" s="255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229</v>
      </c>
      <c r="F12" s="214" t="s">
        <v>182</v>
      </c>
      <c r="G12" s="5"/>
      <c r="H12" s="69" t="s">
        <v>68</v>
      </c>
      <c r="I12" s="105"/>
      <c r="J12" s="214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214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186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AC10:AC27 AH10:AH27 T10:T27 I16:I27 N14:Q27 N12:Q12 N13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F17" sqref="F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ht="15" thickBot="1" x14ac:dyDescent="0.4">
      <c r="A6" s="5"/>
      <c r="B6" s="5"/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87"/>
      <c r="AL6" s="5"/>
      <c r="AM6" s="5"/>
      <c r="AN6" s="5"/>
      <c r="AO6" s="5"/>
    </row>
    <row r="7" spans="1:41" ht="24" thickBot="1" x14ac:dyDescent="0.6">
      <c r="A7" s="5"/>
      <c r="B7" s="5"/>
      <c r="C7" s="86"/>
      <c r="D7" s="298" t="s">
        <v>52</v>
      </c>
      <c r="E7" s="299"/>
      <c r="F7" s="300"/>
      <c r="G7" s="5"/>
      <c r="H7" s="301" t="s">
        <v>53</v>
      </c>
      <c r="I7" s="302"/>
      <c r="J7" s="303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73" t="s">
        <v>32</v>
      </c>
      <c r="E8" s="213" t="s">
        <v>0</v>
      </c>
      <c r="F8" s="216" t="s">
        <v>181</v>
      </c>
      <c r="G8" s="5"/>
      <c r="H8" s="99" t="s">
        <v>32</v>
      </c>
      <c r="I8" s="99" t="s">
        <v>54</v>
      </c>
      <c r="J8" s="74" t="s">
        <v>181</v>
      </c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290" t="s">
        <v>7</v>
      </c>
      <c r="AI8" s="291"/>
      <c r="AJ8" s="292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67" t="s">
        <v>1</v>
      </c>
      <c r="E9" s="68"/>
      <c r="F9" s="214" t="s">
        <v>182</v>
      </c>
      <c r="G9" s="5"/>
      <c r="H9" s="67" t="s">
        <v>2</v>
      </c>
      <c r="I9" s="68"/>
      <c r="J9" s="96" t="s">
        <v>182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159</v>
      </c>
      <c r="Y9" s="200" t="s">
        <v>160</v>
      </c>
      <c r="Z9" s="201" t="s">
        <v>161</v>
      </c>
      <c r="AA9" s="11"/>
      <c r="AB9" s="85" t="s">
        <v>82</v>
      </c>
      <c r="AC9" s="85" t="s">
        <v>81</v>
      </c>
      <c r="AD9" s="85" t="s">
        <v>83</v>
      </c>
      <c r="AE9" s="85" t="s">
        <v>35</v>
      </c>
      <c r="AF9" s="85" t="s">
        <v>84</v>
      </c>
      <c r="AG9" s="11"/>
      <c r="AH9" s="178" t="s">
        <v>35</v>
      </c>
      <c r="AI9" s="178" t="s">
        <v>0</v>
      </c>
      <c r="AJ9" s="178" t="s">
        <v>125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9" t="s">
        <v>3</v>
      </c>
      <c r="E10" s="70"/>
      <c r="F10" s="214" t="s">
        <v>182</v>
      </c>
      <c r="G10" s="5"/>
      <c r="H10" s="69" t="s">
        <v>67</v>
      </c>
      <c r="I10" s="105"/>
      <c r="J10" s="87" t="s">
        <v>191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03"/>
      <c r="AC10" s="104"/>
      <c r="AD10" s="104"/>
      <c r="AE10" s="104"/>
      <c r="AF10" s="70"/>
      <c r="AG10" s="120"/>
      <c r="AH10" s="140"/>
      <c r="AI10" s="83"/>
      <c r="AJ10" s="164"/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42</v>
      </c>
      <c r="E11" s="261" t="s">
        <v>230</v>
      </c>
      <c r="F11" s="214" t="s">
        <v>182</v>
      </c>
      <c r="G11" s="5"/>
      <c r="H11" s="69" t="s">
        <v>68</v>
      </c>
      <c r="I11" s="105"/>
      <c r="J11" s="87" t="str">
        <f>J14</f>
        <v>t/h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03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56</v>
      </c>
      <c r="F12" s="214" t="s">
        <v>182</v>
      </c>
      <c r="G12" s="5"/>
      <c r="H12" s="69" t="s">
        <v>69</v>
      </c>
      <c r="I12" s="105"/>
      <c r="J12" s="87" t="s">
        <v>182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09"/>
      <c r="T12" s="125"/>
      <c r="U12" s="70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3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57</v>
      </c>
      <c r="E13" s="70">
        <v>25</v>
      </c>
      <c r="F13" s="214" t="s">
        <v>182</v>
      </c>
      <c r="G13" s="5"/>
      <c r="H13" s="69" t="s">
        <v>70</v>
      </c>
      <c r="I13" s="105"/>
      <c r="J13" s="87" t="s">
        <v>194</v>
      </c>
      <c r="K13" s="79"/>
      <c r="L13" s="79"/>
      <c r="M13" s="249"/>
      <c r="N13" s="126"/>
      <c r="O13" s="75"/>
      <c r="P13" s="75"/>
      <c r="Q13" s="70"/>
      <c r="R13" s="114"/>
      <c r="S13" s="109"/>
      <c r="T13" s="120"/>
      <c r="U13" s="7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3"/>
      <c r="AI13" s="75"/>
      <c r="AJ13" s="92"/>
      <c r="AK13" s="87"/>
      <c r="AL13" s="5"/>
      <c r="AM13" s="5"/>
      <c r="AN13" s="5"/>
      <c r="AO13" s="5"/>
    </row>
    <row r="14" spans="1:41" ht="19" thickBot="1" x14ac:dyDescent="0.5">
      <c r="A14" s="5"/>
      <c r="B14" s="5"/>
      <c r="C14" s="86"/>
      <c r="D14" s="69" t="s">
        <v>58</v>
      </c>
      <c r="E14" s="70">
        <v>2.6</v>
      </c>
      <c r="F14" s="214" t="s">
        <v>182</v>
      </c>
      <c r="G14" s="5"/>
      <c r="H14" s="76" t="s">
        <v>71</v>
      </c>
      <c r="I14" s="70"/>
      <c r="J14" s="87" t="s">
        <v>192</v>
      </c>
      <c r="K14" s="79"/>
      <c r="L14" s="79"/>
      <c r="M14" s="250"/>
      <c r="N14" s="110"/>
      <c r="O14" s="79"/>
      <c r="P14" s="79"/>
      <c r="Q14" s="82"/>
      <c r="R14" s="114"/>
      <c r="S14" s="109"/>
      <c r="T14" s="75"/>
      <c r="U14" s="7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3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59</v>
      </c>
      <c r="E15" s="70">
        <v>1.44</v>
      </c>
      <c r="F15" s="214" t="s">
        <v>182</v>
      </c>
      <c r="G15" s="5"/>
      <c r="H15" s="242" t="s">
        <v>55</v>
      </c>
      <c r="I15" s="243"/>
      <c r="J15" s="217" t="s">
        <v>182</v>
      </c>
      <c r="K15" s="79"/>
      <c r="L15" s="79"/>
      <c r="M15" s="250"/>
      <c r="N15" s="110"/>
      <c r="O15" s="79"/>
      <c r="P15" s="79"/>
      <c r="Q15" s="82"/>
      <c r="R15" s="114"/>
      <c r="S15" s="109"/>
      <c r="T15" s="75"/>
      <c r="U15" s="7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3"/>
      <c r="AI15" s="75"/>
      <c r="AJ15" s="92"/>
      <c r="AK15" s="87"/>
      <c r="AL15" s="5"/>
      <c r="AM15" s="5"/>
      <c r="AN15" s="5"/>
      <c r="AO15" s="5"/>
    </row>
    <row r="16" spans="1:41" ht="18.5" x14ac:dyDescent="0.45">
      <c r="A16" s="5"/>
      <c r="B16" s="5"/>
      <c r="C16" s="86"/>
      <c r="D16" s="69" t="s">
        <v>60</v>
      </c>
      <c r="E16" s="70"/>
      <c r="F16" s="214" t="s">
        <v>186</v>
      </c>
      <c r="G16" s="5"/>
      <c r="H16" s="76"/>
      <c r="I16" s="244"/>
      <c r="J16" s="214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9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71" t="s">
        <v>61</v>
      </c>
      <c r="E17" s="70"/>
      <c r="F17" s="214" t="s">
        <v>186</v>
      </c>
      <c r="G17" s="5"/>
      <c r="H17" s="77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9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69" t="s">
        <v>62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9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71" t="s">
        <v>63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9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64</v>
      </c>
      <c r="E20" s="143" t="s">
        <v>94</v>
      </c>
      <c r="F20" s="214" t="s">
        <v>182</v>
      </c>
      <c r="G20" s="5"/>
      <c r="H20" s="110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9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65</v>
      </c>
      <c r="E21" s="70"/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9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66</v>
      </c>
      <c r="E22" s="70"/>
      <c r="F22" s="214" t="s">
        <v>182</v>
      </c>
      <c r="G22" s="5"/>
      <c r="H22" s="110"/>
      <c r="I22" s="245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9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132" t="s">
        <v>86</v>
      </c>
      <c r="E23" s="92"/>
      <c r="F23" s="214" t="s">
        <v>182</v>
      </c>
      <c r="G23" s="11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9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2" t="s">
        <v>87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9"/>
      <c r="AI24" s="75"/>
      <c r="AJ24" s="92"/>
      <c r="AK24" s="87"/>
      <c r="AL24" s="5"/>
      <c r="AM24" s="5"/>
      <c r="AN24" s="5"/>
      <c r="AO24" s="5"/>
    </row>
    <row r="25" spans="1:41" ht="19" thickBot="1" x14ac:dyDescent="0.5">
      <c r="A25" s="5"/>
      <c r="B25" s="5"/>
      <c r="C25" s="86"/>
      <c r="D25" s="133" t="s">
        <v>88</v>
      </c>
      <c r="E25" s="65"/>
      <c r="F25" s="215" t="s">
        <v>182</v>
      </c>
      <c r="G25" s="5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9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3" t="s">
        <v>109</v>
      </c>
      <c r="E26" s="72">
        <f>Systemblatt!C11</f>
        <v>8000</v>
      </c>
      <c r="F26" s="215" t="s">
        <v>184</v>
      </c>
      <c r="G26" s="5"/>
      <c r="H26" s="111"/>
      <c r="I26" s="246"/>
      <c r="J26" s="215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9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79"/>
      <c r="E27" s="79"/>
      <c r="F27" s="79"/>
      <c r="G27" s="79"/>
      <c r="H27" s="79"/>
      <c r="I27" s="79"/>
      <c r="J27" s="79"/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12"/>
      <c r="AI27" s="113"/>
      <c r="AJ27" s="146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23</v>
      </c>
    </row>
    <row r="137" spans="18:18" x14ac:dyDescent="0.35">
      <c r="R137" s="3" t="s">
        <v>23</v>
      </c>
    </row>
  </sheetData>
  <mergeCells count="11">
    <mergeCell ref="D7:F7"/>
    <mergeCell ref="H7:J7"/>
    <mergeCell ref="AH8:AJ8"/>
    <mergeCell ref="M8:Q8"/>
    <mergeCell ref="D6:E6"/>
    <mergeCell ref="H6:I6"/>
    <mergeCell ref="M6:P6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E18:E19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E25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AJ10:AJ27 T10:T27 AE10:AE27 AC10:AC27 I15:I27 N14:Q27 N12:Q12 N13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I14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J14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AE10:AE27 AH10:AH27 T10:T27 I16:I27 N14:Q27 N12:Q12 N13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5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214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AC10:AC27 AH10:AH27 T10:T27 AE10:AE27 N14:Q27 N12:Q12 N13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R35"/>
  <sheetViews>
    <sheetView workbookViewId="0">
      <selection activeCell="E35" sqref="E35"/>
    </sheetView>
  </sheetViews>
  <sheetFormatPr baseColWidth="10" defaultRowHeight="14.5" x14ac:dyDescent="0.35"/>
  <sheetData>
    <row r="1" spans="1:18" ht="15.5" x14ac:dyDescent="0.35">
      <c r="A1" t="s">
        <v>28</v>
      </c>
      <c r="B1" t="s">
        <v>193</v>
      </c>
      <c r="F1" s="1" t="s">
        <v>16</v>
      </c>
      <c r="I1" t="s">
        <v>131</v>
      </c>
      <c r="L1" t="s">
        <v>142</v>
      </c>
    </row>
    <row r="2" spans="1:18" ht="15.5" x14ac:dyDescent="0.35">
      <c r="A2" t="s">
        <v>26</v>
      </c>
      <c r="B2" t="s">
        <v>193</v>
      </c>
      <c r="C2" t="s">
        <v>26</v>
      </c>
      <c r="F2" s="184" t="s">
        <v>120</v>
      </c>
      <c r="I2" t="s">
        <v>132</v>
      </c>
      <c r="L2" t="s">
        <v>126</v>
      </c>
    </row>
    <row r="3" spans="1:18" ht="15.5" x14ac:dyDescent="0.35">
      <c r="A3" t="s">
        <v>12</v>
      </c>
      <c r="B3" t="s">
        <v>192</v>
      </c>
      <c r="C3" t="s">
        <v>12</v>
      </c>
      <c r="F3" s="232" t="s">
        <v>222</v>
      </c>
      <c r="I3" t="s">
        <v>151</v>
      </c>
      <c r="L3" t="s">
        <v>143</v>
      </c>
    </row>
    <row r="4" spans="1:18" ht="15.5" x14ac:dyDescent="0.35">
      <c r="A4" t="s">
        <v>13</v>
      </c>
      <c r="B4" t="s">
        <v>192</v>
      </c>
      <c r="C4" t="s">
        <v>13</v>
      </c>
      <c r="F4" s="232" t="s">
        <v>223</v>
      </c>
      <c r="I4" t="s">
        <v>150</v>
      </c>
      <c r="L4" t="s">
        <v>130</v>
      </c>
    </row>
    <row r="5" spans="1:18" ht="15.5" x14ac:dyDescent="0.35">
      <c r="A5" t="s">
        <v>21</v>
      </c>
      <c r="C5" t="s">
        <v>21</v>
      </c>
      <c r="F5" s="232" t="s">
        <v>224</v>
      </c>
      <c r="I5" t="s">
        <v>133</v>
      </c>
      <c r="L5" t="s">
        <v>128</v>
      </c>
    </row>
    <row r="6" spans="1:18" x14ac:dyDescent="0.35">
      <c r="A6" t="s">
        <v>25</v>
      </c>
      <c r="C6" t="s">
        <v>25</v>
      </c>
      <c r="I6" t="s">
        <v>239</v>
      </c>
      <c r="L6" t="s">
        <v>129</v>
      </c>
    </row>
    <row r="7" spans="1:18" x14ac:dyDescent="0.35">
      <c r="A7" t="s">
        <v>111</v>
      </c>
      <c r="L7" t="s">
        <v>127</v>
      </c>
    </row>
    <row r="8" spans="1:18" x14ac:dyDescent="0.35">
      <c r="A8" t="s">
        <v>112</v>
      </c>
      <c r="I8" t="s">
        <v>153</v>
      </c>
      <c r="L8" t="s">
        <v>166</v>
      </c>
    </row>
    <row r="9" spans="1:18" x14ac:dyDescent="0.35">
      <c r="A9" t="s">
        <v>123</v>
      </c>
      <c r="I9" t="s">
        <v>171</v>
      </c>
      <c r="L9" t="s">
        <v>167</v>
      </c>
    </row>
    <row r="10" spans="1:18" x14ac:dyDescent="0.35">
      <c r="A10" t="s">
        <v>124</v>
      </c>
      <c r="I10" t="s">
        <v>90</v>
      </c>
      <c r="L10" t="s">
        <v>168</v>
      </c>
    </row>
    <row r="11" spans="1:18" x14ac:dyDescent="0.35">
      <c r="I11" t="s">
        <v>152</v>
      </c>
    </row>
    <row r="12" spans="1:18" x14ac:dyDescent="0.35">
      <c r="I12" t="s">
        <v>141</v>
      </c>
    </row>
    <row r="14" spans="1:18" x14ac:dyDescent="0.35">
      <c r="A14" t="s">
        <v>227</v>
      </c>
    </row>
    <row r="15" spans="1:18" x14ac:dyDescent="0.35">
      <c r="A15" t="s">
        <v>225</v>
      </c>
    </row>
    <row r="16" spans="1:18" x14ac:dyDescent="0.35">
      <c r="I16" t="s">
        <v>154</v>
      </c>
      <c r="J16" t="s">
        <v>156</v>
      </c>
      <c r="K16" t="s">
        <v>157</v>
      </c>
      <c r="M16" t="s">
        <v>260</v>
      </c>
      <c r="O16" t="s">
        <v>270</v>
      </c>
      <c r="R16" t="s">
        <v>274</v>
      </c>
    </row>
    <row r="17" spans="9:18" x14ac:dyDescent="0.35">
      <c r="I17" t="s">
        <v>96</v>
      </c>
      <c r="J17" t="s">
        <v>11</v>
      </c>
      <c r="K17" t="s">
        <v>158</v>
      </c>
      <c r="M17" t="s">
        <v>258</v>
      </c>
      <c r="O17" t="s">
        <v>271</v>
      </c>
      <c r="R17" t="s">
        <v>254</v>
      </c>
    </row>
    <row r="18" spans="9:18" x14ac:dyDescent="0.35">
      <c r="I18" t="s">
        <v>155</v>
      </c>
      <c r="J18" t="s">
        <v>8</v>
      </c>
      <c r="K18" t="s">
        <v>89</v>
      </c>
      <c r="M18" t="s">
        <v>259</v>
      </c>
      <c r="O18" t="s">
        <v>272</v>
      </c>
      <c r="R18" t="s">
        <v>261</v>
      </c>
    </row>
    <row r="19" spans="9:18" x14ac:dyDescent="0.35">
      <c r="R19" t="s">
        <v>262</v>
      </c>
    </row>
    <row r="20" spans="9:18" x14ac:dyDescent="0.35">
      <c r="R20" t="s">
        <v>263</v>
      </c>
    </row>
    <row r="35" spans="2:2" x14ac:dyDescent="0.35">
      <c r="B35" t="s">
        <v>228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J12" sqref="J12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7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09" t="s">
        <v>101</v>
      </c>
      <c r="D5" s="310"/>
      <c r="E5" s="310"/>
      <c r="F5" s="310"/>
      <c r="G5" s="310"/>
      <c r="H5" s="310"/>
      <c r="I5" s="310"/>
      <c r="J5" s="310"/>
      <c r="K5" s="310"/>
      <c r="L5" s="310"/>
      <c r="M5" s="310"/>
      <c r="N5" s="310"/>
      <c r="O5" s="310"/>
      <c r="P5" s="310"/>
      <c r="Q5" s="311"/>
      <c r="R5" t="s">
        <v>23</v>
      </c>
    </row>
    <row r="6" spans="2:18" ht="18.5" x14ac:dyDescent="0.45">
      <c r="B6" s="11"/>
      <c r="C6" s="173" t="s">
        <v>1</v>
      </c>
      <c r="D6" s="169" t="s">
        <v>201</v>
      </c>
      <c r="E6" s="169" t="s">
        <v>196</v>
      </c>
      <c r="F6" s="169" t="s">
        <v>173</v>
      </c>
      <c r="G6" s="169" t="s">
        <v>232</v>
      </c>
      <c r="H6" s="95"/>
      <c r="I6" s="95"/>
      <c r="J6" s="95"/>
      <c r="K6" s="95"/>
      <c r="L6" s="95"/>
      <c r="M6" s="95"/>
      <c r="N6" s="95"/>
      <c r="O6" s="95"/>
      <c r="P6" s="95"/>
      <c r="Q6" s="164"/>
    </row>
    <row r="7" spans="2:18" ht="18.5" x14ac:dyDescent="0.45">
      <c r="B7" s="11"/>
      <c r="C7" s="170" t="s">
        <v>102</v>
      </c>
      <c r="D7" s="120">
        <v>1000</v>
      </c>
      <c r="E7" s="120">
        <v>2000</v>
      </c>
      <c r="F7" s="120">
        <v>3000</v>
      </c>
      <c r="G7" s="120">
        <v>1100</v>
      </c>
      <c r="H7" s="11"/>
      <c r="I7" s="11"/>
      <c r="J7" s="11"/>
      <c r="K7" s="11"/>
      <c r="L7" s="11"/>
      <c r="M7" s="11"/>
      <c r="N7" s="11"/>
      <c r="O7" s="11"/>
      <c r="P7" s="11"/>
      <c r="Q7" s="92"/>
    </row>
    <row r="8" spans="2:18" ht="18.5" x14ac:dyDescent="0.45">
      <c r="B8" s="11"/>
      <c r="C8" s="171" t="s">
        <v>42</v>
      </c>
      <c r="D8" s="120" t="s">
        <v>10</v>
      </c>
      <c r="E8" s="120" t="s">
        <v>10</v>
      </c>
      <c r="F8" s="120" t="s">
        <v>10</v>
      </c>
      <c r="G8" s="120" t="s">
        <v>10</v>
      </c>
      <c r="H8" s="11"/>
      <c r="I8" s="11"/>
      <c r="J8" s="11"/>
      <c r="K8" s="11"/>
      <c r="L8" s="11"/>
      <c r="M8" s="11"/>
      <c r="N8" s="11"/>
      <c r="O8" s="11"/>
      <c r="P8" s="11"/>
      <c r="Q8" s="92"/>
    </row>
    <row r="9" spans="2:18" ht="18.5" x14ac:dyDescent="0.45">
      <c r="B9" s="11"/>
      <c r="C9" s="172" t="s">
        <v>103</v>
      </c>
      <c r="D9" s="120"/>
      <c r="E9" s="120"/>
      <c r="F9" s="120"/>
      <c r="G9" s="208"/>
      <c r="H9" s="11"/>
      <c r="I9" s="11"/>
      <c r="J9" s="11"/>
      <c r="K9" s="11"/>
      <c r="L9" s="11"/>
      <c r="M9" s="11"/>
      <c r="N9" s="11"/>
      <c r="O9" s="11"/>
      <c r="P9" s="11"/>
      <c r="Q9" s="92"/>
    </row>
    <row r="10" spans="2:18" ht="18.5" x14ac:dyDescent="0.45">
      <c r="B10" s="11"/>
      <c r="C10" s="170" t="s">
        <v>210</v>
      </c>
      <c r="D10" s="120">
        <v>0</v>
      </c>
      <c r="E10" s="120">
        <v>200</v>
      </c>
      <c r="F10" s="120">
        <v>500</v>
      </c>
      <c r="G10" s="120">
        <v>25</v>
      </c>
      <c r="H10" s="11"/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5" x14ac:dyDescent="0.45">
      <c r="B11" s="11"/>
      <c r="C11" s="170" t="s">
        <v>9</v>
      </c>
      <c r="D11" s="120" t="s">
        <v>8</v>
      </c>
      <c r="E11" s="120" t="s">
        <v>8</v>
      </c>
      <c r="F11" s="120" t="s">
        <v>8</v>
      </c>
      <c r="G11" s="120" t="s">
        <v>11</v>
      </c>
      <c r="H11" s="11"/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5" x14ac:dyDescent="0.45">
      <c r="B12" s="11"/>
      <c r="C12" s="174" t="s">
        <v>121</v>
      </c>
      <c r="D12" s="120">
        <v>0.5</v>
      </c>
      <c r="E12" s="120">
        <v>0.58499999999999996</v>
      </c>
      <c r="F12" s="120">
        <v>0</v>
      </c>
      <c r="G12" s="120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5" x14ac:dyDescent="0.45">
      <c r="B13" s="11"/>
      <c r="C13" s="132" t="s">
        <v>122</v>
      </c>
      <c r="D13" s="11"/>
      <c r="E13" s="11"/>
      <c r="F13" s="11"/>
      <c r="G13" s="120"/>
      <c r="H13" s="11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5" x14ac:dyDescent="0.45">
      <c r="B14" s="11"/>
      <c r="C14" s="132" t="s">
        <v>116</v>
      </c>
      <c r="D14" s="120"/>
      <c r="E14" s="120"/>
      <c r="F14" s="120">
        <v>1</v>
      </c>
      <c r="G14" s="120">
        <v>1</v>
      </c>
      <c r="H14" s="11"/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" thickBot="1" x14ac:dyDescent="0.5">
      <c r="B15" s="11"/>
      <c r="C15" s="175" t="s">
        <v>117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46"/>
    </row>
    <row r="16" spans="2:18" x14ac:dyDescent="0.35">
      <c r="I16" s="11"/>
      <c r="J16" s="11"/>
      <c r="K16" s="11"/>
      <c r="L16" s="11"/>
    </row>
    <row r="26" spans="11:11" x14ac:dyDescent="0.35">
      <c r="K26" t="s">
        <v>23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H30" sqref="H30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1" t="s">
        <v>211</v>
      </c>
      <c r="D5" s="312" t="s">
        <v>104</v>
      </c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4"/>
      <c r="P5" s="11"/>
      <c r="Q5" s="11"/>
    </row>
    <row r="6" spans="3:17" ht="18.5" x14ac:dyDescent="0.45">
      <c r="C6" s="222" t="s">
        <v>182</v>
      </c>
      <c r="D6" s="147" t="s">
        <v>1</v>
      </c>
      <c r="E6" s="210" t="s">
        <v>174</v>
      </c>
      <c r="F6" s="211" t="s">
        <v>178</v>
      </c>
      <c r="G6" s="211" t="s">
        <v>110</v>
      </c>
      <c r="H6" s="211" t="s">
        <v>233</v>
      </c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223" t="s">
        <v>182</v>
      </c>
      <c r="D7" s="147" t="s">
        <v>102</v>
      </c>
      <c r="E7" s="161">
        <v>11</v>
      </c>
      <c r="F7" s="150">
        <v>22</v>
      </c>
      <c r="G7" s="150">
        <v>33</v>
      </c>
      <c r="H7" s="150">
        <v>44</v>
      </c>
      <c r="I7" s="150"/>
      <c r="J7" s="150"/>
      <c r="K7" s="150"/>
      <c r="L7" s="150"/>
      <c r="M7" s="150"/>
      <c r="N7" s="150"/>
      <c r="O7" s="151"/>
      <c r="P7" s="11"/>
      <c r="Q7" s="11"/>
    </row>
    <row r="8" spans="3:17" ht="18.5" x14ac:dyDescent="0.45">
      <c r="C8" s="224" t="s">
        <v>212</v>
      </c>
      <c r="D8" s="147" t="s">
        <v>105</v>
      </c>
      <c r="E8" s="161">
        <v>200</v>
      </c>
      <c r="F8" s="150">
        <v>0</v>
      </c>
      <c r="G8" s="150">
        <v>0</v>
      </c>
      <c r="H8" s="150">
        <v>200</v>
      </c>
      <c r="I8" s="150"/>
      <c r="J8" s="150"/>
      <c r="K8" s="150"/>
      <c r="L8" s="150"/>
      <c r="M8" s="150"/>
      <c r="N8" s="150"/>
      <c r="O8" s="151"/>
      <c r="P8" s="11"/>
      <c r="Q8" s="11"/>
    </row>
    <row r="9" spans="3:17" ht="18.5" x14ac:dyDescent="0.45">
      <c r="C9" s="224" t="s">
        <v>192</v>
      </c>
      <c r="D9" s="147" t="s">
        <v>214</v>
      </c>
      <c r="E9" s="161">
        <v>1000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224" t="s">
        <v>192</v>
      </c>
      <c r="D10" s="147" t="s">
        <v>215</v>
      </c>
      <c r="E10" s="161">
        <v>1000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223" t="s">
        <v>182</v>
      </c>
      <c r="D11" s="147" t="s">
        <v>106</v>
      </c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223" t="s">
        <v>182</v>
      </c>
      <c r="D12" s="147" t="s">
        <v>213</v>
      </c>
      <c r="E12" s="182">
        <v>0</v>
      </c>
      <c r="F12" s="208">
        <v>1</v>
      </c>
      <c r="G12" s="208">
        <v>0</v>
      </c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" thickBot="1" x14ac:dyDescent="0.5">
      <c r="C13" s="225" t="s">
        <v>182</v>
      </c>
      <c r="D13" s="147" t="s">
        <v>107</v>
      </c>
      <c r="E13" s="162">
        <f>SUM(E14:E37)</f>
        <v>1</v>
      </c>
      <c r="F13" s="158">
        <f t="shared" ref="F13:O13" si="0">SUM(F14:F37)</f>
        <v>1</v>
      </c>
      <c r="G13" s="158">
        <f t="shared" si="0"/>
        <v>1</v>
      </c>
      <c r="H13" s="158">
        <f t="shared" si="0"/>
        <v>1</v>
      </c>
      <c r="I13" s="158">
        <f t="shared" si="0"/>
        <v>0</v>
      </c>
      <c r="J13" s="158">
        <f t="shared" si="0"/>
        <v>0</v>
      </c>
      <c r="K13" s="158">
        <f t="shared" si="0"/>
        <v>0</v>
      </c>
      <c r="L13" s="158">
        <f t="shared" si="0"/>
        <v>0</v>
      </c>
      <c r="M13" s="158">
        <f t="shared" si="0"/>
        <v>0</v>
      </c>
      <c r="N13" s="158">
        <f t="shared" si="0"/>
        <v>0</v>
      </c>
      <c r="O13" s="159">
        <f t="shared" si="0"/>
        <v>0</v>
      </c>
      <c r="P13" s="11"/>
      <c r="Q13" s="11"/>
    </row>
    <row r="14" spans="3:17" ht="18.5" x14ac:dyDescent="0.45">
      <c r="C14" s="226"/>
      <c r="D14" s="152" t="s">
        <v>175</v>
      </c>
      <c r="E14" s="211">
        <v>0.25</v>
      </c>
      <c r="F14" s="148">
        <v>0</v>
      </c>
      <c r="G14" s="148"/>
      <c r="H14" s="148"/>
      <c r="I14" s="148"/>
      <c r="J14" s="148"/>
      <c r="K14" s="148"/>
      <c r="L14" s="148"/>
      <c r="M14" s="148"/>
      <c r="N14" s="148"/>
      <c r="O14" s="149"/>
      <c r="P14" s="11"/>
      <c r="Q14" s="11"/>
    </row>
    <row r="15" spans="3:17" ht="18.5" x14ac:dyDescent="0.45">
      <c r="C15" s="176"/>
      <c r="D15" s="153" t="s">
        <v>176</v>
      </c>
      <c r="E15" s="212">
        <v>0.13</v>
      </c>
      <c r="F15" s="150">
        <v>0</v>
      </c>
      <c r="G15" s="150"/>
      <c r="H15" s="154"/>
      <c r="I15" s="150"/>
      <c r="J15" s="150"/>
      <c r="K15" s="150"/>
      <c r="L15" s="150"/>
      <c r="M15" s="150"/>
      <c r="N15" s="150"/>
      <c r="O15" s="151"/>
      <c r="P15" s="11"/>
      <c r="Q15" s="11"/>
    </row>
    <row r="16" spans="3:17" ht="18.5" x14ac:dyDescent="0.45">
      <c r="C16" s="176"/>
      <c r="D16" s="153" t="s">
        <v>177</v>
      </c>
      <c r="E16" s="212">
        <v>0.55000000000000004</v>
      </c>
      <c r="F16" s="150">
        <v>0</v>
      </c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22" ht="18.5" x14ac:dyDescent="0.45">
      <c r="C17" s="176"/>
      <c r="D17" s="153" t="s">
        <v>173</v>
      </c>
      <c r="E17" s="212">
        <v>7.0000000000000007E-2</v>
      </c>
      <c r="F17" s="150">
        <v>0</v>
      </c>
      <c r="G17" s="150"/>
      <c r="H17" s="154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22" ht="18.5" x14ac:dyDescent="0.45">
      <c r="C18" s="176"/>
      <c r="D18" s="153" t="s">
        <v>14</v>
      </c>
      <c r="E18" s="212"/>
      <c r="F18" s="150">
        <v>1</v>
      </c>
      <c r="G18" s="150"/>
      <c r="H18" s="150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22" ht="18.5" x14ac:dyDescent="0.45">
      <c r="C19" s="176"/>
      <c r="D19" s="153" t="s">
        <v>4</v>
      </c>
      <c r="E19" s="212"/>
      <c r="F19" s="150">
        <v>0</v>
      </c>
      <c r="G19" s="150">
        <v>0.22</v>
      </c>
      <c r="H19" s="150"/>
      <c r="I19" s="150"/>
      <c r="J19" s="150"/>
      <c r="K19" s="155"/>
      <c r="L19" s="150"/>
      <c r="M19" s="150"/>
      <c r="N19" s="150"/>
      <c r="O19" s="151"/>
      <c r="P19" s="11"/>
      <c r="Q19" s="11"/>
    </row>
    <row r="20" spans="3:22" ht="18.5" x14ac:dyDescent="0.45">
      <c r="C20" s="176"/>
      <c r="D20" s="153" t="s">
        <v>17</v>
      </c>
      <c r="E20" s="212"/>
      <c r="F20" s="212">
        <v>0</v>
      </c>
      <c r="G20" s="150">
        <v>0.78</v>
      </c>
      <c r="H20" s="156"/>
      <c r="I20" s="150"/>
      <c r="J20" s="150"/>
      <c r="K20" s="155"/>
      <c r="L20" s="150"/>
      <c r="M20" s="150"/>
      <c r="N20" s="150"/>
      <c r="O20" s="151"/>
      <c r="P20" s="11"/>
      <c r="Q20" s="11"/>
    </row>
    <row r="21" spans="3:22" ht="18.5" x14ac:dyDescent="0.45">
      <c r="C21" s="176"/>
      <c r="D21" s="153" t="s">
        <v>234</v>
      </c>
      <c r="E21" s="150"/>
      <c r="F21" s="150"/>
      <c r="G21" s="150"/>
      <c r="H21" s="156">
        <v>1</v>
      </c>
      <c r="I21" s="150"/>
      <c r="J21" s="150"/>
      <c r="K21" s="150"/>
      <c r="L21" s="150"/>
      <c r="M21" s="150"/>
      <c r="N21" s="150"/>
      <c r="O21" s="151"/>
      <c r="P21" s="11"/>
      <c r="Q21" s="11"/>
    </row>
    <row r="22" spans="3:22" ht="18.5" x14ac:dyDescent="0.45">
      <c r="C22" s="176"/>
      <c r="D22" s="153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22" ht="18.5" x14ac:dyDescent="0.45">
      <c r="C23" s="176"/>
      <c r="D23" s="153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1"/>
      <c r="P23" s="11"/>
      <c r="Q23" s="11"/>
    </row>
    <row r="24" spans="3:22" ht="18.5" x14ac:dyDescent="0.45">
      <c r="C24" s="176"/>
      <c r="D24" s="153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1"/>
      <c r="P24" s="11"/>
      <c r="V24" s="11" t="s">
        <v>23</v>
      </c>
    </row>
    <row r="25" spans="3:22" ht="18.5" x14ac:dyDescent="0.45">
      <c r="C25" s="176"/>
      <c r="D25" s="153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1"/>
      <c r="P25" s="11"/>
      <c r="Q25" s="11"/>
    </row>
    <row r="26" spans="3:22" x14ac:dyDescent="0.35">
      <c r="C26" s="176"/>
      <c r="D26" s="176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35">
      <c r="C27" s="176"/>
      <c r="D27" s="176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35">
      <c r="C28" s="227"/>
      <c r="D28" s="176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35">
      <c r="C29" s="227"/>
      <c r="D29" s="176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35">
      <c r="C30" s="227"/>
      <c r="D30" s="176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35">
      <c r="C31" s="227"/>
      <c r="D31" s="176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35">
      <c r="C32" s="227"/>
      <c r="D32" s="176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35">
      <c r="C33" s="227"/>
      <c r="D33" s="176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35">
      <c r="C34" s="227"/>
      <c r="D34" s="176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35">
      <c r="C35" s="227"/>
      <c r="D35" s="176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35">
      <c r="C36" s="227"/>
      <c r="D36" s="176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" thickBot="1" x14ac:dyDescent="0.4">
      <c r="C37" s="228"/>
      <c r="D37" s="177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6"/>
    </row>
    <row r="45" spans="3:15" x14ac:dyDescent="0.35">
      <c r="N45" s="11" t="s">
        <v>23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632812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36328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32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333" t="s">
        <v>248</v>
      </c>
      <c r="D6" s="329" t="s">
        <v>252</v>
      </c>
      <c r="E6" s="208"/>
      <c r="F6" s="336" t="s">
        <v>249</v>
      </c>
      <c r="G6" s="336" t="s">
        <v>253</v>
      </c>
      <c r="H6" s="336" t="s">
        <v>251</v>
      </c>
      <c r="I6" s="208"/>
      <c r="J6" s="320" t="s">
        <v>249</v>
      </c>
      <c r="K6" s="320" t="s">
        <v>253</v>
      </c>
      <c r="L6" s="320" t="s">
        <v>251</v>
      </c>
      <c r="M6" s="264"/>
      <c r="N6" s="320" t="s">
        <v>249</v>
      </c>
      <c r="O6" s="334" t="s">
        <v>250</v>
      </c>
      <c r="P6" s="320" t="s">
        <v>251</v>
      </c>
      <c r="Q6" s="208"/>
      <c r="R6" s="11"/>
      <c r="S6" s="11"/>
      <c r="T6" s="11"/>
    </row>
    <row r="7" spans="3:20" x14ac:dyDescent="0.35">
      <c r="C7" s="340" t="s">
        <v>240</v>
      </c>
      <c r="D7" s="341">
        <f>1/8</f>
        <v>0.125</v>
      </c>
      <c r="E7" s="208"/>
      <c r="F7" s="342">
        <v>11</v>
      </c>
      <c r="G7" s="337">
        <v>0.15</v>
      </c>
      <c r="H7" s="343" t="s">
        <v>177</v>
      </c>
      <c r="I7" s="208"/>
      <c r="J7" s="340">
        <v>11</v>
      </c>
      <c r="K7" s="351"/>
      <c r="L7" s="355" t="s">
        <v>173</v>
      </c>
      <c r="M7" s="208"/>
      <c r="N7" s="208"/>
      <c r="O7" s="208"/>
      <c r="P7" s="208"/>
      <c r="Q7" s="208"/>
      <c r="R7" s="11"/>
      <c r="S7" s="11"/>
      <c r="T7" s="11"/>
    </row>
    <row r="8" spans="3:20" x14ac:dyDescent="0.35">
      <c r="C8" s="182" t="s">
        <v>241</v>
      </c>
      <c r="D8" s="344">
        <f t="shared" ref="D8:D14" si="0">1/8</f>
        <v>0.125</v>
      </c>
      <c r="E8" s="208"/>
      <c r="F8" s="345">
        <v>11</v>
      </c>
      <c r="G8" s="338">
        <v>0.15</v>
      </c>
      <c r="H8" s="346" t="s">
        <v>177</v>
      </c>
      <c r="I8" s="208"/>
      <c r="J8" s="182">
        <v>11</v>
      </c>
      <c r="K8" s="321"/>
      <c r="L8" s="353"/>
      <c r="M8" s="208"/>
      <c r="N8" s="208"/>
      <c r="O8" s="208"/>
      <c r="P8" s="208"/>
      <c r="Q8" s="208"/>
      <c r="R8" s="11"/>
      <c r="S8" s="11"/>
      <c r="T8" s="11"/>
    </row>
    <row r="9" spans="3:20" x14ac:dyDescent="0.35">
      <c r="C9" s="182" t="s">
        <v>242</v>
      </c>
      <c r="D9" s="344">
        <f t="shared" si="0"/>
        <v>0.125</v>
      </c>
      <c r="E9" s="208"/>
      <c r="F9" s="345">
        <v>11</v>
      </c>
      <c r="G9" s="338">
        <v>-0.15</v>
      </c>
      <c r="H9" s="346" t="s">
        <v>177</v>
      </c>
      <c r="I9" s="208"/>
      <c r="J9" s="182">
        <v>11</v>
      </c>
      <c r="K9" s="321"/>
      <c r="L9" s="353"/>
      <c r="M9" s="208"/>
      <c r="N9" s="208"/>
      <c r="O9" s="208"/>
      <c r="P9" s="208"/>
      <c r="Q9" s="208"/>
      <c r="R9" s="11"/>
      <c r="S9" s="11"/>
      <c r="T9" s="11"/>
    </row>
    <row r="10" spans="3:20" x14ac:dyDescent="0.35">
      <c r="C10" s="182" t="s">
        <v>243</v>
      </c>
      <c r="D10" s="344">
        <f t="shared" si="0"/>
        <v>0.125</v>
      </c>
      <c r="E10" s="208"/>
      <c r="F10" s="345">
        <v>11</v>
      </c>
      <c r="G10" s="338">
        <v>-0.15</v>
      </c>
      <c r="H10" s="346" t="s">
        <v>177</v>
      </c>
      <c r="I10" s="208"/>
      <c r="J10" s="182">
        <v>11</v>
      </c>
      <c r="K10" s="321"/>
      <c r="L10" s="353"/>
      <c r="M10" s="208"/>
      <c r="N10" s="208"/>
      <c r="O10" s="208"/>
      <c r="P10" s="208"/>
      <c r="Q10" s="208"/>
      <c r="R10" s="11"/>
      <c r="S10" s="11"/>
      <c r="T10" s="11"/>
    </row>
    <row r="11" spans="3:20" x14ac:dyDescent="0.35">
      <c r="C11" s="182" t="s">
        <v>244</v>
      </c>
      <c r="D11" s="344">
        <f t="shared" si="0"/>
        <v>0.125</v>
      </c>
      <c r="E11" s="208"/>
      <c r="F11" s="345">
        <v>11</v>
      </c>
      <c r="G11" s="338">
        <v>0.15</v>
      </c>
      <c r="H11" s="346" t="s">
        <v>177</v>
      </c>
      <c r="I11" s="208"/>
      <c r="J11" s="182">
        <v>11</v>
      </c>
      <c r="K11" s="321"/>
      <c r="L11" s="353"/>
      <c r="M11" s="208"/>
      <c r="N11" s="208"/>
      <c r="O11" s="208"/>
      <c r="P11" s="208"/>
      <c r="Q11" s="208"/>
      <c r="R11" s="11"/>
      <c r="S11" s="11"/>
      <c r="T11" s="11"/>
    </row>
    <row r="12" spans="3:20" x14ac:dyDescent="0.35">
      <c r="C12" s="182" t="s">
        <v>245</v>
      </c>
      <c r="D12" s="344">
        <f>1/8</f>
        <v>0.125</v>
      </c>
      <c r="E12" s="208"/>
      <c r="F12" s="345">
        <v>11</v>
      </c>
      <c r="G12" s="338">
        <v>0.15</v>
      </c>
      <c r="H12" s="346" t="s">
        <v>177</v>
      </c>
      <c r="I12" s="208"/>
      <c r="J12" s="182">
        <v>11</v>
      </c>
      <c r="K12" s="321"/>
      <c r="L12" s="353"/>
      <c r="M12" s="208"/>
      <c r="N12" s="208"/>
      <c r="O12" s="208"/>
      <c r="P12" s="208"/>
      <c r="Q12" s="208"/>
      <c r="R12" s="11"/>
      <c r="S12" s="11"/>
      <c r="T12" s="11"/>
    </row>
    <row r="13" spans="3:20" x14ac:dyDescent="0.35">
      <c r="C13" s="182" t="s">
        <v>246</v>
      </c>
      <c r="D13" s="344">
        <f t="shared" si="0"/>
        <v>0.125</v>
      </c>
      <c r="E13" s="208"/>
      <c r="F13" s="345">
        <v>11</v>
      </c>
      <c r="G13" s="338">
        <v>-0.15</v>
      </c>
      <c r="H13" s="346" t="s">
        <v>177</v>
      </c>
      <c r="I13" s="208"/>
      <c r="J13" s="182">
        <v>11</v>
      </c>
      <c r="K13" s="321"/>
      <c r="L13" s="353"/>
      <c r="M13" s="208"/>
      <c r="N13" s="208"/>
      <c r="O13" s="208"/>
      <c r="P13" s="208"/>
      <c r="Q13" s="208"/>
      <c r="R13" s="11"/>
      <c r="S13" s="11"/>
      <c r="T13" s="11"/>
    </row>
    <row r="14" spans="3:20" ht="15" thickBot="1" x14ac:dyDescent="0.4">
      <c r="C14" s="347" t="s">
        <v>247</v>
      </c>
      <c r="D14" s="348">
        <f t="shared" si="0"/>
        <v>0.125</v>
      </c>
      <c r="E14" s="208"/>
      <c r="F14" s="349">
        <v>11</v>
      </c>
      <c r="G14" s="339">
        <v>-0.15</v>
      </c>
      <c r="H14" s="350" t="s">
        <v>177</v>
      </c>
      <c r="I14" s="208"/>
      <c r="J14" s="347">
        <v>11</v>
      </c>
      <c r="K14" s="163"/>
      <c r="L14" s="354"/>
      <c r="M14" s="208"/>
      <c r="N14" s="208"/>
      <c r="O14" s="208"/>
      <c r="P14" s="208"/>
      <c r="Q14" s="208"/>
      <c r="R14" s="11"/>
      <c r="S14" s="11"/>
      <c r="T14" s="11"/>
    </row>
    <row r="15" spans="3:20" x14ac:dyDescent="0.35">
      <c r="C15" s="208"/>
      <c r="D15" s="208"/>
      <c r="E15" s="208"/>
      <c r="F15" s="321"/>
      <c r="G15" s="321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11"/>
      <c r="S15" s="11"/>
      <c r="T15" s="11"/>
    </row>
    <row r="16" spans="3:20" x14ac:dyDescent="0.35">
      <c r="C16" s="208"/>
      <c r="D16" s="208"/>
      <c r="E16" s="208"/>
      <c r="F16" s="321"/>
      <c r="G16" s="321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11"/>
      <c r="S16" s="11"/>
      <c r="T16" s="11"/>
    </row>
    <row r="17" spans="3:20" x14ac:dyDescent="0.35">
      <c r="C17" s="11"/>
      <c r="D17" s="11"/>
      <c r="E17" s="322"/>
      <c r="F17" s="322"/>
      <c r="G17" s="322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322"/>
      <c r="F18" s="322"/>
      <c r="G18" s="322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322"/>
      <c r="F19" s="322"/>
      <c r="G19" s="322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322"/>
      <c r="F20" s="322"/>
      <c r="G20" s="322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322"/>
      <c r="F21" s="322"/>
      <c r="G21" s="322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25" t="s">
        <v>254</v>
      </c>
      <c r="D22" s="326"/>
      <c r="E22" s="326"/>
      <c r="F22" s="327"/>
      <c r="G22" s="322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330" t="s">
        <v>255</v>
      </c>
      <c r="D23" s="331" t="s">
        <v>256</v>
      </c>
      <c r="E23" s="330" t="s">
        <v>257</v>
      </c>
      <c r="F23" s="319" t="s">
        <v>252</v>
      </c>
      <c r="G23" s="322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356">
        <v>11</v>
      </c>
      <c r="D24" s="357" t="s">
        <v>177</v>
      </c>
      <c r="E24" s="357">
        <v>0.15</v>
      </c>
      <c r="F24" s="164"/>
      <c r="G24" s="322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3"/>
      <c r="D25" s="332" t="s">
        <v>173</v>
      </c>
      <c r="E25" s="321">
        <v>0.1</v>
      </c>
      <c r="F25" s="92"/>
      <c r="G25" s="322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3"/>
      <c r="D26" s="332"/>
      <c r="E26" s="322"/>
      <c r="F26" s="92"/>
      <c r="G26" s="322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3"/>
      <c r="D27" s="332"/>
      <c r="E27" s="322"/>
      <c r="F27" s="92"/>
      <c r="G27" s="322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3"/>
      <c r="D28" s="332"/>
      <c r="E28" s="322"/>
      <c r="F28" s="92"/>
      <c r="G28" s="322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3"/>
      <c r="D29" s="332"/>
      <c r="E29" s="322"/>
      <c r="F29" s="92"/>
      <c r="G29" s="322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3"/>
      <c r="D30" s="332"/>
      <c r="E30" s="322"/>
      <c r="F30" s="92"/>
      <c r="G30" s="322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3"/>
      <c r="D31" s="332"/>
      <c r="E31" s="322"/>
      <c r="F31" s="92"/>
      <c r="G31" s="322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3"/>
      <c r="D32" s="332"/>
      <c r="E32" s="322"/>
      <c r="F32" s="92"/>
      <c r="G32" s="322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3"/>
      <c r="D33" s="322"/>
      <c r="E33" s="322"/>
      <c r="F33" s="92"/>
      <c r="G33" s="322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3"/>
      <c r="D34" s="322"/>
      <c r="E34" s="322"/>
      <c r="F34" s="92"/>
      <c r="G34" s="322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3"/>
      <c r="D35" s="322"/>
      <c r="E35" s="322"/>
      <c r="F35" s="92"/>
      <c r="G35" s="322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323"/>
      <c r="D36" s="94"/>
      <c r="E36" s="94"/>
      <c r="F36" s="146"/>
      <c r="G36" s="322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opLeftCell="A4" workbookViewId="0">
      <selection activeCell="H13" sqref="H13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15" t="s">
        <v>113</v>
      </c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7"/>
      <c r="P5" s="11"/>
      <c r="Q5" s="11"/>
    </row>
    <row r="6" spans="3:17" ht="18.5" x14ac:dyDescent="0.45">
      <c r="C6" s="11"/>
      <c r="D6" s="220" t="s">
        <v>1</v>
      </c>
      <c r="E6" s="211" t="s">
        <v>220</v>
      </c>
      <c r="F6" s="211" t="s">
        <v>236</v>
      </c>
      <c r="G6" s="160"/>
      <c r="H6" s="148"/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11"/>
      <c r="D7" s="147" t="s">
        <v>102</v>
      </c>
      <c r="E7" s="150">
        <v>888</v>
      </c>
      <c r="F7" s="150">
        <v>777</v>
      </c>
      <c r="G7" s="150"/>
      <c r="H7" s="150"/>
      <c r="I7" s="150"/>
      <c r="J7" s="150"/>
      <c r="K7" s="150"/>
      <c r="L7" s="150"/>
      <c r="M7" s="150"/>
      <c r="N7" s="150"/>
      <c r="O7" s="151"/>
      <c r="P7" s="11"/>
      <c r="Q7" s="11"/>
    </row>
    <row r="8" spans="3:17" ht="15" thickBot="1" x14ac:dyDescent="0.4">
      <c r="C8" s="11"/>
      <c r="D8" s="177" t="s">
        <v>115</v>
      </c>
      <c r="E8" s="163">
        <v>5</v>
      </c>
      <c r="F8" s="163">
        <v>5</v>
      </c>
      <c r="G8" s="94"/>
      <c r="H8" s="94"/>
      <c r="I8" s="94"/>
      <c r="J8" s="94"/>
      <c r="K8" s="94"/>
      <c r="L8" s="94"/>
      <c r="M8" s="94"/>
      <c r="N8" s="94"/>
      <c r="O8" s="146"/>
      <c r="P8" s="11"/>
      <c r="Q8" s="11"/>
    </row>
    <row r="9" spans="3:17" ht="18.5" x14ac:dyDescent="0.45">
      <c r="C9" s="11"/>
      <c r="D9" s="147" t="s">
        <v>114</v>
      </c>
      <c r="E9" s="161">
        <v>200</v>
      </c>
      <c r="F9" s="150">
        <v>300</v>
      </c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11"/>
      <c r="D10" s="147"/>
      <c r="E10" s="318">
        <v>210</v>
      </c>
      <c r="F10" s="150">
        <v>310</v>
      </c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11"/>
      <c r="D11" s="147"/>
      <c r="E11" s="161">
        <v>999</v>
      </c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11"/>
      <c r="D12" s="147"/>
      <c r="E12" s="161"/>
      <c r="F12" s="150"/>
      <c r="G12" s="150"/>
      <c r="H12" s="150"/>
      <c r="I12" s="150"/>
      <c r="J12" s="150"/>
      <c r="K12" s="150"/>
      <c r="L12" s="150"/>
      <c r="M12" s="150"/>
      <c r="N12" s="150"/>
      <c r="O12" s="151"/>
      <c r="P12" s="11"/>
      <c r="Q12" s="11"/>
    </row>
    <row r="13" spans="3:17" ht="18.5" x14ac:dyDescent="0.45">
      <c r="C13" s="11"/>
      <c r="D13" s="153"/>
      <c r="E13" s="93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P13" s="11"/>
      <c r="Q13" s="11"/>
    </row>
    <row r="14" spans="3:17" ht="18.5" x14ac:dyDescent="0.45">
      <c r="C14" s="11"/>
      <c r="D14" s="153"/>
      <c r="E14" s="161"/>
      <c r="F14" s="150"/>
      <c r="G14" s="150"/>
      <c r="H14" s="150"/>
      <c r="I14" s="150"/>
      <c r="J14" s="150"/>
      <c r="K14" s="155"/>
      <c r="L14" s="150"/>
      <c r="M14" s="150"/>
      <c r="N14" s="150"/>
      <c r="O14" s="151"/>
      <c r="P14" s="11"/>
      <c r="Q14" s="11"/>
    </row>
    <row r="15" spans="3:17" ht="18.5" x14ac:dyDescent="0.45">
      <c r="C15" s="11"/>
      <c r="D15" s="153"/>
      <c r="E15" s="161"/>
      <c r="F15" s="150"/>
      <c r="G15" s="150"/>
      <c r="H15" s="154"/>
      <c r="I15" s="150"/>
      <c r="J15" s="150"/>
      <c r="K15" s="155"/>
      <c r="L15" s="150"/>
      <c r="M15" s="150"/>
      <c r="N15" s="150"/>
      <c r="O15" s="151"/>
      <c r="P15" s="11"/>
      <c r="Q15" s="11"/>
    </row>
    <row r="16" spans="3:17" ht="18.5" x14ac:dyDescent="0.45">
      <c r="C16" s="11"/>
      <c r="D16" s="153"/>
      <c r="E16" s="161"/>
      <c r="F16" s="150"/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17" ht="18.5" x14ac:dyDescent="0.45">
      <c r="C17" s="11"/>
      <c r="D17" s="153"/>
      <c r="E17" s="161"/>
      <c r="F17" s="150"/>
      <c r="G17" s="150"/>
      <c r="H17" s="150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17" ht="18.5" x14ac:dyDescent="0.45">
      <c r="C18" s="11"/>
      <c r="D18" s="153"/>
      <c r="E18" s="161"/>
      <c r="F18" s="150"/>
      <c r="G18" s="150"/>
      <c r="H18" s="156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17" ht="18.5" x14ac:dyDescent="0.45">
      <c r="C19" s="11"/>
      <c r="D19" s="153"/>
      <c r="E19" s="161"/>
      <c r="F19" s="150"/>
      <c r="G19" s="150"/>
      <c r="H19" s="156"/>
      <c r="I19" s="150"/>
      <c r="J19" s="150"/>
      <c r="K19" s="150"/>
      <c r="L19" s="150"/>
      <c r="M19" s="150"/>
      <c r="N19" s="150"/>
      <c r="O19" s="151"/>
      <c r="P19" s="11"/>
      <c r="Q19" s="11"/>
    </row>
    <row r="20" spans="3:17" ht="18.5" x14ac:dyDescent="0.45">
      <c r="C20" s="11"/>
      <c r="D20" s="153"/>
      <c r="E20" s="161"/>
      <c r="F20" s="150"/>
      <c r="G20" s="150"/>
      <c r="H20" s="150"/>
      <c r="I20" s="150"/>
      <c r="J20" s="150"/>
      <c r="K20" s="150"/>
      <c r="L20" s="150"/>
      <c r="M20" s="150"/>
      <c r="N20" s="150"/>
      <c r="O20" s="151"/>
      <c r="P20" s="11"/>
      <c r="Q20" s="11"/>
    </row>
    <row r="21" spans="3:17" ht="18.5" x14ac:dyDescent="0.45">
      <c r="C21" s="11"/>
      <c r="D21" s="153"/>
      <c r="E21" s="161"/>
      <c r="F21" s="150"/>
      <c r="G21" s="150"/>
      <c r="H21" s="150"/>
      <c r="I21" s="150"/>
      <c r="J21" s="150"/>
      <c r="K21" s="150"/>
      <c r="L21" s="150"/>
      <c r="M21" s="150"/>
      <c r="N21" s="150"/>
      <c r="O21" s="151"/>
      <c r="P21" s="11"/>
      <c r="Q21" s="11"/>
    </row>
    <row r="22" spans="3:17" ht="18.5" x14ac:dyDescent="0.45">
      <c r="C22" s="11"/>
      <c r="D22" s="153"/>
      <c r="E22" s="161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17" ht="19" thickBot="1" x14ac:dyDescent="0.5">
      <c r="C23" s="11"/>
      <c r="D23" s="157"/>
      <c r="E23" s="162"/>
      <c r="F23" s="158"/>
      <c r="G23" s="158"/>
      <c r="H23" s="158"/>
      <c r="I23" s="158"/>
      <c r="J23" s="158"/>
      <c r="K23" s="158"/>
      <c r="L23" s="158"/>
      <c r="M23" s="158"/>
      <c r="N23" s="158"/>
      <c r="O23" s="159"/>
      <c r="P23" s="11"/>
      <c r="Q23" s="11" t="s">
        <v>23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23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R39"/>
  <sheetViews>
    <sheetView zoomScale="110" zoomScaleNormal="110" workbookViewId="0">
      <selection activeCell="H31" sqref="H31"/>
    </sheetView>
  </sheetViews>
  <sheetFormatPr baseColWidth="10" defaultRowHeight="14.5" x14ac:dyDescent="0.35"/>
  <cols>
    <col min="2" max="2" width="19.7265625" bestFit="1" customWidth="1"/>
    <col min="3" max="3" width="14" bestFit="1" customWidth="1"/>
    <col min="5" max="5" width="15.7265625" customWidth="1"/>
    <col min="6" max="6" width="16.36328125" bestFit="1" customWidth="1"/>
    <col min="7" max="7" width="11.7265625" bestFit="1" customWidth="1"/>
    <col min="8" max="8" width="22.1796875" bestFit="1" customWidth="1"/>
    <col min="9" max="9" width="11.26953125" customWidth="1"/>
    <col min="10" max="10" width="18.6328125" bestFit="1" customWidth="1"/>
    <col min="11" max="11" width="11.7265625" bestFit="1" customWidth="1"/>
    <col min="12" max="12" width="25.36328125" bestFit="1" customWidth="1"/>
    <col min="13" max="13" width="10.08984375" customWidth="1"/>
    <col min="14" max="14" width="11.81640625" bestFit="1" customWidth="1"/>
    <col min="15" max="15" width="11.7265625" bestFit="1" customWidth="1"/>
    <col min="16" max="17" width="22.1796875" bestFit="1" customWidth="1"/>
  </cols>
  <sheetData>
    <row r="2" spans="1:18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8" ht="15" thickBot="1" x14ac:dyDescent="0.4">
      <c r="A3" s="11"/>
      <c r="B3" s="325" t="s">
        <v>265</v>
      </c>
      <c r="C3" s="327"/>
      <c r="D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35">
      <c r="A4" s="11"/>
      <c r="B4" s="335" t="s">
        <v>266</v>
      </c>
      <c r="C4" s="164" t="s">
        <v>258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8" x14ac:dyDescent="0.35">
      <c r="A5" s="11"/>
      <c r="B5" s="93" t="s">
        <v>268</v>
      </c>
      <c r="C5" s="92" t="s">
        <v>271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ht="15" thickBot="1" x14ac:dyDescent="0.4">
      <c r="A6" s="11"/>
      <c r="B6" s="323"/>
      <c r="C6" s="146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8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1:18" ht="15" thickBot="1" x14ac:dyDescent="0.4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ht="15" thickBot="1" x14ac:dyDescent="0.4">
      <c r="A9" s="11"/>
      <c r="B9" s="325" t="s">
        <v>254</v>
      </c>
      <c r="C9" s="326"/>
      <c r="D9" s="327"/>
      <c r="E9" s="328"/>
      <c r="F9" s="358" t="s">
        <v>261</v>
      </c>
      <c r="G9" s="359"/>
      <c r="H9" s="360"/>
      <c r="I9" s="11"/>
      <c r="J9" s="358" t="s">
        <v>262</v>
      </c>
      <c r="K9" s="359"/>
      <c r="L9" s="360"/>
      <c r="M9" s="11"/>
      <c r="N9" s="325" t="s">
        <v>263</v>
      </c>
      <c r="O9" s="326"/>
      <c r="P9" s="327"/>
      <c r="R9" s="11"/>
    </row>
    <row r="10" spans="1:18" ht="15" thickBot="1" x14ac:dyDescent="0.4">
      <c r="A10" s="11"/>
      <c r="B10" s="320" t="s">
        <v>249</v>
      </c>
      <c r="C10" s="331" t="s">
        <v>256</v>
      </c>
      <c r="D10" s="330" t="s">
        <v>257</v>
      </c>
      <c r="E10" s="324"/>
      <c r="F10" s="362" t="s">
        <v>249</v>
      </c>
      <c r="G10" s="362" t="s">
        <v>264</v>
      </c>
      <c r="H10" s="352" t="s">
        <v>250</v>
      </c>
      <c r="J10" s="320" t="s">
        <v>249</v>
      </c>
      <c r="K10" s="320" t="s">
        <v>264</v>
      </c>
      <c r="L10" s="334" t="s">
        <v>267</v>
      </c>
      <c r="M10" s="11"/>
      <c r="N10" s="320" t="s">
        <v>249</v>
      </c>
      <c r="O10" s="320" t="s">
        <v>264</v>
      </c>
      <c r="P10" s="334" t="s">
        <v>269</v>
      </c>
      <c r="R10" s="11"/>
    </row>
    <row r="11" spans="1:18" x14ac:dyDescent="0.35">
      <c r="A11" s="11"/>
      <c r="B11" s="356">
        <v>11</v>
      </c>
      <c r="C11" s="357" t="s">
        <v>177</v>
      </c>
      <c r="D11" s="363">
        <v>0.15</v>
      </c>
      <c r="E11" s="322"/>
      <c r="F11" s="335">
        <v>200</v>
      </c>
      <c r="G11" s="357" t="s">
        <v>177</v>
      </c>
      <c r="H11" s="352">
        <v>0.1</v>
      </c>
      <c r="I11" s="11"/>
      <c r="J11" s="335">
        <v>200</v>
      </c>
      <c r="K11" s="357" t="s">
        <v>177</v>
      </c>
      <c r="L11" s="352">
        <v>0.1</v>
      </c>
      <c r="M11" s="11"/>
      <c r="N11" s="335"/>
      <c r="O11" s="357"/>
      <c r="P11" s="352"/>
      <c r="R11" s="11"/>
    </row>
    <row r="12" spans="1:18" x14ac:dyDescent="0.35">
      <c r="A12" s="11"/>
      <c r="B12" s="182">
        <v>11</v>
      </c>
      <c r="C12" s="332" t="s">
        <v>173</v>
      </c>
      <c r="D12" s="353">
        <v>0.1</v>
      </c>
      <c r="E12" s="322"/>
      <c r="F12" s="93">
        <v>210</v>
      </c>
      <c r="G12" s="332" t="s">
        <v>177</v>
      </c>
      <c r="H12" s="353">
        <v>0.1</v>
      </c>
      <c r="I12" s="11"/>
      <c r="J12" s="93">
        <v>210</v>
      </c>
      <c r="K12" s="332" t="s">
        <v>177</v>
      </c>
      <c r="L12" s="353">
        <v>0.1</v>
      </c>
      <c r="M12" s="11"/>
      <c r="N12" s="93"/>
      <c r="O12" s="332"/>
      <c r="P12" s="353"/>
      <c r="R12" s="11"/>
    </row>
    <row r="13" spans="1:18" x14ac:dyDescent="0.35">
      <c r="A13" s="11"/>
      <c r="B13" s="93"/>
      <c r="C13" s="332"/>
      <c r="D13" s="92"/>
      <c r="E13" s="322"/>
      <c r="F13" s="93"/>
      <c r="G13" s="332"/>
      <c r="H13" s="92"/>
      <c r="I13" s="11"/>
      <c r="J13" s="93"/>
      <c r="K13" s="332"/>
      <c r="L13" s="92"/>
      <c r="M13" s="11"/>
      <c r="N13" s="93"/>
      <c r="O13" s="332"/>
      <c r="P13" s="92"/>
      <c r="R13" s="11"/>
    </row>
    <row r="14" spans="1:18" x14ac:dyDescent="0.35">
      <c r="A14" s="11"/>
      <c r="B14" s="93"/>
      <c r="C14" s="332"/>
      <c r="D14" s="92"/>
      <c r="E14" s="322"/>
      <c r="F14" s="93"/>
      <c r="G14" s="332"/>
      <c r="H14" s="92"/>
      <c r="I14" s="11"/>
      <c r="J14" s="93"/>
      <c r="K14" s="332"/>
      <c r="L14" s="92"/>
      <c r="M14" s="11"/>
      <c r="N14" s="93"/>
      <c r="O14" s="332"/>
      <c r="P14" s="92"/>
      <c r="R14" s="11"/>
    </row>
    <row r="15" spans="1:18" x14ac:dyDescent="0.35">
      <c r="A15" s="11"/>
      <c r="B15" s="93"/>
      <c r="C15" s="332"/>
      <c r="D15" s="92"/>
      <c r="E15" s="322"/>
      <c r="F15" s="93"/>
      <c r="G15" s="332"/>
      <c r="H15" s="92"/>
      <c r="I15" s="11"/>
      <c r="J15" s="93"/>
      <c r="K15" s="332"/>
      <c r="L15" s="92"/>
      <c r="M15" s="11"/>
      <c r="N15" s="93"/>
      <c r="O15" s="332"/>
      <c r="P15" s="92"/>
      <c r="R15" s="11"/>
    </row>
    <row r="16" spans="1:18" x14ac:dyDescent="0.35">
      <c r="A16" s="11"/>
      <c r="B16" s="93"/>
      <c r="C16" s="332"/>
      <c r="D16" s="92"/>
      <c r="E16" s="322"/>
      <c r="F16" s="93"/>
      <c r="G16" s="332"/>
      <c r="H16" s="92"/>
      <c r="I16" s="11"/>
      <c r="J16" s="93"/>
      <c r="K16" s="332"/>
      <c r="L16" s="92"/>
      <c r="M16" s="11"/>
      <c r="N16" s="93"/>
      <c r="O16" s="332"/>
      <c r="P16" s="92"/>
      <c r="R16" s="11"/>
    </row>
    <row r="17" spans="1:18" x14ac:dyDescent="0.35">
      <c r="A17" s="11"/>
      <c r="B17" s="93"/>
      <c r="C17" s="332"/>
      <c r="D17" s="92"/>
      <c r="E17" s="322"/>
      <c r="F17" s="93"/>
      <c r="G17" s="332"/>
      <c r="H17" s="92"/>
      <c r="I17" s="11"/>
      <c r="J17" s="93"/>
      <c r="K17" s="332"/>
      <c r="L17" s="92"/>
      <c r="M17" s="11"/>
      <c r="N17" s="93"/>
      <c r="O17" s="332"/>
      <c r="P17" s="92"/>
      <c r="R17" s="11"/>
    </row>
    <row r="18" spans="1:18" x14ac:dyDescent="0.35">
      <c r="A18" s="11"/>
      <c r="B18" s="93"/>
      <c r="C18" s="332"/>
      <c r="D18" s="92"/>
      <c r="E18" s="322"/>
      <c r="F18" s="93"/>
      <c r="G18" s="332"/>
      <c r="H18" s="92"/>
      <c r="I18" s="11"/>
      <c r="J18" s="93"/>
      <c r="K18" s="332"/>
      <c r="L18" s="92"/>
      <c r="M18" s="11"/>
      <c r="N18" s="93"/>
      <c r="O18" s="332"/>
      <c r="P18" s="92"/>
      <c r="R18" s="11"/>
    </row>
    <row r="19" spans="1:18" x14ac:dyDescent="0.35">
      <c r="A19" s="11"/>
      <c r="B19" s="93"/>
      <c r="C19" s="332"/>
      <c r="D19" s="92"/>
      <c r="E19" s="322"/>
      <c r="F19" s="93"/>
      <c r="G19" s="332"/>
      <c r="H19" s="92"/>
      <c r="I19" s="11"/>
      <c r="J19" s="93"/>
      <c r="K19" s="332"/>
      <c r="L19" s="92"/>
      <c r="M19" s="11"/>
      <c r="N19" s="93"/>
      <c r="O19" s="332"/>
      <c r="P19" s="92"/>
      <c r="R19" s="11"/>
    </row>
    <row r="20" spans="1:18" x14ac:dyDescent="0.35">
      <c r="A20" s="11"/>
      <c r="B20" s="93"/>
      <c r="C20" s="332"/>
      <c r="D20" s="92"/>
      <c r="E20" s="322"/>
      <c r="F20" s="93"/>
      <c r="G20" s="332"/>
      <c r="H20" s="92"/>
      <c r="I20" s="11"/>
      <c r="J20" s="93"/>
      <c r="K20" s="332"/>
      <c r="L20" s="92"/>
      <c r="M20" s="11"/>
      <c r="N20" s="93"/>
      <c r="O20" s="332"/>
      <c r="P20" s="92"/>
      <c r="R20" s="11"/>
    </row>
    <row r="21" spans="1:18" x14ac:dyDescent="0.35">
      <c r="A21" s="11"/>
      <c r="B21" s="93"/>
      <c r="C21" s="332"/>
      <c r="D21" s="92"/>
      <c r="E21" s="322"/>
      <c r="F21" s="93"/>
      <c r="G21" s="332"/>
      <c r="H21" s="92"/>
      <c r="I21" s="11"/>
      <c r="J21" s="93"/>
      <c r="K21" s="332"/>
      <c r="L21" s="92"/>
      <c r="M21" s="11"/>
      <c r="N21" s="93"/>
      <c r="O21" s="332"/>
      <c r="P21" s="92"/>
      <c r="R21" s="11"/>
    </row>
    <row r="22" spans="1:18" x14ac:dyDescent="0.35">
      <c r="A22" s="11"/>
      <c r="B22" s="93"/>
      <c r="C22" s="332"/>
      <c r="D22" s="92"/>
      <c r="E22" s="322"/>
      <c r="F22" s="93"/>
      <c r="G22" s="332"/>
      <c r="H22" s="92"/>
      <c r="I22" s="11"/>
      <c r="J22" s="93"/>
      <c r="K22" s="332"/>
      <c r="L22" s="92"/>
      <c r="M22" s="11"/>
      <c r="N22" s="93"/>
      <c r="O22" s="332"/>
      <c r="P22" s="92"/>
      <c r="R22" s="11"/>
    </row>
    <row r="23" spans="1:18" ht="15" thickBot="1" x14ac:dyDescent="0.4">
      <c r="A23" s="11"/>
      <c r="B23" s="323"/>
      <c r="C23" s="361"/>
      <c r="D23" s="146"/>
      <c r="E23" s="322"/>
      <c r="F23" s="323"/>
      <c r="G23" s="94"/>
      <c r="H23" s="146"/>
      <c r="I23" s="11"/>
      <c r="J23" s="323"/>
      <c r="K23" s="94"/>
      <c r="L23" s="146"/>
      <c r="M23" s="11"/>
      <c r="N23" s="323"/>
      <c r="O23" s="94"/>
      <c r="P23" s="146"/>
      <c r="R23" s="11"/>
    </row>
    <row r="24" spans="1:18" x14ac:dyDescent="0.35">
      <c r="A24" s="11"/>
      <c r="B24" s="11"/>
      <c r="C24" s="11"/>
      <c r="D24" s="11"/>
      <c r="E24" s="32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R24" s="11"/>
    </row>
    <row r="25" spans="1:18" x14ac:dyDescent="0.35">
      <c r="A25" s="11"/>
      <c r="B25" s="11"/>
      <c r="C25" s="11"/>
      <c r="D25" s="11"/>
      <c r="E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</row>
    <row r="26" spans="1:18" x14ac:dyDescent="0.3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</row>
    <row r="27" spans="1:18" x14ac:dyDescent="0.3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</row>
    <row r="28" spans="1:18" ht="15" thickBot="1" x14ac:dyDescent="0.4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</row>
    <row r="29" spans="1:18" ht="15" thickBot="1" x14ac:dyDescent="0.4">
      <c r="A29" s="11"/>
      <c r="B29" s="362" t="s">
        <v>273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</row>
    <row r="30" spans="1:18" x14ac:dyDescent="0.35">
      <c r="A30" s="11"/>
      <c r="B30" s="226" t="s">
        <v>261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</row>
    <row r="31" spans="1:18" x14ac:dyDescent="0.35">
      <c r="A31" s="11"/>
      <c r="B31" s="176" t="s">
        <v>262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</row>
    <row r="32" spans="1:18" x14ac:dyDescent="0.35">
      <c r="A32" s="11"/>
      <c r="B32" s="176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</row>
    <row r="33" spans="1:18" ht="15" thickBot="1" x14ac:dyDescent="0.4">
      <c r="A33" s="11"/>
      <c r="B33" s="177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</row>
    <row r="34" spans="1:18" x14ac:dyDescent="0.3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</row>
    <row r="35" spans="1:18" x14ac:dyDescent="0.3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</row>
    <row r="36" spans="1:18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</row>
    <row r="37" spans="1:18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</row>
    <row r="38" spans="1:18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</row>
    <row r="39" spans="1:18" x14ac:dyDescent="0.35">
      <c r="A39" s="11"/>
    </row>
  </sheetData>
  <mergeCells count="5">
    <mergeCell ref="B3:C3"/>
    <mergeCell ref="B9:D9"/>
    <mergeCell ref="J9:L9"/>
    <mergeCell ref="F9:H9"/>
    <mergeCell ref="N9:P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FADE1F-C18D-4177-9188-2E8A55B0CCD1}">
          <x14:formula1>
            <xm:f>Sources!$D$14:$D$21</xm:f>
          </x14:formula1>
          <xm:sqref>C11:C23 G11:G22 K11:K22 O11:O22</xm:sqref>
        </x14:dataValidation>
        <x14:dataValidation type="list" allowBlank="1" showInputMessage="1" showErrorMessage="1" xr:uid="{98E8666C-487A-4213-97B2-34C8DD80648E}">
          <x14:formula1>
            <xm:f>DataBank!$M$17:$M$18</xm:f>
          </x14:formula1>
          <xm:sqref>C4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B9E0E4B0-AF64-49E0-BF70-BCC0B679BD0F}">
          <x14:formula1>
            <xm:f>DataBank!$R$17:$R$20</xm:f>
          </x14:formula1>
          <xm:sqref>B30:B33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75" zoomScaleNormal="47" workbookViewId="0">
      <selection activeCell="H39" sqref="H3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101" t="s">
        <v>79</v>
      </c>
      <c r="T9" s="101" t="s">
        <v>35</v>
      </c>
      <c r="U9" s="101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217</v>
      </c>
      <c r="F10" s="214" t="s">
        <v>182</v>
      </c>
      <c r="G10" s="5"/>
      <c r="H10" s="69" t="s">
        <v>2</v>
      </c>
      <c r="I10" s="70"/>
      <c r="J10" s="217" t="s">
        <v>182</v>
      </c>
      <c r="K10" s="5"/>
      <c r="L10" s="5"/>
      <c r="M10" s="67" t="s">
        <v>75</v>
      </c>
      <c r="N10" s="179">
        <v>0.5</v>
      </c>
      <c r="O10" s="179"/>
      <c r="P10" s="180"/>
      <c r="Q10" s="181"/>
      <c r="R10" s="5" t="s">
        <v>198</v>
      </c>
      <c r="S10" s="140">
        <v>888</v>
      </c>
      <c r="T10" s="141" t="s">
        <v>175</v>
      </c>
      <c r="U10" s="102">
        <v>1</v>
      </c>
      <c r="V10" s="84"/>
      <c r="W10" s="138">
        <v>11</v>
      </c>
      <c r="X10" s="83">
        <v>888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100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 t="s">
        <v>12</v>
      </c>
      <c r="O11" s="125"/>
      <c r="P11" s="79"/>
      <c r="Q11" s="127"/>
      <c r="R11" s="5" t="s">
        <v>192</v>
      </c>
      <c r="S11" s="103">
        <v>888</v>
      </c>
      <c r="T11" s="104" t="s">
        <v>176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76" t="s">
        <v>77</v>
      </c>
      <c r="N12" s="247" t="s">
        <v>177</v>
      </c>
      <c r="O12" s="125"/>
      <c r="P12" s="79"/>
      <c r="Q12" s="127"/>
      <c r="R12" s="5"/>
      <c r="S12" s="103">
        <v>888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/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76"/>
      <c r="N13" s="247" t="s">
        <v>176</v>
      </c>
      <c r="O13" s="75"/>
      <c r="P13" s="75"/>
      <c r="Q13" s="70"/>
      <c r="R13" s="5"/>
      <c r="S13" s="103">
        <v>888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20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 t="s">
        <v>175</v>
      </c>
      <c r="O14" s="79"/>
      <c r="P14" s="79"/>
      <c r="Q14" s="82"/>
      <c r="R14" s="5"/>
      <c r="S14" s="103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5"/>
      <c r="L15" s="5"/>
      <c r="M15" s="77"/>
      <c r="N15" s="79" t="s">
        <v>173</v>
      </c>
      <c r="O15" s="79"/>
      <c r="P15" s="79"/>
      <c r="Q15" s="82"/>
      <c r="R15" s="5"/>
      <c r="S15" s="51"/>
      <c r="T15" s="104"/>
      <c r="U15" s="105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176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51"/>
      <c r="T16" s="104"/>
      <c r="U16" s="105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244" t="s">
        <v>177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51"/>
      <c r="T17" s="125"/>
      <c r="U17" s="127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244" t="s">
        <v>175</v>
      </c>
      <c r="J18" s="214" t="s">
        <v>182</v>
      </c>
      <c r="K18" s="5"/>
      <c r="L18" s="5"/>
      <c r="M18" s="77"/>
      <c r="N18" s="79"/>
      <c r="O18" s="79"/>
      <c r="P18" s="79"/>
      <c r="Q18" s="82"/>
      <c r="R18" s="5"/>
      <c r="S18" s="51"/>
      <c r="T18" s="120"/>
      <c r="U18" s="121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 t="s">
        <v>173</v>
      </c>
      <c r="J19" s="214" t="s">
        <v>182</v>
      </c>
      <c r="K19" s="5"/>
      <c r="L19" s="5"/>
      <c r="M19" s="77"/>
      <c r="N19" s="79"/>
      <c r="O19" s="79"/>
      <c r="P19" s="79"/>
      <c r="Q19" s="82"/>
      <c r="R19" s="5"/>
      <c r="S19" s="51"/>
      <c r="T19" s="75"/>
      <c r="U19" s="3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5"/>
      <c r="L20" s="5"/>
      <c r="M20" s="110"/>
      <c r="N20" s="79"/>
      <c r="O20" s="79"/>
      <c r="P20" s="79"/>
      <c r="Q20" s="82"/>
      <c r="R20" s="5"/>
      <c r="S20" s="51"/>
      <c r="T20" s="104"/>
      <c r="U20" s="105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110"/>
      <c r="N21" s="79"/>
      <c r="O21" s="79"/>
      <c r="P21" s="79"/>
      <c r="Q21" s="82"/>
      <c r="R21" s="5"/>
      <c r="S21" s="51"/>
      <c r="T21" s="104"/>
      <c r="U21" s="105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110"/>
      <c r="N22" s="79"/>
      <c r="O22" s="79"/>
      <c r="P22" s="79"/>
      <c r="Q22" s="82"/>
      <c r="R22" s="5"/>
      <c r="S22" s="51"/>
      <c r="T22" s="125"/>
      <c r="U22" s="127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110"/>
      <c r="N23" s="79"/>
      <c r="O23" s="79"/>
      <c r="P23" s="79"/>
      <c r="Q23" s="82"/>
      <c r="R23" s="5"/>
      <c r="S23" s="51"/>
      <c r="T23" s="120"/>
      <c r="U23" s="121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110"/>
      <c r="N24" s="79"/>
      <c r="O24" s="79"/>
      <c r="P24" s="79"/>
      <c r="Q24" s="82"/>
      <c r="R24" s="5"/>
      <c r="S24" s="51"/>
      <c r="T24" s="75"/>
      <c r="U24" s="3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110"/>
      <c r="N26" s="79"/>
      <c r="O26" s="79"/>
      <c r="P26" s="79"/>
      <c r="Q26" s="82"/>
      <c r="R26" s="5"/>
      <c r="S26" s="219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246"/>
      <c r="J27" s="215" t="s">
        <v>182</v>
      </c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250828D4-67AE-4114-86E0-EE5B4F37CA78}">
          <x14:formula1>
            <xm:f>Systemblatt!$E$5:$E$38</xm:f>
          </x14:formula1>
          <xm:sqref>AE10:AE27 AC10:AC27 N12:Q12 I16:I27 N14:Q27 T10:T25 T27 N13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03BAF7CB-441A-4B97-AD91-0B643B31DD16}">
          <x14:formula1>
            <xm:f>Systemblatt!$E$5:$E$11</xm:f>
          </x14:formula1>
          <xm:sqref>K16:K17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219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/>
      <c r="S10" s="51">
        <v>220</v>
      </c>
      <c r="T10" s="104" t="s">
        <v>175</v>
      </c>
      <c r="U10" s="105">
        <v>1</v>
      </c>
      <c r="V10" s="84"/>
      <c r="W10" s="138"/>
      <c r="X10" s="83">
        <v>220</v>
      </c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999</v>
      </c>
      <c r="F11" s="214" t="s">
        <v>182</v>
      </c>
      <c r="G11" s="5"/>
      <c r="H11" s="69" t="s">
        <v>67</v>
      </c>
      <c r="I11" s="105">
        <v>1.0000000000000001E-9</v>
      </c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/>
      <c r="S11" s="51">
        <v>220</v>
      </c>
      <c r="T11" s="104" t="s">
        <v>176</v>
      </c>
      <c r="U11" s="105">
        <v>1</v>
      </c>
      <c r="V11" s="84"/>
      <c r="W11" s="109"/>
      <c r="X11" s="75">
        <v>230</v>
      </c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</v>
      </c>
      <c r="J12" s="214" t="str">
        <f>J15</f>
        <v>t/h</v>
      </c>
      <c r="K12" s="5"/>
      <c r="L12" s="5"/>
      <c r="M12" s="76" t="s">
        <v>77</v>
      </c>
      <c r="N12" s="125"/>
      <c r="O12" s="125"/>
      <c r="P12" s="79"/>
      <c r="Q12" s="127"/>
      <c r="R12" s="5"/>
      <c r="S12" s="109">
        <v>220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 t="s">
        <v>218</v>
      </c>
      <c r="F13" s="214" t="s">
        <v>182</v>
      </c>
      <c r="G13" s="5"/>
      <c r="H13" s="69" t="s">
        <v>69</v>
      </c>
      <c r="I13" s="105">
        <v>1</v>
      </c>
      <c r="J13" s="214" t="s">
        <v>182</v>
      </c>
      <c r="K13" s="5"/>
      <c r="L13" s="5"/>
      <c r="M13" s="76" t="s">
        <v>195</v>
      </c>
      <c r="N13" s="75"/>
      <c r="O13" s="75"/>
      <c r="P13" s="75"/>
      <c r="Q13" s="70"/>
      <c r="R13" s="5"/>
      <c r="S13" s="109">
        <v>220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/>
      <c r="O14" s="79"/>
      <c r="P14" s="79"/>
      <c r="Q14" s="82"/>
      <c r="R14" s="5"/>
      <c r="S14" s="51">
        <v>230</v>
      </c>
      <c r="T14" s="75" t="s">
        <v>175</v>
      </c>
      <c r="U14" s="30">
        <v>1</v>
      </c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8.5" x14ac:dyDescent="0.4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77"/>
      <c r="N15" s="79"/>
      <c r="O15" s="79"/>
      <c r="P15" s="79"/>
      <c r="Q15" s="82"/>
      <c r="R15" s="5"/>
      <c r="S15" s="51">
        <v>230</v>
      </c>
      <c r="T15" s="75" t="s">
        <v>176</v>
      </c>
      <c r="U15" s="30">
        <v>1</v>
      </c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8.5" x14ac:dyDescent="0.4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177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109">
        <v>230</v>
      </c>
      <c r="T16" s="75" t="s">
        <v>177</v>
      </c>
      <c r="U16" s="70">
        <v>1</v>
      </c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18"/>
      <c r="I17" s="70" t="s">
        <v>175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109">
        <v>230</v>
      </c>
      <c r="T17" s="75" t="s">
        <v>173</v>
      </c>
      <c r="U17" s="70">
        <v>1</v>
      </c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77"/>
      <c r="I18" s="70" t="s">
        <v>176</v>
      </c>
      <c r="J18" s="214"/>
      <c r="K18" s="5"/>
      <c r="L18" s="5"/>
      <c r="M18" s="77"/>
      <c r="N18" s="79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70" t="s">
        <v>173</v>
      </c>
      <c r="J19" s="214"/>
      <c r="K19" s="5"/>
      <c r="L19" s="5"/>
      <c r="M19" s="77"/>
      <c r="N19" s="79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70"/>
      <c r="J20" s="214"/>
      <c r="K20" s="5"/>
      <c r="L20" s="5"/>
      <c r="M20" s="110"/>
      <c r="N20" s="79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110"/>
      <c r="N21" s="79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110"/>
      <c r="N22" s="79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110"/>
      <c r="N23" s="79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110"/>
      <c r="N24" s="79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110"/>
      <c r="N26" s="79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5505360F-50B2-433C-BF30-2D43A8A8021A}">
          <x14:formula1>
            <xm:f>Systemblatt!$E$5:$E$38</xm:f>
          </x14:formula1>
          <xm:sqref>N14:Q27 AE10:AE27 AC10:AC27 T10:T27 N12:Q12 I16:I27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38276A7B-6382-48C6-9E88-16574325911D}">
          <x14:formula1>
            <xm:f>Systemblatt!$E$5:$E$11</xm:f>
          </x14:formula1>
          <xm:sqref>K16:K17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Q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216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10</v>
      </c>
      <c r="O10" s="251"/>
      <c r="P10" s="180"/>
      <c r="Q10" s="181"/>
      <c r="R10" s="5"/>
      <c r="S10" s="103">
        <v>320</v>
      </c>
      <c r="T10" s="104" t="s">
        <v>173</v>
      </c>
      <c r="U10" s="105">
        <v>0.95</v>
      </c>
      <c r="V10" s="84"/>
      <c r="W10" s="138">
        <v>44</v>
      </c>
      <c r="X10" s="83">
        <v>320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252"/>
      <c r="P11" s="79"/>
      <c r="Q11" s="127"/>
      <c r="R11" s="5"/>
      <c r="S11" s="103">
        <v>320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251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244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245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245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5"/>
      <c r="L16" s="5"/>
      <c r="M16" s="250"/>
      <c r="N16" s="245"/>
      <c r="O16" s="245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5"/>
      <c r="L17" s="5"/>
      <c r="M17" s="250"/>
      <c r="N17" s="245"/>
      <c r="O17" s="245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70" t="s">
        <v>175</v>
      </c>
      <c r="J18" s="214"/>
      <c r="K18" s="5"/>
      <c r="L18" s="5"/>
      <c r="M18" s="250"/>
      <c r="N18" s="245"/>
      <c r="O18" s="245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5"/>
      <c r="L19" s="5"/>
      <c r="M19" s="250"/>
      <c r="N19" s="245"/>
      <c r="O19" s="245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5"/>
      <c r="L20" s="5"/>
      <c r="M20" s="245"/>
      <c r="N20" s="245"/>
      <c r="O20" s="245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245"/>
      <c r="N21" s="245"/>
      <c r="O21" s="245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245"/>
      <c r="N22" s="245"/>
      <c r="O22" s="245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245"/>
      <c r="N23" s="245"/>
      <c r="O23" s="245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245"/>
      <c r="N24" s="245"/>
      <c r="O24" s="245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245"/>
      <c r="N25" s="245"/>
      <c r="O25" s="245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245"/>
      <c r="N26" s="245"/>
      <c r="O26" s="245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246"/>
      <c r="N27" s="246"/>
      <c r="O27" s="246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AE10:AE27 AC10:AC27 T10:T27 N12:Q12 O14:Q27 N13:N27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P1" zoomScale="75" zoomScaleNormal="47" workbookViewId="0">
      <selection activeCell="W33" sqref="W3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235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/>
      <c r="X10" s="83">
        <v>3000</v>
      </c>
      <c r="Y10" s="139">
        <v>220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320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220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265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60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6D942508-FBAE-4A85-83B5-AC91BBE9E0A1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66CC1A7-CD01-45DA-9028-50F24E5A5FDD}">
          <x14:formula1>
            <xm:f>Systemblatt!$E$5:$E$11</xm:f>
          </x14:formula1>
          <xm:sqref>K16:K17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N1"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237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7</v>
      </c>
      <c r="O10" s="179"/>
      <c r="P10" s="180"/>
      <c r="Q10" s="181"/>
      <c r="R10" s="5" t="s">
        <v>198</v>
      </c>
      <c r="S10" s="103">
        <v>330</v>
      </c>
      <c r="T10" s="104" t="s">
        <v>173</v>
      </c>
      <c r="U10" s="105">
        <v>1</v>
      </c>
      <c r="V10" s="84"/>
      <c r="W10" s="138">
        <v>44</v>
      </c>
      <c r="X10" s="83">
        <v>330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230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125"/>
      <c r="P11" s="79"/>
      <c r="Q11" s="127"/>
      <c r="R11" s="5" t="s">
        <v>192</v>
      </c>
      <c r="S11" s="103">
        <v>330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48"/>
      <c r="I17" s="70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250"/>
      <c r="I18" s="70" t="s">
        <v>175</v>
      </c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250"/>
      <c r="I19" s="70" t="s">
        <v>176</v>
      </c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250"/>
      <c r="I20" s="70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245"/>
      <c r="I21" s="70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245"/>
      <c r="I22" s="70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245"/>
      <c r="I23" s="82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245"/>
      <c r="I24" s="82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245"/>
      <c r="I25" s="82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245"/>
      <c r="I26" s="82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246"/>
      <c r="I27" s="81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58717023-9A45-458B-A83B-5EB198048892}">
          <x14:formula1>
            <xm:f>Systemblatt!$E$5:$E$38</xm:f>
          </x14:formula1>
          <xm:sqref>N13:N27 AC10:AC27 O14:Q27 T10:T27 N12:Q12 I16:I27 AE10:AE27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6D43280A-8B58-44D7-9CE7-2E4308EBB4A1}">
          <x14:formula1>
            <xm:f>Systemblatt!$E$5:$E$11</xm:f>
          </x14:formula1>
          <xm:sqref>K16:K17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G36" sqref="G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7"/>
      <c r="E6" s="297"/>
      <c r="F6" s="5"/>
      <c r="G6" s="5"/>
      <c r="H6" s="297"/>
      <c r="I6" s="297"/>
      <c r="J6" s="15"/>
      <c r="K6" s="15"/>
      <c r="L6" s="5"/>
      <c r="M6" s="297"/>
      <c r="N6" s="297"/>
      <c r="O6" s="297"/>
      <c r="P6" s="297"/>
      <c r="Q6" s="5"/>
      <c r="R6" s="5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238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>
        <v>44</v>
      </c>
      <c r="X10" s="83">
        <v>3000</v>
      </c>
      <c r="Y10" s="139">
        <v>230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330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230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265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65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6"/>
      <c r="E47" s="296"/>
      <c r="F47" s="296"/>
      <c r="G47" s="296"/>
      <c r="H47" s="296"/>
      <c r="I47" s="296"/>
      <c r="J47" s="296"/>
      <c r="K47" s="296"/>
      <c r="L47" s="29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B9FFAFCB-6042-461B-84D3-AB3144E7724D}">
          <x14:formula1>
            <xm:f>Systemblatt!$E$5:$E$38</xm:f>
          </x14:formula1>
          <xm:sqref>N13 AE10:AE27 AC10:AC27 N12:Q12 N14:Q27 I16:I27 T10:T27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7F5B6298-821C-4C8E-885D-EC12A03CB60E}">
          <x14:formula1>
            <xm:f>Systemblatt!$E$5:$E$11</xm:f>
          </x14:formula1>
          <xm:sqref>K16:K17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V1"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206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251">
        <v>1E-4</v>
      </c>
      <c r="O10" s="179">
        <v>0.1</v>
      </c>
      <c r="P10" s="257"/>
      <c r="Q10" s="181"/>
      <c r="R10" s="114"/>
      <c r="S10" s="103">
        <v>2000</v>
      </c>
      <c r="T10" s="104" t="s">
        <v>200</v>
      </c>
      <c r="U10" s="105">
        <v>0.99</v>
      </c>
      <c r="V10" s="106"/>
      <c r="W10" s="138">
        <v>22</v>
      </c>
      <c r="X10" s="83">
        <v>2000</v>
      </c>
      <c r="Y10" s="139">
        <v>1000</v>
      </c>
      <c r="Z10" s="137"/>
      <c r="AA10" s="75"/>
      <c r="AB10" s="136" t="s">
        <v>12</v>
      </c>
      <c r="AC10" s="83" t="s">
        <v>14</v>
      </c>
      <c r="AD10" s="139" t="s">
        <v>12</v>
      </c>
      <c r="AE10" s="83" t="s">
        <v>177</v>
      </c>
      <c r="AF10" s="137">
        <v>10</v>
      </c>
      <c r="AG10" s="120"/>
      <c r="AH10" s="126" t="s">
        <v>177</v>
      </c>
      <c r="AI10" s="125">
        <v>1</v>
      </c>
      <c r="AJ10" s="127">
        <v>-1</v>
      </c>
      <c r="AK10" s="115"/>
      <c r="AL10" s="128">
        <v>1</v>
      </c>
      <c r="AM10" s="129" t="s">
        <v>177</v>
      </c>
      <c r="AN10" s="130">
        <v>0.95</v>
      </c>
      <c r="AO10" s="87"/>
    </row>
    <row r="11" spans="3:41" ht="19" thickBot="1" x14ac:dyDescent="0.5">
      <c r="C11" s="86"/>
      <c r="D11" s="69" t="s">
        <v>3</v>
      </c>
      <c r="E11" s="70">
        <v>210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79"/>
      <c r="L11" s="79"/>
      <c r="M11" s="255" t="s">
        <v>76</v>
      </c>
      <c r="N11" s="252" t="s">
        <v>12</v>
      </c>
      <c r="O11" s="125" t="s">
        <v>12</v>
      </c>
      <c r="P11" s="258"/>
      <c r="Q11" s="259"/>
      <c r="R11" s="114"/>
      <c r="S11" s="103">
        <v>2000</v>
      </c>
      <c r="T11" s="104" t="s">
        <v>14</v>
      </c>
      <c r="U11" s="105">
        <v>0.05</v>
      </c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1</v>
      </c>
      <c r="AJ11" s="127">
        <v>0.15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248" t="s">
        <v>77</v>
      </c>
      <c r="N12" s="251" t="s">
        <v>175</v>
      </c>
      <c r="O12" s="251" t="s">
        <v>175</v>
      </c>
      <c r="P12" s="180"/>
      <c r="Q12" s="181"/>
      <c r="R12" s="114"/>
      <c r="S12" s="103">
        <v>2000</v>
      </c>
      <c r="T12" s="104" t="s">
        <v>180</v>
      </c>
      <c r="U12" s="105">
        <v>0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200</v>
      </c>
      <c r="AI12" s="125">
        <v>1</v>
      </c>
      <c r="AJ12" s="127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249"/>
      <c r="N13" s="253" t="s">
        <v>176</v>
      </c>
      <c r="O13" s="253" t="s">
        <v>176</v>
      </c>
      <c r="P13" s="75"/>
      <c r="Q13" s="70"/>
      <c r="R13" s="114"/>
      <c r="S13" s="103">
        <v>1000</v>
      </c>
      <c r="T13" s="104" t="s">
        <v>180</v>
      </c>
      <c r="U13" s="105">
        <v>1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180</v>
      </c>
      <c r="AI13" s="106">
        <v>1</v>
      </c>
      <c r="AJ13" s="108">
        <v>0.65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250"/>
      <c r="N14" s="253" t="s">
        <v>177</v>
      </c>
      <c r="O14" s="253" t="s">
        <v>177</v>
      </c>
      <c r="P14" s="79"/>
      <c r="Q14" s="82"/>
      <c r="R14" s="114"/>
      <c r="S14" s="103">
        <v>1000</v>
      </c>
      <c r="T14" s="75" t="s">
        <v>200</v>
      </c>
      <c r="U14" s="105">
        <v>0</v>
      </c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250"/>
      <c r="N15" s="244" t="s">
        <v>173</v>
      </c>
      <c r="O15" s="244" t="s">
        <v>173</v>
      </c>
      <c r="P15" s="79"/>
      <c r="Q15" s="82"/>
      <c r="R15" s="114"/>
      <c r="S15" s="103"/>
      <c r="T15" s="75"/>
      <c r="U15" s="105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250"/>
      <c r="N16" s="245"/>
      <c r="O16" s="245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250"/>
      <c r="N17" s="245"/>
      <c r="O17" s="245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30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250"/>
      <c r="N18" s="245"/>
      <c r="O18" s="245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250"/>
      <c r="N19" s="245"/>
      <c r="O19" s="245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245"/>
      <c r="N20" s="245"/>
      <c r="O20" s="245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245"/>
      <c r="N21" s="245"/>
      <c r="O21" s="245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245"/>
      <c r="N22" s="245"/>
      <c r="O22" s="245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245"/>
      <c r="N23" s="245"/>
      <c r="O23" s="245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245"/>
      <c r="N24" s="245"/>
      <c r="O24" s="245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245"/>
      <c r="N25" s="245"/>
      <c r="O25" s="245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245"/>
      <c r="N26" s="245"/>
      <c r="O26" s="245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79"/>
      <c r="L27" s="79"/>
      <c r="M27" s="246"/>
      <c r="N27" s="246"/>
      <c r="O27" s="246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F5F5269E-B5C7-40AF-B5D2-74BD991B7BEE}">
          <x14:formula1>
            <xm:f>Systemblatt!$E$5:$E$38</xm:f>
          </x14:formula1>
          <xm:sqref>AE10:AE27 AC10:AC27 AH10:AH27 I16:I27 T10:T27 N12:N27 P14:Q27 O13:O27 O12:Q12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W30" sqref="W3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9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263" t="s">
        <v>207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67" t="s">
        <v>75</v>
      </c>
      <c r="N10" s="179">
        <v>0.1</v>
      </c>
      <c r="O10" s="179">
        <v>0.1</v>
      </c>
      <c r="P10" s="180"/>
      <c r="Q10" s="181"/>
      <c r="R10" s="114"/>
      <c r="S10" s="126">
        <v>777</v>
      </c>
      <c r="T10" s="125" t="s">
        <v>179</v>
      </c>
      <c r="U10" s="127">
        <v>0.8</v>
      </c>
      <c r="V10" s="106"/>
      <c r="W10" s="138"/>
      <c r="X10" s="83">
        <v>777</v>
      </c>
      <c r="Y10" s="139">
        <v>1000</v>
      </c>
      <c r="Z10" s="30">
        <v>1100</v>
      </c>
      <c r="AA10" s="75"/>
      <c r="AB10" s="136"/>
      <c r="AC10" s="83"/>
      <c r="AD10" s="139"/>
      <c r="AE10" s="83"/>
      <c r="AF10" s="137"/>
      <c r="AG10" s="120"/>
      <c r="AH10" s="126" t="s">
        <v>177</v>
      </c>
      <c r="AI10" s="125">
        <v>2</v>
      </c>
      <c r="AJ10" s="127">
        <v>-1</v>
      </c>
      <c r="AK10" s="115"/>
      <c r="AL10" s="128">
        <v>2</v>
      </c>
      <c r="AM10" s="129" t="s">
        <v>177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200</v>
      </c>
      <c r="F11" s="214" t="s">
        <v>182</v>
      </c>
      <c r="G11" s="5"/>
      <c r="H11" s="69" t="s">
        <v>67</v>
      </c>
      <c r="I11" s="105">
        <v>1</v>
      </c>
      <c r="J11" s="214" t="s">
        <v>191</v>
      </c>
      <c r="K11" s="79"/>
      <c r="L11" s="79"/>
      <c r="M11" s="76" t="s">
        <v>76</v>
      </c>
      <c r="N11" s="125" t="s">
        <v>12</v>
      </c>
      <c r="O11" s="125" t="s">
        <v>12</v>
      </c>
      <c r="P11" s="125"/>
      <c r="Q11" s="125"/>
      <c r="R11" s="114"/>
      <c r="S11" s="51">
        <v>1100</v>
      </c>
      <c r="T11" s="75" t="s">
        <v>179</v>
      </c>
      <c r="U11" s="30">
        <v>0.2</v>
      </c>
      <c r="V11" s="106"/>
      <c r="W11" s="109"/>
      <c r="Y11" s="106"/>
      <c r="Z11" s="30"/>
      <c r="AA11" s="75"/>
      <c r="AB11" s="107"/>
      <c r="AC11" s="75"/>
      <c r="AD11" s="106"/>
      <c r="AE11" s="75"/>
      <c r="AF11" s="108"/>
      <c r="AG11" s="120"/>
      <c r="AH11" s="126" t="s">
        <v>179</v>
      </c>
      <c r="AI11" s="125">
        <v>2</v>
      </c>
      <c r="AJ11" s="127">
        <v>0.25</v>
      </c>
      <c r="AK11" s="115"/>
      <c r="AL11" s="116">
        <v>3</v>
      </c>
      <c r="AM11" s="6" t="s">
        <v>176</v>
      </c>
      <c r="AN11" s="131">
        <v>0.5</v>
      </c>
      <c r="AO11" s="87"/>
    </row>
    <row r="12" spans="3:41" ht="18.5" x14ac:dyDescent="0.45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76" t="s">
        <v>77</v>
      </c>
      <c r="N12" s="125" t="s">
        <v>177</v>
      </c>
      <c r="O12" s="125" t="s">
        <v>177</v>
      </c>
      <c r="P12" s="79"/>
      <c r="Q12" s="127"/>
      <c r="R12" s="114"/>
      <c r="S12" s="51">
        <v>1000</v>
      </c>
      <c r="T12" s="75" t="s">
        <v>180</v>
      </c>
      <c r="U12" s="30">
        <v>1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180</v>
      </c>
      <c r="AI12" s="125">
        <v>2</v>
      </c>
      <c r="AJ12" s="127">
        <v>0.75</v>
      </c>
      <c r="AK12" s="115"/>
      <c r="AL12" s="116">
        <v>4</v>
      </c>
      <c r="AM12" s="6" t="s">
        <v>175</v>
      </c>
      <c r="AN12" s="131">
        <v>0.6</v>
      </c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76"/>
      <c r="N13" s="75" t="s">
        <v>175</v>
      </c>
      <c r="O13" s="75" t="s">
        <v>175</v>
      </c>
      <c r="P13" s="75"/>
      <c r="Q13" s="70"/>
      <c r="R13" s="114"/>
      <c r="S13" s="51"/>
      <c r="T13" s="75"/>
      <c r="U13" s="3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176</v>
      </c>
      <c r="AI13" s="106">
        <v>3</v>
      </c>
      <c r="AJ13" s="108">
        <v>-1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77"/>
      <c r="N14" s="75" t="s">
        <v>176</v>
      </c>
      <c r="O14" s="75" t="s">
        <v>176</v>
      </c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 t="s">
        <v>179</v>
      </c>
      <c r="AI14" s="106">
        <v>3</v>
      </c>
      <c r="AJ14" s="108">
        <v>0.25</v>
      </c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77"/>
      <c r="N15" s="75" t="s">
        <v>173</v>
      </c>
      <c r="O15" s="75" t="s">
        <v>173</v>
      </c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 t="s">
        <v>180</v>
      </c>
      <c r="AI15" s="106">
        <v>3</v>
      </c>
      <c r="AJ15" s="108">
        <v>0.75</v>
      </c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77"/>
      <c r="N16" s="79"/>
      <c r="O16" s="20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 t="s">
        <v>175</v>
      </c>
      <c r="AI16" s="75">
        <v>4</v>
      </c>
      <c r="AJ16" s="108">
        <v>-1</v>
      </c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20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 t="s">
        <v>179</v>
      </c>
      <c r="AI17" s="75">
        <v>4</v>
      </c>
      <c r="AJ17" s="108">
        <v>0.25</v>
      </c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35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 t="s">
        <v>180</v>
      </c>
      <c r="AI18" s="75">
        <v>4</v>
      </c>
      <c r="AJ18" s="108">
        <v>0.75</v>
      </c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21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2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BDE93ECE-D802-4112-863E-62E1975FB345}">
          <x14:formula1>
            <xm:f>Systemblatt!$E$5:$E$38</xm:f>
          </x14:formula1>
          <xm:sqref>AE10:AE27 AC10:AC27 P14:Q16 N12:N16 I16:I27 O13:O15 N17:Q27 AH10:AH27 O12:Q12 T10:T27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36328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16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208</v>
      </c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114"/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300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79"/>
      <c r="L11" s="79"/>
      <c r="M11" s="76" t="s">
        <v>76</v>
      </c>
      <c r="N11" s="125"/>
      <c r="O11" s="125"/>
      <c r="P11" s="125"/>
      <c r="Q11" s="125"/>
      <c r="R11" s="114"/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79"/>
      <c r="L12" s="79"/>
      <c r="M12" s="76" t="s">
        <v>77</v>
      </c>
      <c r="N12" s="125"/>
      <c r="O12" s="125"/>
      <c r="P12" s="79"/>
      <c r="Q12" s="127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E13" s="3" t="s">
        <v>209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79"/>
      <c r="L13" s="79"/>
      <c r="M13" s="76" t="s">
        <v>195</v>
      </c>
      <c r="N13" s="75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79"/>
      <c r="L14" s="79"/>
      <c r="M14" s="77"/>
      <c r="N14" s="79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8.5" x14ac:dyDescent="0.4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79"/>
      <c r="L15" s="79"/>
      <c r="M15" s="77"/>
      <c r="N15" s="79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8.5" x14ac:dyDescent="0.45"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179</v>
      </c>
      <c r="J16" s="87" t="s">
        <v>182</v>
      </c>
      <c r="K16" s="79"/>
      <c r="L16" s="79"/>
      <c r="M16" s="77"/>
      <c r="N16" s="79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 t="s">
        <v>195</v>
      </c>
      <c r="I17" s="70"/>
      <c r="J17" s="87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70"/>
      <c r="J18" s="87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70"/>
      <c r="J19" s="87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70"/>
      <c r="J20" s="87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70"/>
      <c r="J21" s="87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87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87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92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92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87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6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F2009837-D847-4FA8-AB6C-48F4742CF1F4}">
          <x14:formula1>
            <xm:f>Systemblatt!$E$5:$E$38</xm:f>
          </x14:formula1>
          <xm:sqref>AC10:AC27 AE10:AE27 T10:T27 I18:I27 I16 N14:Q27 N12:Q12 AH10:AH27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7"/>
      <c r="E6" s="307"/>
      <c r="F6" s="5"/>
      <c r="G6" s="5"/>
      <c r="H6" s="307"/>
      <c r="I6" s="307"/>
      <c r="J6" s="15"/>
      <c r="K6" s="15"/>
      <c r="L6" s="5"/>
      <c r="M6" s="307"/>
      <c r="N6" s="307"/>
      <c r="O6" s="307"/>
      <c r="P6" s="307"/>
      <c r="Q6" s="5"/>
      <c r="R6" s="5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8" t="s">
        <v>52</v>
      </c>
      <c r="E8" s="299"/>
      <c r="F8" s="300"/>
      <c r="G8" s="5"/>
      <c r="H8" s="301" t="s">
        <v>53</v>
      </c>
      <c r="I8" s="302"/>
      <c r="J8" s="303"/>
      <c r="K8" s="5"/>
      <c r="L8" s="5"/>
      <c r="M8" s="293" t="s">
        <v>72</v>
      </c>
      <c r="N8" s="294"/>
      <c r="O8" s="294"/>
      <c r="P8" s="294"/>
      <c r="Q8" s="295"/>
      <c r="R8" s="5"/>
      <c r="S8" s="287" t="s">
        <v>78</v>
      </c>
      <c r="T8" s="288"/>
      <c r="U8" s="289"/>
      <c r="V8" s="12"/>
      <c r="W8" s="290" t="s">
        <v>108</v>
      </c>
      <c r="X8" s="291"/>
      <c r="Y8" s="291"/>
      <c r="Z8" s="292"/>
      <c r="AA8" s="11"/>
      <c r="AB8" s="290" t="s">
        <v>85</v>
      </c>
      <c r="AC8" s="291"/>
      <c r="AD8" s="291"/>
      <c r="AE8" s="291"/>
      <c r="AF8" s="292"/>
      <c r="AG8" s="11"/>
      <c r="AH8" s="304" t="s">
        <v>5</v>
      </c>
      <c r="AI8" s="305"/>
      <c r="AJ8" s="306"/>
      <c r="AK8" s="98"/>
      <c r="AL8" s="304" t="s">
        <v>6</v>
      </c>
      <c r="AM8" s="305"/>
      <c r="AN8" s="306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231</v>
      </c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9" thickBot="1" x14ac:dyDescent="0.5">
      <c r="C11" s="86"/>
      <c r="D11" s="69" t="s">
        <v>3</v>
      </c>
      <c r="E11" s="70">
        <v>310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243" t="s">
        <v>179</v>
      </c>
      <c r="J16" s="96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87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87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87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87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87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87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87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87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87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87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6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3D986F80-7CF9-4870-9C74-003E406E6877}">
          <x14:formula1>
            <xm:f>Systemblatt!$E$5:$E$38</xm:f>
          </x14:formula1>
          <xm:sqref>N13 AC10:AC27 I16:I27 T10:T27 AE10:AE27 N14:Q27 N12:Q12 AH10:AH27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2023-10-10T13:53:04Z</dcterms:modified>
</cp:coreProperties>
</file>