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3DF40690-2359-46EB-9A97-6457050B485F}" xr6:coauthVersionLast="47" xr6:coauthVersionMax="47" xr10:uidLastSave="{00000000-0000-0000-0000-000000000000}"/>
  <bookViews>
    <workbookView xWindow="57480" yWindow="-1680" windowWidth="29040" windowHeight="15720" tabRatio="609" activeTab="11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<sst xmlns="http://schemas.openxmlformats.org/spreadsheetml/2006/main" count="2106" uniqueCount="309">
  <si>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</si>
  <si>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</si>
  <si>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</si>
  <si>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</si>
  <si>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</si>
  <si>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</si>
  <si>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</si>
  <si>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</si>
  <si>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</si>
  <si>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</si>
  <si>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</si>
  <si>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</si>
  <si>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</si>
  <si>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</si>
  <si>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</si>
  <si>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</si>
  <si>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</si>
  <si>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</si>
  <si>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</si>
  <si>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</si>
  <si>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</si>
  <si>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</si>
  <si>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</si>
  <si>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</si>
  <si>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</si>
  <si>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</si>
  <si>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</si>
  <si>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</si>
  <si>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</si>
  <si>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</si>
  <si>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</si>
  <si>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</si>
  <si>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</si>
  <si>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</si>
  <si>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</si>
  <si>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</si>
  <si>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</si>
  <si>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</si>
  <si>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</si>
  <si>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</si>
  <si>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</si>
  <si>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</si>
  <si>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</si>
  <si>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</si>
  <si>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</si>
  <si>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</si>
  <si>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</si>
  <si>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</si>
  <si>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</si>
  <si>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</si>
  <si>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</si>
  <si>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</si>
  <si>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</si>
  <si>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</si>
  <si>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</si>
  <si>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</si>
  <si>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</si>
  <si>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</si>
  <si>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</si>
  <si>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</si>
  <si>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</si>
  <si>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</si>
  <si>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</si>
  <si>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</si>
  <si>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</si>
  <si>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</si>
  <si>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</si>
  <si>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</si>
  <si>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</si>
  <si>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</si>
  <si>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</si>
  <si>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</si>
  <si>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</si>
  <si>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</si>
  <si>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</si>
  <si>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</si>
  <si>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</si>
  <si>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</si>
  <si>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</si>
  <si>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</si>
  <si>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</si>
  <si>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</si>
  <si>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</si>
  <si>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</si>
  <si>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</si>
  <si>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</si>
  <si>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</si>
  <si>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</si>
  <si>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</si>
  <si>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</si>
  <si>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</si>
  <si>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</si>
  <si>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</si>
  <si>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</si>
  <si>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</si>
  <si>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</si>
  <si>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</si>
  <si>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</si>
  <si>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</si>
  <si>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</si>
  <si>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</si>
  <si>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</si>
  <si>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</si>
  <si>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</si>
  <si>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</si>
  <si>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</si>
  <si>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</si>
  <si>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</si>
  <si>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</si>
  <si>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</si>
  <si>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</si>
  <si>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</si>
  <si>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</si>
  <si>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</si>
  <si>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</si>
  <si>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</si>
  <si>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</si>
  <si>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</si>
  <si>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</si>
  <si>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</si>
  <si>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</si>
  <si>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</si>
  <si>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</si>
  <si>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</si>
  <si>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</si>
  <si>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</si>
  <si>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</si>
  <si>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</si>
  <si>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</si>
  <si>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</si>
  <si>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</si>
  <si>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</si>
  <si>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</si>
  <si>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</si>
  <si>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</si>
  <si>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</si>
  <si>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</si>
  <si>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</si>
  <si>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</si>
  <si>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</si>
  <si>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</si>
  <si>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</si>
  <si>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</si>
  <si>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</si>
  <si>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</si>
  <si>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</si>
  <si>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</si>
  <si>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</si>
  <si>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</si>
  <si>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</si>
  <si>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</si>
  <si>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</si>
  <si>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</si>
  <si>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</si>
  <si>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</si>
  <si>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</si>
  <si>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</si>
  <si>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</si>
  <si>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</si>
  <si>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</si>
  <si>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</si>
  <si>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</si>
  <si>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</si>
  <si>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</si>
  <si>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</si>
  <si>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</si>
  <si>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</si>
  <si>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</si>
  <si>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</si>
  <si>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</si>
  <si>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</si>
  <si>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</si>
  <si>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</si>
  <si>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</si>
  <si>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</si>
  <si>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</si>
  <si>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</si>
  <si>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</si>
  <si>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</si>
  <si>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</si>
  <si>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</si>
  <si>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</si>
  <si>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</si>
  <si>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</si>
  <si>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</si>
  <si>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</si>
  <si>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</si>
  <si>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</si>
  <si>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</si>
  <si>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</si>
  <si>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</si>
  <si>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</si>
  <si>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</si>
  <si>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</si>
  <si>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</si>
  <si>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</si>
  <si>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</si>
  <si>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</si>
  <si>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</si>
  <si>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</si>
  <si>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</si>
  <si>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</si>
  <si>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</si>
  <si>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</si>
  <si>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</si>
  <si>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</si>
  <si>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</si>
  <si>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</si>
  <si>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</si>
  <si>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</si>
  <si>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</si>
  <si>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</si>
  <si>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</si>
  <si>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</si>
  <si>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</si>
  <si>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</si>
  <si>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</si>
  <si>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</si>
  <si>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</si>
  <si>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</si>
  <si>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</si>
  <si>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</si>
  <si>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</si>
  <si>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</si>
  <si>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</si>
  <si>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</si>
  <si>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</si>
  <si>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</si>
  <si>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</si>
  <si>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</si>
  <si>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</si>
  <si>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</si>
  <si>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</si>
  <si>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</si>
  <si>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</si>
  <si>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</si>
  <si>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</si>
  <si>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</si>
  <si>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</si>
  <si>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</si>
  <si>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</si>
  <si>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</si>
  <si>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</si>
  <si>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</si>
  <si>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</si>
  <si>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</si>
  <si>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</si>
  <si>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</si>
  <si>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</si>
  <si>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</si>
  <si>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</si>
  <si>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</si>
  <si>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</si>
  <si>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</si>
  <si>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</si>
  <si>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</si>
  <si>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</si>
  <si>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</si>
  <si>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</si>
  <si>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</si>
  <si>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</si>
  <si>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</si>
  <si>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</si>
  <si>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</si>
  <si>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</si>
  <si>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</si>
  <si>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</si>
  <si>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</si>
  <si>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</si>
  <si>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</si>
  <si>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</si>
  <si>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</si>
  <si>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</si>
  <si>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</si>
  <si>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</si>
  <si>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</si>
  <si>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</si>
  <si>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</si>
  <si>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</si>
  <si>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</si>
  <si>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</si>
  <si>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</si>
  <si>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</si>
  <si>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</si>
  <si>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testY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</si>
  <si>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</si>
  <si>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</si>
  <si>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</si>
  <si>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</si>
  <si>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</si>
  <si>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</si>
  <si>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</si>
  <si>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</si>
  <si>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</si>
  <si>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</si>
  <si>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</si>
  <si>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</si>
  <si>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</si>
  <si>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</si>
  <si>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</si>
  <si>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</si>
  <si>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</si>
  <si>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</si>
  <si>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</si>
  <si>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</si>
  <si>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</si>
  <si>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</si>
  <si>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MinProduction (t)</t>
  </si>
  <si>
    <t>MaxProduction (t)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</si>
</sst>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7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20" xfId="0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G24" sqref="G24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29" t="s">
        <v>29</v>
      </c>
      <c r="C3" s="330"/>
      <c r="D3" s="331"/>
      <c r="F3" s="325" t="s">
        <v>32</v>
      </c>
      <c r="G3" s="326"/>
      <c r="H3" s="326"/>
      <c r="I3" s="326"/>
      <c r="J3" s="326"/>
      <c r="K3" s="327"/>
      <c r="L3" s="14"/>
      <c r="M3" s="14"/>
      <c r="N3" s="335" t="s">
        <v>35</v>
      </c>
      <c r="O3" s="336"/>
      <c r="P3" s="337"/>
      <c r="Q3" s="14"/>
      <c r="R3" s="14"/>
      <c r="S3" s="338" t="s">
        <v>39</v>
      </c>
      <c r="T3" s="339"/>
      <c r="U3" s="339"/>
      <c r="V3" s="340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4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5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88</v>
      </c>
      <c r="D6" s="236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234</v>
      </c>
      <c r="D7" s="236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2" t="s">
        <v>222</v>
      </c>
      <c r="C8" s="233" t="s">
        <v>221</v>
      </c>
      <c r="D8" s="236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303</v>
      </c>
      <c r="C9" s="30"/>
      <c r="D9" s="236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304</v>
      </c>
      <c r="C10" s="29"/>
      <c r="D10" s="236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6" t="s">
        <v>180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7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7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7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7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7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7"/>
      <c r="E17" s="14"/>
      <c r="F17" s="24" t="s">
        <v>285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7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44"/>
      <c r="X18" s="344"/>
      <c r="Y18" s="344"/>
      <c r="Z18" s="345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6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42"/>
      <c r="Z19" s="343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6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42"/>
      <c r="Z20" s="343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8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42"/>
      <c r="Z21" s="343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42"/>
      <c r="Z22" s="343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1"/>
      <c r="U23" s="341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2" t="s">
        <v>133</v>
      </c>
      <c r="O30" s="333"/>
      <c r="P30" s="334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2" t="s">
        <v>140</v>
      </c>
      <c r="T31" s="333"/>
      <c r="U31" s="333"/>
      <c r="V31" s="333"/>
      <c r="W31" s="334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9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4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7" t="s">
        <v>75</v>
      </c>
      <c r="N12" s="255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3"/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3"/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3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4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182</v>
      </c>
      <c r="G17" s="5"/>
      <c r="H17" s="75"/>
      <c r="I17" s="243"/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182</v>
      </c>
      <c r="G18" s="5"/>
      <c r="H18" s="76"/>
      <c r="I18" s="243"/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8" t="s">
        <v>76</v>
      </c>
      <c r="T8" s="359"/>
      <c r="U8" s="360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58" t="s">
        <v>7</v>
      </c>
      <c r="AI8" s="359"/>
      <c r="AJ8" s="360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60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8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9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9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3"/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3"/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3"/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3"/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5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5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3"/>
      <c r="J17" s="213" t="s">
        <v>178</v>
      </c>
      <c r="K17" s="5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3"/>
      <c r="J18" s="213" t="s">
        <v>178</v>
      </c>
      <c r="K18" s="5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3"/>
      <c r="J21" s="213" t="s">
        <v>178</v>
      </c>
      <c r="K21" s="5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5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5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N24" sqref="N24"/>
    </sheetView>
  </sheetViews>
  <sheetFormatPr baseColWidth="10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189</v>
      </c>
      <c r="F1" s="1" t="s">
        <v>16</v>
      </c>
      <c r="L1" t="s">
        <v>138</v>
      </c>
    </row>
    <row r="2" spans="1:21" ht="15.5" x14ac:dyDescent="0.3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5" x14ac:dyDescent="0.35">
      <c r="A3" t="s">
        <v>12</v>
      </c>
      <c r="B3" t="s">
        <v>188</v>
      </c>
      <c r="C3" t="s">
        <v>12</v>
      </c>
      <c r="F3" s="231" t="s">
        <v>218</v>
      </c>
      <c r="L3" t="s">
        <v>139</v>
      </c>
    </row>
    <row r="4" spans="1:21" ht="15.5" x14ac:dyDescent="0.35">
      <c r="A4" t="s">
        <v>13</v>
      </c>
      <c r="B4" t="s">
        <v>188</v>
      </c>
      <c r="C4" t="s">
        <v>13</v>
      </c>
      <c r="F4" s="231" t="s">
        <v>219</v>
      </c>
      <c r="L4" t="s">
        <v>126</v>
      </c>
    </row>
    <row r="5" spans="1:21" ht="15.5" x14ac:dyDescent="0.35">
      <c r="A5" t="s">
        <v>20</v>
      </c>
      <c r="C5" t="s">
        <v>20</v>
      </c>
      <c r="F5" s="231" t="s">
        <v>220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223</v>
      </c>
    </row>
    <row r="15" spans="1:21" x14ac:dyDescent="0.35">
      <c r="A15" t="s">
        <v>221</v>
      </c>
    </row>
    <row r="16" spans="1:21" x14ac:dyDescent="0.35">
      <c r="G16" s="328" t="s">
        <v>127</v>
      </c>
      <c r="H16" s="328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3">
        <v>2</v>
      </c>
      <c r="O17" t="s">
        <v>297</v>
      </c>
      <c r="R17" t="s">
        <v>249</v>
      </c>
      <c r="U17" t="s">
        <v>276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3">
        <v>3</v>
      </c>
      <c r="O18" t="s">
        <v>292</v>
      </c>
      <c r="R18" t="s">
        <v>254</v>
      </c>
      <c r="U18" t="s">
        <v>278</v>
      </c>
    </row>
    <row r="19" spans="7:21" x14ac:dyDescent="0.35">
      <c r="G19" t="s">
        <v>146</v>
      </c>
      <c r="H19" t="s">
        <v>148</v>
      </c>
      <c r="M19" s="263" t="s">
        <v>292</v>
      </c>
      <c r="R19" t="s">
        <v>255</v>
      </c>
      <c r="U19" t="s">
        <v>277</v>
      </c>
    </row>
    <row r="20" spans="7:21" x14ac:dyDescent="0.35">
      <c r="G20" t="s">
        <v>129</v>
      </c>
      <c r="H20" t="s">
        <v>137</v>
      </c>
      <c r="R20" t="s">
        <v>256</v>
      </c>
    </row>
    <row r="21" spans="7:21" x14ac:dyDescent="0.35">
      <c r="G21" t="s">
        <v>234</v>
      </c>
      <c r="H21" t="s">
        <v>302</v>
      </c>
    </row>
    <row r="22" spans="7:21" x14ac:dyDescent="0.35">
      <c r="G22" t="s">
        <v>305</v>
      </c>
    </row>
    <row r="35" spans="2:2" x14ac:dyDescent="0.3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G11" sqref="G11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369" t="s">
        <v>99</v>
      </c>
      <c r="D5" s="370"/>
      <c r="E5" s="370"/>
      <c r="F5" s="370"/>
      <c r="G5" s="370"/>
      <c r="H5" s="370"/>
      <c r="I5" s="370"/>
      <c r="J5" s="370"/>
      <c r="K5" s="370"/>
      <c r="L5" s="370"/>
      <c r="M5" s="370"/>
      <c r="N5" s="370"/>
      <c r="O5" s="370"/>
      <c r="P5" s="370"/>
      <c r="Q5" s="371"/>
      <c r="R5" t="s">
        <v>22</v>
      </c>
    </row>
    <row r="6" spans="2:18" ht="18.5" x14ac:dyDescent="0.45">
      <c r="B6" s="11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286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1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1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1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11"/>
      <c r="C10" s="169" t="s">
        <v>206</v>
      </c>
      <c r="D10" s="119">
        <v>-100</v>
      </c>
      <c r="E10" s="119">
        <v>900</v>
      </c>
      <c r="F10" s="119">
        <v>1800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1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1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1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11"/>
      <c r="C14" s="131" t="s">
        <v>307</v>
      </c>
      <c r="D14" s="119"/>
      <c r="E14" s="119"/>
      <c r="F14" s="119">
        <v>1</v>
      </c>
      <c r="G14" s="119">
        <v>1</v>
      </c>
      <c r="H14" s="119">
        <v>10</v>
      </c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11"/>
      <c r="C15" s="174" t="s">
        <v>308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zoomScale="83" zoomScaleNormal="83" workbookViewId="0">
      <selection activeCell="F16" sqref="F16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207</v>
      </c>
      <c r="D5" s="372" t="s">
        <v>102</v>
      </c>
      <c r="E5" s="373"/>
      <c r="F5" s="373"/>
      <c r="G5" s="373"/>
      <c r="H5" s="373"/>
      <c r="I5" s="373"/>
      <c r="J5" s="373"/>
      <c r="K5" s="373"/>
      <c r="L5" s="373"/>
      <c r="M5" s="373"/>
      <c r="N5" s="373"/>
      <c r="O5" s="374"/>
      <c r="P5" s="11"/>
      <c r="Q5" s="11"/>
    </row>
    <row r="6" spans="3:17" ht="18.5" x14ac:dyDescent="0.45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208</v>
      </c>
      <c r="D8" s="146" t="s">
        <v>103</v>
      </c>
      <c r="E8" s="160">
        <v>200</v>
      </c>
      <c r="F8" s="149">
        <v>0</v>
      </c>
      <c r="G8" s="149">
        <v>0</v>
      </c>
      <c r="H8" s="149">
        <v>200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188</v>
      </c>
      <c r="D9" s="146" t="s">
        <v>210</v>
      </c>
      <c r="E9" s="160">
        <v>1000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188</v>
      </c>
      <c r="D10" s="146" t="s">
        <v>211</v>
      </c>
      <c r="E10" s="160">
        <v>1000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226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</row>
    <row r="29" spans="3:22" x14ac:dyDescent="0.35">
      <c r="C29" s="226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</row>
    <row r="30" spans="3:22" x14ac:dyDescent="0.35">
      <c r="C30" s="226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</row>
    <row r="31" spans="3:22" x14ac:dyDescent="0.35">
      <c r="C31" s="226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</row>
    <row r="32" spans="3:22" x14ac:dyDescent="0.35">
      <c r="C32" s="226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</row>
    <row r="33" spans="3:15" x14ac:dyDescent="0.35">
      <c r="C33" s="226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</row>
    <row r="34" spans="3:15" x14ac:dyDescent="0.35">
      <c r="C34" s="226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</row>
    <row r="35" spans="3:15" x14ac:dyDescent="0.35">
      <c r="C35" s="226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</row>
    <row r="36" spans="3:15" x14ac:dyDescent="0.35">
      <c r="C36" s="226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</row>
    <row r="37" spans="3:15" ht="15" thickBot="1" x14ac:dyDescent="0.4">
      <c r="C37" s="227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</row>
    <row r="45" spans="3:15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9" t="s">
        <v>243</v>
      </c>
      <c r="D6" s="272" t="s">
        <v>247</v>
      </c>
      <c r="E6" s="207"/>
      <c r="F6" s="277" t="s">
        <v>244</v>
      </c>
      <c r="G6" s="277" t="s">
        <v>248</v>
      </c>
      <c r="H6" s="277" t="s">
        <v>246</v>
      </c>
      <c r="I6" s="207"/>
      <c r="J6" s="267" t="s">
        <v>244</v>
      </c>
      <c r="K6" s="267" t="s">
        <v>248</v>
      </c>
      <c r="L6" s="267" t="s">
        <v>246</v>
      </c>
      <c r="M6" s="263"/>
      <c r="N6" s="267" t="s">
        <v>244</v>
      </c>
      <c r="O6" s="271" t="s">
        <v>245</v>
      </c>
      <c r="P6" s="267" t="s">
        <v>246</v>
      </c>
      <c r="Q6" s="207"/>
      <c r="R6" s="11"/>
      <c r="S6" s="11"/>
      <c r="T6" s="11"/>
    </row>
    <row r="7" spans="3:20" x14ac:dyDescent="0.35">
      <c r="C7" s="281" t="s">
        <v>235</v>
      </c>
      <c r="D7" s="282">
        <f>1/8</f>
        <v>0.125</v>
      </c>
      <c r="E7" s="207"/>
      <c r="F7" s="283">
        <v>11</v>
      </c>
      <c r="G7" s="278">
        <v>0.15</v>
      </c>
      <c r="H7" s="284" t="s">
        <v>173</v>
      </c>
      <c r="I7" s="207"/>
      <c r="J7" s="281">
        <v>11</v>
      </c>
      <c r="K7" s="292"/>
      <c r="L7" s="296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236</v>
      </c>
      <c r="D8" s="285">
        <f t="shared" ref="D8:D14" si="0">1/8</f>
        <v>0.125</v>
      </c>
      <c r="E8" s="207"/>
      <c r="F8" s="286">
        <v>11</v>
      </c>
      <c r="G8" s="279">
        <v>0.15</v>
      </c>
      <c r="H8" s="287" t="s">
        <v>173</v>
      </c>
      <c r="I8" s="207"/>
      <c r="J8" s="181">
        <v>11</v>
      </c>
      <c r="K8" s="207"/>
      <c r="L8" s="294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237</v>
      </c>
      <c r="D9" s="285">
        <f t="shared" si="0"/>
        <v>0.125</v>
      </c>
      <c r="E9" s="207"/>
      <c r="F9" s="286">
        <v>11</v>
      </c>
      <c r="G9" s="279">
        <v>-0.15</v>
      </c>
      <c r="H9" s="287" t="s">
        <v>173</v>
      </c>
      <c r="I9" s="207"/>
      <c r="J9" s="181">
        <v>11</v>
      </c>
      <c r="K9" s="207"/>
      <c r="L9" s="294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238</v>
      </c>
      <c r="D10" s="285">
        <f t="shared" si="0"/>
        <v>0.125</v>
      </c>
      <c r="E10" s="207"/>
      <c r="F10" s="286">
        <v>11</v>
      </c>
      <c r="G10" s="279">
        <v>-0.15</v>
      </c>
      <c r="H10" s="287" t="s">
        <v>173</v>
      </c>
      <c r="I10" s="207"/>
      <c r="J10" s="181">
        <v>11</v>
      </c>
      <c r="K10" s="207"/>
      <c r="L10" s="294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239</v>
      </c>
      <c r="D11" s="285">
        <f t="shared" si="0"/>
        <v>0.125</v>
      </c>
      <c r="E11" s="207"/>
      <c r="F11" s="286">
        <v>11</v>
      </c>
      <c r="G11" s="279">
        <v>0.15</v>
      </c>
      <c r="H11" s="287" t="s">
        <v>173</v>
      </c>
      <c r="I11" s="207"/>
      <c r="J11" s="181">
        <v>11</v>
      </c>
      <c r="K11" s="207"/>
      <c r="L11" s="294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240</v>
      </c>
      <c r="D12" s="285">
        <f>1/8</f>
        <v>0.125</v>
      </c>
      <c r="E12" s="207"/>
      <c r="F12" s="286">
        <v>11</v>
      </c>
      <c r="G12" s="279">
        <v>0.15</v>
      </c>
      <c r="H12" s="287" t="s">
        <v>173</v>
      </c>
      <c r="I12" s="207"/>
      <c r="J12" s="181">
        <v>11</v>
      </c>
      <c r="K12" s="207"/>
      <c r="L12" s="294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241</v>
      </c>
      <c r="D13" s="285">
        <f t="shared" si="0"/>
        <v>0.125</v>
      </c>
      <c r="E13" s="207"/>
      <c r="F13" s="286">
        <v>11</v>
      </c>
      <c r="G13" s="279">
        <v>-0.15</v>
      </c>
      <c r="H13" s="287" t="s">
        <v>173</v>
      </c>
      <c r="I13" s="207"/>
      <c r="J13" s="181">
        <v>11</v>
      </c>
      <c r="K13" s="207"/>
      <c r="L13" s="294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8" t="s">
        <v>242</v>
      </c>
      <c r="D14" s="289">
        <f t="shared" si="0"/>
        <v>0.125</v>
      </c>
      <c r="E14" s="207"/>
      <c r="F14" s="290">
        <v>11</v>
      </c>
      <c r="G14" s="280">
        <v>-0.15</v>
      </c>
      <c r="H14" s="291" t="s">
        <v>173</v>
      </c>
      <c r="I14" s="207"/>
      <c r="J14" s="288">
        <v>11</v>
      </c>
      <c r="K14" s="162"/>
      <c r="L14" s="295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5" t="s">
        <v>249</v>
      </c>
      <c r="D22" s="376"/>
      <c r="E22" s="376"/>
      <c r="F22" s="37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3" t="s">
        <v>250</v>
      </c>
      <c r="D23" s="274" t="s">
        <v>251</v>
      </c>
      <c r="E23" s="273" t="s">
        <v>252</v>
      </c>
      <c r="F23" s="266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7">
        <v>11</v>
      </c>
      <c r="D24" s="298" t="s">
        <v>173</v>
      </c>
      <c r="E24" s="298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5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5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5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5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5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5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5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5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8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8" t="s">
        <v>111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80"/>
      <c r="P5" s="11"/>
      <c r="Q5" s="11"/>
    </row>
    <row r="6" spans="3:17" ht="18.5" x14ac:dyDescent="0.45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5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tabSelected="1" topLeftCell="A6" zoomScale="90" zoomScaleNormal="90" workbookViewId="0">
      <selection activeCell="G16" sqref="G16"/>
    </sheetView>
  </sheetViews>
  <sheetFormatPr baseColWidth="10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5" t="s">
        <v>257</v>
      </c>
      <c r="C3" s="377"/>
      <c r="D3" s="11"/>
      <c r="E3" s="266" t="s">
        <v>264</v>
      </c>
      <c r="F3" s="301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6" t="s">
        <v>258</v>
      </c>
      <c r="C4" s="321">
        <v>2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296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259</v>
      </c>
      <c r="C5" s="308" t="s">
        <v>297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9" t="s">
        <v>268</v>
      </c>
      <c r="Q5" s="270"/>
      <c r="R5" s="304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8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9" t="s">
        <v>294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9" t="s">
        <v>293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10" t="s">
        <v>273</v>
      </c>
      <c r="C8" s="11"/>
      <c r="D8" s="11"/>
      <c r="E8" s="11"/>
      <c r="F8" s="11"/>
      <c r="G8" s="11"/>
      <c r="H8" s="11"/>
      <c r="I8" s="311" t="s">
        <v>275</v>
      </c>
      <c r="J8" s="11"/>
      <c r="K8" s="11"/>
      <c r="L8" s="11"/>
      <c r="M8" s="11"/>
      <c r="N8" s="11"/>
      <c r="O8" s="11"/>
      <c r="P8" s="181">
        <v>4</v>
      </c>
      <c r="Q8" s="309" t="s">
        <v>301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4" t="s">
        <v>282</v>
      </c>
      <c r="C9" s="385"/>
      <c r="D9" s="385"/>
      <c r="E9" s="385"/>
      <c r="F9" s="386"/>
      <c r="G9" s="207"/>
      <c r="H9" s="11"/>
      <c r="I9" s="381" t="s">
        <v>283</v>
      </c>
      <c r="J9" s="382"/>
      <c r="K9" s="382"/>
      <c r="L9" s="382"/>
      <c r="M9" s="383"/>
      <c r="N9" s="267"/>
      <c r="O9" s="207"/>
      <c r="P9" s="268"/>
      <c r="Q9" s="93" t="s">
        <v>270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3" t="s">
        <v>266</v>
      </c>
      <c r="C10" s="305" t="s">
        <v>33</v>
      </c>
      <c r="D10" s="306" t="s">
        <v>269</v>
      </c>
      <c r="E10" s="272" t="s">
        <v>267</v>
      </c>
      <c r="F10" s="300" t="s">
        <v>271</v>
      </c>
      <c r="G10" s="207"/>
      <c r="H10" s="11"/>
      <c r="I10" s="303" t="s">
        <v>266</v>
      </c>
      <c r="J10" s="303" t="s">
        <v>33</v>
      </c>
      <c r="K10" s="307" t="s">
        <v>265</v>
      </c>
      <c r="L10" s="303" t="s">
        <v>269</v>
      </c>
      <c r="M10" s="303" t="s">
        <v>267</v>
      </c>
      <c r="N10" s="267" t="s">
        <v>271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7">
        <v>11</v>
      </c>
      <c r="C11" s="298" t="s">
        <v>173</v>
      </c>
      <c r="D11" s="292">
        <v>0.1</v>
      </c>
      <c r="E11" s="298">
        <v>1</v>
      </c>
      <c r="F11" s="300" t="s">
        <v>277</v>
      </c>
      <c r="G11" s="207"/>
      <c r="H11" s="11"/>
      <c r="I11" s="181">
        <v>200</v>
      </c>
      <c r="J11" s="275" t="s">
        <v>173</v>
      </c>
      <c r="K11" s="207">
        <v>1</v>
      </c>
      <c r="L11" s="207">
        <v>0.2</v>
      </c>
      <c r="M11" s="294">
        <v>2</v>
      </c>
      <c r="N11" s="302" t="s">
        <v>277</v>
      </c>
      <c r="O11" s="207"/>
      <c r="P11" s="322" t="s">
        <v>295</v>
      </c>
      <c r="Q11" s="11"/>
      <c r="R11" s="323" t="s">
        <v>298</v>
      </c>
      <c r="S11" s="304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5" t="s">
        <v>171</v>
      </c>
      <c r="D12" s="207">
        <v>0.1</v>
      </c>
      <c r="E12" s="207">
        <v>1</v>
      </c>
      <c r="F12" s="302" t="s">
        <v>276</v>
      </c>
      <c r="G12" s="207"/>
      <c r="H12" s="11"/>
      <c r="I12" s="181">
        <v>210</v>
      </c>
      <c r="J12" s="275" t="s">
        <v>173</v>
      </c>
      <c r="K12" s="207">
        <v>1</v>
      </c>
      <c r="L12" s="207">
        <v>0.1</v>
      </c>
      <c r="M12" s="294">
        <v>2</v>
      </c>
      <c r="N12" s="302" t="s">
        <v>276</v>
      </c>
      <c r="O12" s="207"/>
      <c r="P12" s="225" t="s">
        <v>291</v>
      </c>
      <c r="Q12" s="11"/>
      <c r="R12" s="175" t="s">
        <v>299</v>
      </c>
      <c r="S12" s="176" t="s">
        <v>300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/>
      <c r="C13" s="275"/>
      <c r="D13" s="207"/>
      <c r="E13" s="207"/>
      <c r="F13" s="302"/>
      <c r="G13" s="207"/>
      <c r="H13" s="11"/>
      <c r="I13" s="181"/>
      <c r="J13" s="275"/>
      <c r="K13" s="207"/>
      <c r="L13" s="207"/>
      <c r="M13" s="294"/>
      <c r="N13" s="302"/>
      <c r="O13" s="207"/>
      <c r="P13" s="225">
        <v>1.2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5"/>
      <c r="D14" s="207"/>
      <c r="E14" s="207"/>
      <c r="F14" s="302"/>
      <c r="G14" s="207"/>
      <c r="H14" s="11"/>
      <c r="I14" s="181"/>
      <c r="J14" s="275"/>
      <c r="K14" s="207"/>
      <c r="L14" s="207"/>
      <c r="M14" s="294"/>
      <c r="N14" s="302"/>
      <c r="O14" s="207"/>
      <c r="P14" s="175">
        <v>-1.2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5"/>
      <c r="D15" s="207"/>
      <c r="E15" s="207"/>
      <c r="F15" s="302"/>
      <c r="G15" s="207"/>
      <c r="H15" s="11"/>
      <c r="I15" s="181"/>
      <c r="J15" s="275"/>
      <c r="K15" s="207"/>
      <c r="L15" s="207"/>
      <c r="M15" s="294"/>
      <c r="N15" s="302"/>
      <c r="O15" s="207"/>
      <c r="P15" s="175"/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5"/>
      <c r="D16" s="207"/>
      <c r="E16" s="207"/>
      <c r="F16" s="302"/>
      <c r="G16" s="207"/>
      <c r="H16" s="11"/>
      <c r="I16" s="181"/>
      <c r="J16" s="275"/>
      <c r="K16" s="207"/>
      <c r="L16" s="207"/>
      <c r="M16" s="294"/>
      <c r="N16" s="302"/>
      <c r="O16" s="207"/>
      <c r="P16" s="175"/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5"/>
      <c r="D17" s="207"/>
      <c r="E17" s="207"/>
      <c r="F17" s="302"/>
      <c r="G17" s="207"/>
      <c r="H17" s="11"/>
      <c r="I17" s="181"/>
      <c r="J17" s="275"/>
      <c r="K17" s="207"/>
      <c r="L17" s="207"/>
      <c r="M17" s="294"/>
      <c r="N17" s="302"/>
      <c r="O17" s="207"/>
      <c r="P17" s="175"/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5"/>
      <c r="D18" s="207"/>
      <c r="E18" s="207"/>
      <c r="F18" s="302"/>
      <c r="G18" s="207"/>
      <c r="H18" s="11"/>
      <c r="I18" s="181"/>
      <c r="J18" s="275"/>
      <c r="K18" s="207"/>
      <c r="L18" s="207"/>
      <c r="M18" s="294"/>
      <c r="N18" s="302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5"/>
      <c r="D19" s="207"/>
      <c r="E19" s="207"/>
      <c r="F19" s="302"/>
      <c r="G19" s="207"/>
      <c r="H19" s="11"/>
      <c r="I19" s="181"/>
      <c r="J19" s="275"/>
      <c r="K19" s="207"/>
      <c r="L19" s="207"/>
      <c r="M19" s="294"/>
      <c r="N19" s="302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5"/>
      <c r="D20" s="207"/>
      <c r="E20" s="207"/>
      <c r="F20" s="302"/>
      <c r="G20" s="207"/>
      <c r="H20" s="11"/>
      <c r="I20" s="181"/>
      <c r="J20" s="275"/>
      <c r="K20" s="207"/>
      <c r="L20" s="207"/>
      <c r="M20" s="294"/>
      <c r="N20" s="302"/>
      <c r="O20" s="207"/>
      <c r="P20" s="227"/>
      <c r="Q20" s="11"/>
      <c r="R20" s="227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5"/>
      <c r="D21" s="207"/>
      <c r="E21" s="207"/>
      <c r="F21" s="302"/>
      <c r="G21" s="207"/>
      <c r="H21" s="11"/>
      <c r="I21" s="181"/>
      <c r="J21" s="275"/>
      <c r="K21" s="207"/>
      <c r="L21" s="207"/>
      <c r="M21" s="294"/>
      <c r="N21" s="302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5"/>
      <c r="D22" s="207"/>
      <c r="E22" s="207"/>
      <c r="F22" s="302"/>
      <c r="G22" s="207"/>
      <c r="H22" s="11"/>
      <c r="I22" s="181"/>
      <c r="J22" s="275"/>
      <c r="K22" s="207"/>
      <c r="L22" s="207"/>
      <c r="M22" s="294"/>
      <c r="N22" s="302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8"/>
      <c r="C23" s="299"/>
      <c r="D23" s="162"/>
      <c r="E23" s="162"/>
      <c r="F23" s="303"/>
      <c r="G23" s="207"/>
      <c r="H23" s="11"/>
      <c r="I23" s="288"/>
      <c r="J23" s="162"/>
      <c r="K23" s="162"/>
      <c r="L23" s="162"/>
      <c r="M23" s="295"/>
      <c r="N23" s="303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1" t="s">
        <v>279</v>
      </c>
      <c r="C26" s="207"/>
      <c r="D26" s="207"/>
      <c r="E26" s="207"/>
      <c r="F26" s="207"/>
      <c r="G26" s="207"/>
      <c r="H26" s="207"/>
      <c r="I26" s="311" t="s">
        <v>275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9" t="s">
        <v>280</v>
      </c>
      <c r="C27" s="270"/>
      <c r="D27" s="270"/>
      <c r="E27" s="270"/>
      <c r="F27" s="271"/>
      <c r="G27" s="207"/>
      <c r="H27" s="207"/>
      <c r="I27" s="381" t="s">
        <v>281</v>
      </c>
      <c r="J27" s="382"/>
      <c r="K27" s="382"/>
      <c r="L27" s="382"/>
      <c r="M27" s="382"/>
      <c r="N27" s="383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7" t="s">
        <v>266</v>
      </c>
      <c r="C28" s="267" t="s">
        <v>33</v>
      </c>
      <c r="D28" s="272" t="s">
        <v>269</v>
      </c>
      <c r="E28" s="267" t="s">
        <v>267</v>
      </c>
      <c r="F28" s="300" t="s">
        <v>271</v>
      </c>
      <c r="G28" s="207"/>
      <c r="H28" s="207"/>
      <c r="I28" s="300" t="s">
        <v>266</v>
      </c>
      <c r="J28" s="267" t="s">
        <v>33</v>
      </c>
      <c r="K28" s="272" t="s">
        <v>265</v>
      </c>
      <c r="L28" s="293" t="s">
        <v>269</v>
      </c>
      <c r="M28" s="300" t="s">
        <v>267</v>
      </c>
      <c r="N28" s="300" t="s">
        <v>271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1">
        <v>220</v>
      </c>
      <c r="C29" s="275" t="s">
        <v>169</v>
      </c>
      <c r="D29" s="292">
        <v>0.1</v>
      </c>
      <c r="E29" s="293">
        <v>3</v>
      </c>
      <c r="F29" s="293" t="s">
        <v>277</v>
      </c>
      <c r="G29" s="207"/>
      <c r="H29" s="207"/>
      <c r="I29" s="281">
        <v>200</v>
      </c>
      <c r="J29" s="275" t="s">
        <v>173</v>
      </c>
      <c r="K29" s="207">
        <v>2</v>
      </c>
      <c r="L29" s="292">
        <v>0.1</v>
      </c>
      <c r="M29" s="292">
        <v>3</v>
      </c>
      <c r="N29" s="300" t="s">
        <v>276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/>
      <c r="C30" s="275"/>
      <c r="D30" s="207"/>
      <c r="E30" s="294"/>
      <c r="F30" s="294"/>
      <c r="G30" s="207"/>
      <c r="H30" s="207"/>
      <c r="I30" s="181"/>
      <c r="J30" s="275"/>
      <c r="K30" s="207"/>
      <c r="L30" s="207"/>
      <c r="M30" s="207"/>
      <c r="N30" s="302"/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75"/>
      <c r="D31" s="207"/>
      <c r="E31" s="294"/>
      <c r="F31" s="294"/>
      <c r="G31" s="207"/>
      <c r="H31" s="207"/>
      <c r="I31" s="181"/>
      <c r="J31" s="275"/>
      <c r="K31" s="207"/>
      <c r="L31" s="207"/>
      <c r="M31" s="207"/>
      <c r="N31" s="302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275"/>
      <c r="D32" s="207"/>
      <c r="E32" s="294"/>
      <c r="F32" s="294"/>
      <c r="G32" s="207"/>
      <c r="H32" s="207"/>
      <c r="I32" s="181"/>
      <c r="J32" s="275"/>
      <c r="K32" s="207"/>
      <c r="L32" s="207"/>
      <c r="M32" s="207"/>
      <c r="N32" s="302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275"/>
      <c r="D33" s="207"/>
      <c r="E33" s="294"/>
      <c r="F33" s="294"/>
      <c r="G33" s="207"/>
      <c r="H33" s="207"/>
      <c r="I33" s="181"/>
      <c r="J33" s="275"/>
      <c r="K33" s="207"/>
      <c r="L33" s="207"/>
      <c r="M33" s="207"/>
      <c r="N33" s="302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275"/>
      <c r="D34" s="207"/>
      <c r="E34" s="294"/>
      <c r="F34" s="294"/>
      <c r="G34" s="207"/>
      <c r="H34" s="207"/>
      <c r="I34" s="181"/>
      <c r="J34" s="275"/>
      <c r="K34" s="207"/>
      <c r="L34" s="207"/>
      <c r="M34" s="207"/>
      <c r="N34" s="302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275"/>
      <c r="D35" s="207"/>
      <c r="E35" s="294"/>
      <c r="F35" s="294"/>
      <c r="G35" s="207"/>
      <c r="H35" s="207"/>
      <c r="I35" s="181"/>
      <c r="J35" s="275"/>
      <c r="K35" s="207"/>
      <c r="L35" s="207"/>
      <c r="M35" s="207"/>
      <c r="N35" s="302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275"/>
      <c r="D36" s="207"/>
      <c r="E36" s="294"/>
      <c r="F36" s="294"/>
      <c r="G36" s="207"/>
      <c r="H36" s="207"/>
      <c r="I36" s="181"/>
      <c r="J36" s="275"/>
      <c r="K36" s="207"/>
      <c r="L36" s="207"/>
      <c r="M36" s="207"/>
      <c r="N36" s="302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275"/>
      <c r="D37" s="207"/>
      <c r="E37" s="294"/>
      <c r="F37" s="294"/>
      <c r="G37" s="207"/>
      <c r="H37" s="207"/>
      <c r="I37" s="181"/>
      <c r="J37" s="275"/>
      <c r="K37" s="207"/>
      <c r="L37" s="207"/>
      <c r="M37" s="207"/>
      <c r="N37" s="302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275"/>
      <c r="D38" s="207"/>
      <c r="E38" s="294"/>
      <c r="F38" s="294"/>
      <c r="G38" s="207"/>
      <c r="H38" s="207"/>
      <c r="I38" s="181"/>
      <c r="J38" s="275"/>
      <c r="K38" s="207"/>
      <c r="L38" s="207"/>
      <c r="M38" s="207"/>
      <c r="N38" s="302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181"/>
      <c r="C39" s="275"/>
      <c r="D39" s="207"/>
      <c r="E39" s="294"/>
      <c r="F39" s="294"/>
      <c r="G39" s="207"/>
      <c r="H39" s="207"/>
      <c r="I39" s="181"/>
      <c r="J39" s="275"/>
      <c r="K39" s="207"/>
      <c r="L39" s="207"/>
      <c r="M39" s="207"/>
      <c r="N39" s="302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275"/>
      <c r="D40" s="207"/>
      <c r="E40" s="294"/>
      <c r="F40" s="294"/>
      <c r="G40" s="207"/>
      <c r="H40" s="207"/>
      <c r="I40" s="181"/>
      <c r="J40" s="275"/>
      <c r="K40" s="207"/>
      <c r="L40" s="207"/>
      <c r="M40" s="207"/>
      <c r="N40" s="302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8"/>
      <c r="C41" s="162"/>
      <c r="D41" s="162"/>
      <c r="E41" s="295"/>
      <c r="F41" s="295"/>
      <c r="G41" s="207"/>
      <c r="H41" s="207"/>
      <c r="I41" s="288"/>
      <c r="J41" s="162"/>
      <c r="K41" s="162"/>
      <c r="L41" s="162"/>
      <c r="M41" s="162"/>
      <c r="N41" s="303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1" t="s">
        <v>274</v>
      </c>
      <c r="C45" s="11"/>
      <c r="D45" s="11"/>
      <c r="E45" s="11"/>
      <c r="F45" s="11"/>
      <c r="G45" s="11"/>
      <c r="H45" s="11"/>
      <c r="I45" s="311" t="s">
        <v>287</v>
      </c>
      <c r="J45" s="11"/>
      <c r="K45" s="11"/>
      <c r="L45" s="11"/>
      <c r="M45" s="11"/>
      <c r="N45" s="311" t="s">
        <v>288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1" t="s">
        <v>272</v>
      </c>
      <c r="C46" s="382"/>
      <c r="D46" s="382"/>
      <c r="E46" s="382"/>
      <c r="F46" s="383"/>
      <c r="H46" s="11"/>
      <c r="I46" s="381" t="s">
        <v>289</v>
      </c>
      <c r="J46" s="382"/>
      <c r="K46" s="382"/>
      <c r="L46" s="383"/>
      <c r="M46" s="11"/>
      <c r="N46" s="381" t="s">
        <v>290</v>
      </c>
      <c r="O46" s="382"/>
      <c r="P46" s="382"/>
      <c r="Q46" s="383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300" t="s">
        <v>266</v>
      </c>
      <c r="C47" s="300" t="s">
        <v>33</v>
      </c>
      <c r="D47" s="293" t="s">
        <v>269</v>
      </c>
      <c r="E47" s="300" t="s">
        <v>267</v>
      </c>
      <c r="F47" s="300" t="s">
        <v>271</v>
      </c>
      <c r="G47" s="11"/>
      <c r="H47" s="11"/>
      <c r="I47" s="300" t="s">
        <v>266</v>
      </c>
      <c r="J47" s="293" t="s">
        <v>269</v>
      </c>
      <c r="K47" s="300" t="s">
        <v>267</v>
      </c>
      <c r="L47" s="300" t="s">
        <v>271</v>
      </c>
      <c r="M47" s="11"/>
      <c r="N47" s="300" t="s">
        <v>266</v>
      </c>
      <c r="O47" s="293" t="s">
        <v>269</v>
      </c>
      <c r="P47" s="300" t="s">
        <v>267</v>
      </c>
      <c r="Q47" s="300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1">
        <v>555</v>
      </c>
      <c r="C48" s="298" t="s">
        <v>285</v>
      </c>
      <c r="D48" s="292">
        <v>0.2</v>
      </c>
      <c r="E48" s="292">
        <v>3</v>
      </c>
      <c r="F48" s="300" t="s">
        <v>278</v>
      </c>
      <c r="G48" s="11"/>
      <c r="H48" s="11"/>
      <c r="I48" s="281">
        <v>11</v>
      </c>
      <c r="J48" s="292">
        <v>0.2</v>
      </c>
      <c r="K48" s="293">
        <v>3</v>
      </c>
      <c r="L48" s="300" t="s">
        <v>276</v>
      </c>
      <c r="M48" s="11"/>
      <c r="N48" s="281">
        <v>3000</v>
      </c>
      <c r="O48" s="292">
        <v>0.2</v>
      </c>
      <c r="P48" s="293">
        <v>3</v>
      </c>
      <c r="Q48" s="300" t="s">
        <v>276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5"/>
      <c r="D49" s="207"/>
      <c r="E49" s="207"/>
      <c r="F49" s="302"/>
      <c r="G49" s="11"/>
      <c r="H49" s="11"/>
      <c r="I49" s="181"/>
      <c r="J49" s="207"/>
      <c r="K49" s="294"/>
      <c r="L49" s="302"/>
      <c r="M49" s="11"/>
      <c r="N49" s="181"/>
      <c r="O49" s="207"/>
      <c r="P49" s="294"/>
      <c r="Q49" s="302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5"/>
      <c r="D50" s="207"/>
      <c r="E50" s="207"/>
      <c r="F50" s="302"/>
      <c r="G50" s="11"/>
      <c r="H50" s="11"/>
      <c r="I50" s="181"/>
      <c r="J50" s="207"/>
      <c r="K50" s="294"/>
      <c r="L50" s="302"/>
      <c r="M50" s="11"/>
      <c r="N50" s="181"/>
      <c r="O50" s="207"/>
      <c r="P50" s="294"/>
      <c r="Q50" s="302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5"/>
      <c r="D51" s="207"/>
      <c r="E51" s="207"/>
      <c r="F51" s="302"/>
      <c r="G51" s="11"/>
      <c r="H51" s="11"/>
      <c r="I51" s="181"/>
      <c r="J51" s="207"/>
      <c r="K51" s="294"/>
      <c r="L51" s="302"/>
      <c r="M51" s="11"/>
      <c r="N51" s="181"/>
      <c r="O51" s="207"/>
      <c r="P51" s="294"/>
      <c r="Q51" s="302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5"/>
      <c r="D52" s="207"/>
      <c r="E52" s="207"/>
      <c r="F52" s="302"/>
      <c r="G52" s="11"/>
      <c r="H52" s="11"/>
      <c r="I52" s="181"/>
      <c r="J52" s="207"/>
      <c r="K52" s="294"/>
      <c r="L52" s="302"/>
      <c r="M52" s="11"/>
      <c r="N52" s="181"/>
      <c r="O52" s="207"/>
      <c r="P52" s="294"/>
      <c r="Q52" s="302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5"/>
      <c r="D53" s="207"/>
      <c r="E53" s="207"/>
      <c r="F53" s="302"/>
      <c r="G53" s="11"/>
      <c r="H53" s="11"/>
      <c r="I53" s="181"/>
      <c r="J53" s="207"/>
      <c r="K53" s="294"/>
      <c r="L53" s="302"/>
      <c r="M53" s="11"/>
      <c r="N53" s="181"/>
      <c r="O53" s="207"/>
      <c r="P53" s="294"/>
      <c r="Q53" s="302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5"/>
      <c r="D54" s="207"/>
      <c r="E54" s="207"/>
      <c r="F54" s="302"/>
      <c r="G54" s="11"/>
      <c r="H54" s="11"/>
      <c r="I54" s="181"/>
      <c r="J54" s="207"/>
      <c r="K54" s="294"/>
      <c r="L54" s="302"/>
      <c r="M54" s="11"/>
      <c r="N54" s="181"/>
      <c r="O54" s="207"/>
      <c r="P54" s="294"/>
      <c r="Q54" s="302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5"/>
      <c r="D55" s="207"/>
      <c r="E55" s="207"/>
      <c r="F55" s="302"/>
      <c r="G55" s="11"/>
      <c r="H55" s="11"/>
      <c r="I55" s="181"/>
      <c r="J55" s="207"/>
      <c r="K55" s="294"/>
      <c r="L55" s="302"/>
      <c r="M55" s="11"/>
      <c r="N55" s="181"/>
      <c r="O55" s="207"/>
      <c r="P55" s="294"/>
      <c r="Q55" s="302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5"/>
      <c r="D56" s="207"/>
      <c r="E56" s="207"/>
      <c r="F56" s="302"/>
      <c r="G56" s="11"/>
      <c r="H56" s="11"/>
      <c r="I56" s="181"/>
      <c r="J56" s="207"/>
      <c r="K56" s="294"/>
      <c r="L56" s="302"/>
      <c r="M56" s="11"/>
      <c r="N56" s="181"/>
      <c r="O56" s="207"/>
      <c r="P56" s="294"/>
      <c r="Q56" s="302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5"/>
      <c r="D57" s="207"/>
      <c r="E57" s="207"/>
      <c r="F57" s="302"/>
      <c r="G57" s="11"/>
      <c r="H57" s="11"/>
      <c r="I57" s="181"/>
      <c r="J57" s="207"/>
      <c r="K57" s="294"/>
      <c r="L57" s="302"/>
      <c r="M57" s="11"/>
      <c r="N57" s="181"/>
      <c r="O57" s="207"/>
      <c r="P57" s="294"/>
      <c r="Q57" s="302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5"/>
      <c r="D58" s="207"/>
      <c r="E58" s="207"/>
      <c r="F58" s="302"/>
      <c r="G58" s="11"/>
      <c r="H58" s="11"/>
      <c r="I58" s="181"/>
      <c r="J58" s="207"/>
      <c r="K58" s="294"/>
      <c r="L58" s="302"/>
      <c r="M58" s="11"/>
      <c r="N58" s="181"/>
      <c r="O58" s="207"/>
      <c r="P58" s="294"/>
      <c r="Q58" s="302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5"/>
      <c r="D59" s="207"/>
      <c r="E59" s="207"/>
      <c r="F59" s="302"/>
      <c r="G59" s="11"/>
      <c r="H59" s="11"/>
      <c r="I59" s="181"/>
      <c r="J59" s="207"/>
      <c r="K59" s="294"/>
      <c r="L59" s="302"/>
      <c r="M59" s="11"/>
      <c r="N59" s="181"/>
      <c r="O59" s="207"/>
      <c r="P59" s="294"/>
      <c r="Q59" s="302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8"/>
      <c r="C60" s="299"/>
      <c r="D60" s="162"/>
      <c r="E60" s="162"/>
      <c r="F60" s="303"/>
      <c r="G60" s="11"/>
      <c r="H60" s="11"/>
      <c r="I60" s="288"/>
      <c r="J60" s="162"/>
      <c r="K60" s="295"/>
      <c r="L60" s="303"/>
      <c r="M60" s="11"/>
      <c r="N60" s="288"/>
      <c r="O60" s="162"/>
      <c r="P60" s="295"/>
      <c r="Q60" s="303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F29:F41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C29:C40 J29:J40 J11:J22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9" sqref="E1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5"/>
      <c r="L8" s="5"/>
      <c r="M8" s="318" t="s">
        <v>70</v>
      </c>
      <c r="N8" s="319"/>
      <c r="O8" s="319"/>
      <c r="P8" s="319"/>
      <c r="Q8" s="320"/>
      <c r="R8" s="5"/>
      <c r="S8" s="312" t="s">
        <v>76</v>
      </c>
      <c r="T8" s="313"/>
      <c r="U8" s="314"/>
      <c r="V8" s="12"/>
      <c r="W8" s="315" t="s">
        <v>106</v>
      </c>
      <c r="X8" s="316"/>
      <c r="Y8" s="316"/>
      <c r="Z8" s="317"/>
      <c r="AA8" s="11"/>
      <c r="AB8" s="315" t="s">
        <v>83</v>
      </c>
      <c r="AC8" s="316"/>
      <c r="AD8" s="316"/>
      <c r="AE8" s="316"/>
      <c r="AF8" s="317"/>
      <c r="AG8" s="11"/>
      <c r="AH8" s="315" t="s">
        <v>7</v>
      </c>
      <c r="AI8" s="316"/>
      <c r="AJ8" s="317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284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285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285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60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7" t="s">
        <v>75</v>
      </c>
      <c r="N12" s="255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8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9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9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173</v>
      </c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3" t="s">
        <v>169</v>
      </c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3" t="s">
        <v>172</v>
      </c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H8" sqref="H8:Q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6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6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3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3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3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245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1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7" zoomScale="75" zoomScaleNormal="47" workbookViewId="0">
      <selection activeCell="R41" sqref="R4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50">
        <v>10</v>
      </c>
      <c r="O10" s="250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1" t="s">
        <v>12</v>
      </c>
      <c r="O11" s="251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7" t="s">
        <v>75</v>
      </c>
      <c r="N12" s="250" t="s">
        <v>171</v>
      </c>
      <c r="O12" s="250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252" t="s">
        <v>172</v>
      </c>
      <c r="O13" s="243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252" t="s">
        <v>173</v>
      </c>
      <c r="O14" s="244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9"/>
      <c r="N15" s="243" t="s">
        <v>169</v>
      </c>
      <c r="O15" s="244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3" t="s">
        <v>178</v>
      </c>
      <c r="K16" s="5"/>
      <c r="L16" s="5"/>
      <c r="M16" s="249"/>
      <c r="N16" s="244"/>
      <c r="O16" s="244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9"/>
      <c r="N17" s="244"/>
      <c r="O17" s="244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9"/>
      <c r="N18" s="244"/>
      <c r="O18" s="244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9"/>
      <c r="N19" s="244"/>
      <c r="O19" s="244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4"/>
      <c r="N20" s="244"/>
      <c r="O20" s="244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4"/>
      <c r="N21" s="244"/>
      <c r="O21" s="244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4"/>
      <c r="N22" s="244"/>
      <c r="O22" s="244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4"/>
      <c r="N23" s="244"/>
      <c r="O23" s="244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4"/>
      <c r="N24" s="244"/>
      <c r="O24" s="244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4"/>
      <c r="N25" s="244"/>
      <c r="O25" s="244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4"/>
      <c r="N26" s="244"/>
      <c r="O26" s="244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71"/>
      <c r="J27" s="214"/>
      <c r="K27" s="5"/>
      <c r="L27" s="5"/>
      <c r="M27" s="245"/>
      <c r="N27" s="245"/>
      <c r="O27" s="245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306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4">
        <v>10</v>
      </c>
      <c r="J12" s="213" t="str">
        <f>J15</f>
        <v>t/h</v>
      </c>
      <c r="K12" s="5"/>
      <c r="L12" s="5"/>
      <c r="M12" s="247" t="s">
        <v>75</v>
      </c>
      <c r="N12" s="255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230</v>
      </c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3" t="s">
        <v>169</v>
      </c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3"/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AE13" sqref="AE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50">
        <v>7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1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1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7" t="s">
        <v>75</v>
      </c>
      <c r="N12" s="250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252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252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243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7"/>
      <c r="I17" s="69" t="s">
        <v>169</v>
      </c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9"/>
      <c r="I18" s="69" t="s">
        <v>171</v>
      </c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249"/>
      <c r="I19" s="69" t="s">
        <v>172</v>
      </c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249"/>
      <c r="I20" s="69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4"/>
      <c r="I21" s="69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244"/>
      <c r="I22" s="69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244"/>
      <c r="I23" s="81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244"/>
      <c r="I24" s="81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244"/>
      <c r="I25" s="81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244"/>
      <c r="I26" s="81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5"/>
      <c r="I27" s="80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H40" sqref="H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>
        <v>44</v>
      </c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4">
        <v>10</v>
      </c>
      <c r="J12" s="213" t="str">
        <f>J15</f>
        <v>t/h</v>
      </c>
      <c r="K12" s="5"/>
      <c r="L12" s="5"/>
      <c r="M12" s="247" t="s">
        <v>75</v>
      </c>
      <c r="N12" s="255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230</v>
      </c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3" t="s">
        <v>169</v>
      </c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3"/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AF35" sqref="AF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3" t="s">
        <v>73</v>
      </c>
      <c r="N10" s="250">
        <v>1E-4</v>
      </c>
      <c r="O10" s="178">
        <v>0.1</v>
      </c>
      <c r="P10" s="256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4" t="s">
        <v>74</v>
      </c>
      <c r="N11" s="251" t="s">
        <v>12</v>
      </c>
      <c r="O11" s="124" t="s">
        <v>12</v>
      </c>
      <c r="P11" s="257"/>
      <c r="Q11" s="258"/>
      <c r="R11" s="113"/>
      <c r="S11" s="102">
        <v>2000</v>
      </c>
      <c r="T11" s="103" t="s">
        <v>14</v>
      </c>
      <c r="U11" s="104">
        <v>0.05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60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7" t="s">
        <v>75</v>
      </c>
      <c r="N12" s="250" t="s">
        <v>171</v>
      </c>
      <c r="O12" s="250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8"/>
      <c r="N13" s="252" t="s">
        <v>172</v>
      </c>
      <c r="O13" s="252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9"/>
      <c r="N14" s="252" t="s">
        <v>173</v>
      </c>
      <c r="O14" s="252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9"/>
      <c r="N15" s="243" t="s">
        <v>169</v>
      </c>
      <c r="O15" s="243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3" t="s">
        <v>178</v>
      </c>
      <c r="K16" s="78"/>
      <c r="L16" s="78"/>
      <c r="M16" s="249"/>
      <c r="N16" s="244"/>
      <c r="O16" s="244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9"/>
      <c r="N17" s="244"/>
      <c r="O17" s="244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9"/>
      <c r="N18" s="244"/>
      <c r="O18" s="244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9"/>
      <c r="N19" s="244"/>
      <c r="O19" s="244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4"/>
      <c r="N20" s="244"/>
      <c r="O20" s="244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4"/>
      <c r="N21" s="244"/>
      <c r="O21" s="244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4"/>
      <c r="N22" s="244"/>
      <c r="O22" s="244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4"/>
      <c r="N23" s="244"/>
      <c r="O23" s="244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4"/>
      <c r="N24" s="244"/>
      <c r="O24" s="244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4"/>
      <c r="N25" s="244"/>
      <c r="O25" s="244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4"/>
      <c r="N26" s="244"/>
      <c r="O26" s="244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71"/>
      <c r="J27" s="214"/>
      <c r="K27" s="78"/>
      <c r="L27" s="78"/>
      <c r="M27" s="245"/>
      <c r="N27" s="245"/>
      <c r="O27" s="245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6" zoomScale="70" zoomScaleNormal="70" workbookViewId="0">
      <selection activeCell="AL12" sqref="AL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2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1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60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5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2" t="s">
        <v>175</v>
      </c>
      <c r="J16" s="95" t="s">
        <v>178</v>
      </c>
      <c r="K16" s="5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3"/>
      <c r="J17" s="86" t="s">
        <v>178</v>
      </c>
      <c r="K17" s="5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3"/>
      <c r="J18" s="86" t="s">
        <v>178</v>
      </c>
      <c r="K18" s="5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3"/>
      <c r="J19" s="86" t="s">
        <v>178</v>
      </c>
      <c r="K19" s="5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3"/>
      <c r="J20" s="86" t="s">
        <v>178</v>
      </c>
      <c r="K20" s="5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3"/>
      <c r="J21" s="86" t="s">
        <v>178</v>
      </c>
      <c r="K21" s="5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86" t="s">
        <v>178</v>
      </c>
      <c r="K22" s="5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86" t="s">
        <v>178</v>
      </c>
      <c r="K23" s="5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86" t="s">
        <v>178</v>
      </c>
      <c r="K24" s="5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86" t="s">
        <v>178</v>
      </c>
      <c r="K25" s="5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86" t="s">
        <v>178</v>
      </c>
      <c r="K26" s="5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64" t="s">
        <v>178</v>
      </c>
      <c r="K27" s="5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2023-10-30T12:39:14Z</dcterms:modified>
</cp:coreProperties>
</file>