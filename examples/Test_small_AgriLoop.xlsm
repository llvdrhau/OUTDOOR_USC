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E9E0FC0A-1944-4B72-9149-6F5E22F919DE}" xr6:coauthVersionLast="47" xr6:coauthVersionMax="47" xr10:uidLastSave="{00000000-0000-0000-0000-000000000000}"/>
  <bookViews>
    <workbookView xWindow="28680" yWindow="-885" windowWidth="29040" windowHeight="17520" tabRatio="798" activeTab="11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40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<sst xmlns="http://schemas.openxmlformats.org/spreadsheetml/2006/main" count="2142" uniqueCount="319">
  <si>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</si>
  <si>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</si>
  <si>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</si>
  <si>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</si>
  <si>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</si>
  <si>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</si>
  <si>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</si>
  <si>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</si>
  <si>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</si>
  <si>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</si>
  <si>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</si>
  <si>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</si>
  <si>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</si>
  <si>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</si>
  <si>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</si>
  <si>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</si>
  <si>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</si>
  <si>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</si>
  <si>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</si>
  <si>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</si>
  <si>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</si>
  <si>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</si>
  <si>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</si>
  <si>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</si>
  <si>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</si>
  <si>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</si>
  <si>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</si>
  <si>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</si>
  <si>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</si>
  <si>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</si>
  <si>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</si>
  <si>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</si>
  <si>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</si>
  <si>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</si>
  <si>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</si>
  <si>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</si>
  <si>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</si>
  <si>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</si>
  <si>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</si>
  <si>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</si>
  <si>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</si>
  <si>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</si>
  <si>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</si>
  <si>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</si>
  <si>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</si>
  <si>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</si>
  <si>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</si>
  <si>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</si>
  <si>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</si>
  <si>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</si>
  <si>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</si>
  <si>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</si>
  <si>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</si>
  <si>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</si>
  <si>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</si>
  <si>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</si>
  <si>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</si>
  <si>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</si>
  <si>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</si>
  <si>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</si>
  <si>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</si>
  <si>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</si>
  <si>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</si>
  <si>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</si>
  <si>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</si>
  <si>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</si>
  <si>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</si>
  <si>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</si>
  <si>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</si>
  <si>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</si>
  <si>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</si>
  <si>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</si>
  <si>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</si>
  <si>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</si>
  <si>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</si>
  <si>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</si>
  <si>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</si>
  <si>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</si>
  <si>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</si>
  <si>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</si>
  <si>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</si>
  <si>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</si>
  <si>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</si>
  <si>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</si>
  <si>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</si>
  <si>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</si>
  <si>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</si>
  <si>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</si>
  <si>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</si>
  <si>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</si>
  <si>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</si>
  <si>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</si>
  <si>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</si>
  <si>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</si>
  <si>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</si>
  <si>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</si>
  <si>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</si>
  <si>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</si>
  <si>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</si>
  <si>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</si>
  <si>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</si>
  <si>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</si>
  <si>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</si>
  <si>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</si>
  <si>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</si>
  <si>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</si>
  <si>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</si>
  <si>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</si>
  <si>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</si>
  <si>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</si>
  <si>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</si>
  <si>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</si>
  <si>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</si>
  <si>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</si>
  <si>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</si>
  <si>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</si>
  <si>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</si>
  <si>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</si>
  <si>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</si>
  <si>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</si>
  <si>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</si>
  <si>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</si>
  <si>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</si>
  <si>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</si>
  <si>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</si>
  <si>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</si>
  <si>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</si>
  <si>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</si>
  <si>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</si>
  <si>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</si>
  <si>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</si>
  <si>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</si>
  <si>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</si>
  <si>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</si>
  <si>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</si>
  <si>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</si>
  <si>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</si>
  <si>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</si>
  <si>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</si>
  <si>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</si>
  <si>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</si>
  <si>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</si>
  <si>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</si>
  <si>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</si>
  <si>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</si>
  <si>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</si>
  <si>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</si>
  <si>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</si>
  <si>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</si>
  <si>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</si>
  <si>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</si>
  <si>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</si>
  <si>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</si>
  <si>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</si>
  <si>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</si>
  <si>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</si>
  <si>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</si>
  <si>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</si>
  <si>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</si>
  <si>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</si>
  <si>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</si>
  <si>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</si>
  <si>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</si>
  <si>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</si>
  <si>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</si>
  <si>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</si>
  <si>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</si>
  <si>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</si>
  <si>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</si>
  <si>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</si>
  <si>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</si>
  <si>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</si>
  <si>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</si>
  <si>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</si>
  <si>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</si>
  <si>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</si>
  <si>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</si>
  <si>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</si>
  <si>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</si>
  <si>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</si>
  <si>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</si>
  <si>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</si>
  <si>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</si>
  <si>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</si>
  <si>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</si>
  <si>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</si>
  <si>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</si>
  <si>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</si>
  <si>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</si>
  <si>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</si>
  <si>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</si>
  <si>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</si>
  <si>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</si>
  <si>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</si>
  <si>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</si>
  <si>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</si>
  <si>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</si>
  <si>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</si>
  <si>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</si>
  <si>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</si>
  <si>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</si>
  <si>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</si>
  <si>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</si>
  <si>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</si>
  <si>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</si>
  <si>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</si>
  <si>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</si>
  <si>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</si>
  <si>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</si>
  <si>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</si>
  <si>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</si>
  <si>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</si>
  <si>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</si>
  <si>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</si>
  <si>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</si>
  <si>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</si>
  <si>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</si>
  <si>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</si>
  <si>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</si>
  <si>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</si>
  <si>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</si>
  <si>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</si>
  <si>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</si>
  <si>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</si>
  <si>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</si>
  <si>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</si>
  <si>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</si>
  <si>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</si>
  <si>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</si>
  <si>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</si>
  <si>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</si>
  <si>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</si>
  <si>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</si>
  <si>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</si>
  <si>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</si>
  <si>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</si>
  <si>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</si>
  <si>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</si>
  <si>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</si>
  <si>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</si>
  <si>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</si>
  <si>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</si>
  <si>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</si>
  <si>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</si>
  <si>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</si>
  <si>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</si>
  <si>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</si>
  <si>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</si>
  <si>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</si>
  <si>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</si>
  <si>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</si>
  <si>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</si>
  <si>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</si>
  <si>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</si>
  <si>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</si>
  <si>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</si>
  <si>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</si>
  <si>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</si>
  <si>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</si>
  <si>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</si>
  <si>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</si>
  <si>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</si>
  <si>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</si>
  <si>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</si>
  <si>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</si>
  <si>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</si>
  <si>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</si>
  <si>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</si>
  <si>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</si>
  <si>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</si>
  <si>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</si>
  <si>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</si>
  <si>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</si>
  <si>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</si>
  <si>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</si>
  <si>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</si>
  <si>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</si>
  <si>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</si>
  <si>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</si>
  <si>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</si>
  <si>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</si>
  <si>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</si>
  <si>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</si>
  <si>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</si>
  <si>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</si>
  <si>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</si>
  <si>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</si>
  <si>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</si>
  <si>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</si>
  <si>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</si>
  <si>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</si>
  <si>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</si>
  <si>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</si>
  <si>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</si>
  <si>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</si>
  <si>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</si>
  <si>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</si>
  <si>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</si>
  <si>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</si>
  <si>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</si>
  <si>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</si>
  <si>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</si>
  <si>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Solvent recov 1</t>
  </si>
  <si>
    <t>Plastic Reactor</t>
  </si>
  <si>
    <t>h/y</t>
  </si>
  <si>
    <t xml:space="preserve">Units </t>
  </si>
  <si>
    <t>MinProduction</t>
  </si>
  <si>
    <t>MaxProduction</t>
  </si>
  <si>
    <t>Target unit</t>
  </si>
  <si>
    <t>Composition Exclusion  (phi)</t>
  </si>
  <si>
    <t>Excluded components</t>
  </si>
  <si>
    <t>Nr of scenarios</t>
  </si>
  <si>
    <t>level ^ (#Groups)</t>
  </si>
  <si>
    <t>Product prices</t>
  </si>
  <si>
    <t>[0.1, 0.8, 0.1]</t>
  </si>
  <si>
    <t>Probabilities</t>
  </si>
  <si>
    <t>[0.3, 0.7]</t>
  </si>
  <si>
    <t>[0.25, 0.5, 0.25]</t>
  </si>
  <si>
    <t>[0.2, 0.7, 0.1]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</si>
</sst>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96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0" fillId="5" borderId="16" xfId="0" applyFill="1" applyBorder="1"/>
    <xf numFmtId="0" fontId="0" fillId="5" borderId="11" xfId="0" applyFill="1" applyBorder="1" applyAlignment="1">
      <alignment horizontal="center" vertical="center"/>
    </xf>
    <xf numFmtId="0" fontId="0" fillId="0" borderId="14" xfId="0" applyBorder="1"/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165" fontId="0" fillId="5" borderId="0" xfId="0" applyNumberFormat="1" applyFill="1" applyAlignment="1">
      <alignment horizontal="center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180975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104775</xdr:rowOff>
        </xdr:from>
        <xdr:to>
          <xdr:col>2</xdr:col>
          <xdr:colOff>866775</xdr:colOff>
          <xdr:row>37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1362075</xdr:colOff>
          <xdr:row>39</xdr:row>
          <xdr:rowOff>104775</xdr:rowOff>
        </xdr:from>
        <xdr:to>
          <xdr:col>2</xdr:col>
          <xdr:colOff>847725</xdr:colOff>
          <xdr:row>42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847725</xdr:colOff>
          <xdr:row>47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752475</xdr:colOff>
          <xdr:row>51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243416</xdr:colOff>
      <xdr:row>26</xdr:row>
      <xdr:rowOff>158748</xdr:rowOff>
    </xdr:from>
    <xdr:to>
      <xdr:col>20</xdr:col>
      <xdr:colOff>14816</xdr:colOff>
      <xdr:row>40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5409333" y="5249331"/>
          <a:ext cx="3285066" cy="26246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aseline="0"/>
        </a:p>
        <a:p>
          <a:r>
            <a:rPr lang="en-US" sz="1100" baseline="0"/>
            <a:t>Speciefe individually what the odds are as a vecotr, of each value occuring! </a:t>
          </a:r>
        </a:p>
        <a:p>
          <a:endParaRPr lang="en-US" sz="1100" baseline="0"/>
        </a:p>
        <a:p>
          <a:r>
            <a:rPr lang="en-US" sz="1100" baseline="0"/>
            <a:t>the odds of a scenario then happening is the product of all the odds of each uncertain parameter of that scenario</a:t>
          </a:r>
        </a:p>
        <a:p>
          <a:endParaRPr lang="en-US" sz="1100" baseline="0"/>
        </a:p>
        <a:p>
          <a:r>
            <a:rPr lang="en-US" sz="1100" baseline="0"/>
            <a:t>WARNING for grouped scenarios the probility of a value occuring is EQUAL TO THE REFERENCE parameter of that group!! (otherwise sum of probalities does not add up to one) </a:t>
          </a:r>
        </a:p>
        <a:p>
          <a:r>
            <a:rPr lang="en-US" sz="1100" baseline="0"/>
            <a:t>if nothing specified then equal odds for all parms assumed 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398824</xdr:colOff>
      <xdr:row>44</xdr:row>
      <xdr:rowOff>38099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5007" y="4542367"/>
          <a:ext cx="7916166" cy="4040716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19493442" y="2825751"/>
          <a:ext cx="3504141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E10" sqref="E10"/>
    </sheetView>
  </sheetViews>
  <sheetFormatPr baseColWidth="10" defaultColWidth="10.85546875" defaultRowHeight="15.75" x14ac:dyDescent="0.25"/>
  <cols>
    <col min="1" max="1" width="19.42578125" style="2" customWidth="1"/>
    <col min="2" max="2" width="41.28515625" style="2" customWidth="1"/>
    <col min="3" max="3" width="26" style="2" bestFit="1" customWidth="1"/>
    <col min="4" max="4" width="13.85546875" style="2" customWidth="1"/>
    <col min="5" max="6" width="21.28515625" style="2" customWidth="1"/>
    <col min="7" max="7" width="17.7109375" style="2" customWidth="1"/>
    <col min="8" max="8" width="22.7109375" style="2" bestFit="1" customWidth="1"/>
    <col min="9" max="9" width="21.85546875" style="2" bestFit="1" customWidth="1"/>
    <col min="10" max="10" width="21" style="2" bestFit="1" customWidth="1"/>
    <col min="11" max="11" width="19.28515625" style="2" customWidth="1"/>
    <col min="12" max="13" width="20.140625" style="2" customWidth="1"/>
    <col min="14" max="14" width="28.85546875" style="2" bestFit="1" customWidth="1"/>
    <col min="15" max="15" width="32.5703125" style="2" bestFit="1" customWidth="1"/>
    <col min="16" max="16" width="21.140625" style="2" bestFit="1" customWidth="1"/>
    <col min="17" max="17" width="16" style="2" bestFit="1" customWidth="1"/>
    <col min="18" max="18" width="22.85546875" style="2" bestFit="1" customWidth="1"/>
    <col min="19" max="19" width="23.85546875" style="2" bestFit="1" customWidth="1"/>
    <col min="20" max="20" width="19.85546875" style="2" bestFit="1" customWidth="1"/>
    <col min="21" max="21" width="19.28515625" style="2" customWidth="1"/>
    <col min="22" max="22" width="23.28515625" style="2" bestFit="1" customWidth="1"/>
    <col min="23" max="23" width="20.140625" style="2" bestFit="1" customWidth="1"/>
    <col min="24" max="24" width="10.85546875" style="2"/>
    <col min="25" max="25" width="10.85546875" style="2" customWidth="1"/>
    <col min="26" max="16384" width="10.85546875" style="2"/>
  </cols>
  <sheetData>
    <row r="1" spans="1:29" ht="21.75" thickBot="1" x14ac:dyDescent="0.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.5" thickBot="1" x14ac:dyDescent="0.3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3">
      <c r="A3" s="37"/>
      <c r="B3" s="343" t="s">
        <v>29</v>
      </c>
      <c r="C3" s="344"/>
      <c r="D3" s="345"/>
      <c r="F3" s="324" t="s">
        <v>32</v>
      </c>
      <c r="G3" s="325"/>
      <c r="H3" s="325"/>
      <c r="I3" s="325"/>
      <c r="J3" s="325"/>
      <c r="K3" s="326"/>
      <c r="L3" s="14"/>
      <c r="M3" s="14"/>
      <c r="N3" s="349" t="s">
        <v>35</v>
      </c>
      <c r="O3" s="350"/>
      <c r="P3" s="351"/>
      <c r="Q3" s="14"/>
      <c r="R3" s="14"/>
      <c r="S3" s="352" t="s">
        <v>39</v>
      </c>
      <c r="T3" s="353"/>
      <c r="U3" s="353"/>
      <c r="V3" s="354"/>
      <c r="W3" s="14"/>
      <c r="X3" s="14"/>
      <c r="Y3" s="14"/>
      <c r="Z3" s="36"/>
      <c r="AA3" s="14"/>
      <c r="AB3" s="14"/>
      <c r="AC3" s="14"/>
    </row>
    <row r="4" spans="1:29" ht="107.1" customHeight="1" thickBot="1" x14ac:dyDescent="0.3">
      <c r="A4" s="37"/>
      <c r="B4" s="188" t="s">
        <v>30</v>
      </c>
      <c r="C4" s="189" t="s">
        <v>0</v>
      </c>
      <c r="D4" s="233" t="s">
        <v>177</v>
      </c>
      <c r="E4" s="14"/>
      <c r="F4" s="184" t="s">
        <v>33</v>
      </c>
      <c r="G4" s="185" t="s">
        <v>186</v>
      </c>
      <c r="H4" s="185" t="s">
        <v>184</v>
      </c>
      <c r="I4" s="185" t="s">
        <v>185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75" x14ac:dyDescent="0.3">
      <c r="A5" s="62"/>
      <c r="B5" s="26" t="s">
        <v>27</v>
      </c>
      <c r="C5" s="28" t="s">
        <v>168</v>
      </c>
      <c r="D5" s="234" t="s">
        <v>178</v>
      </c>
      <c r="E5" s="14"/>
      <c r="F5" s="24" t="s">
        <v>171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195</v>
      </c>
      <c r="P5" s="28" t="s">
        <v>173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75" x14ac:dyDescent="0.3">
      <c r="A6" s="37"/>
      <c r="B6" s="24" t="s">
        <v>28</v>
      </c>
      <c r="C6" s="30" t="s">
        <v>167</v>
      </c>
      <c r="D6" s="235" t="s">
        <v>178</v>
      </c>
      <c r="E6" s="14"/>
      <c r="F6" s="24" t="s">
        <v>172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198</v>
      </c>
      <c r="P6" s="30" t="s">
        <v>173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.5" thickBot="1" x14ac:dyDescent="0.35">
      <c r="A7" s="37"/>
      <c r="B7" s="190" t="s">
        <v>130</v>
      </c>
      <c r="C7" s="191" t="s">
        <v>234</v>
      </c>
      <c r="D7" s="235" t="s">
        <v>178</v>
      </c>
      <c r="E7" s="14"/>
      <c r="F7" s="24" t="s">
        <v>173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199</v>
      </c>
      <c r="P7" s="30" t="s">
        <v>172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75" x14ac:dyDescent="0.3">
      <c r="A8" s="37"/>
      <c r="B8" s="231" t="s">
        <v>222</v>
      </c>
      <c r="C8" s="232" t="s">
        <v>221</v>
      </c>
      <c r="D8" s="235" t="s">
        <v>178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200</v>
      </c>
      <c r="P8" s="30" t="s">
        <v>171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75" x14ac:dyDescent="0.3">
      <c r="A9" s="37"/>
      <c r="B9" s="21" t="s">
        <v>299</v>
      </c>
      <c r="C9" s="30"/>
      <c r="D9" s="235" t="s">
        <v>178</v>
      </c>
      <c r="E9" s="14"/>
      <c r="F9" s="24" t="s">
        <v>175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201</v>
      </c>
      <c r="P9" s="30" t="s">
        <v>175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.5" thickBot="1" x14ac:dyDescent="0.35">
      <c r="A10" s="37"/>
      <c r="B10" s="27" t="s">
        <v>300</v>
      </c>
      <c r="C10" s="29"/>
      <c r="D10" s="235" t="s">
        <v>179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75" x14ac:dyDescent="0.3">
      <c r="A11" s="37"/>
      <c r="B11" s="20" t="s">
        <v>166</v>
      </c>
      <c r="C11" s="28">
        <v>8000</v>
      </c>
      <c r="D11" s="235" t="s">
        <v>304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.5" thickBot="1" x14ac:dyDescent="0.35">
      <c r="A12" s="37"/>
      <c r="B12" s="21" t="s">
        <v>31</v>
      </c>
      <c r="C12" s="30">
        <v>2018</v>
      </c>
      <c r="D12" s="236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 x14ac:dyDescent="0.35">
      <c r="A13" s="37"/>
      <c r="B13" s="21" t="s">
        <v>131</v>
      </c>
      <c r="C13" s="30">
        <v>0.05</v>
      </c>
      <c r="D13" s="236"/>
      <c r="E13" s="14"/>
      <c r="F13" s="24" t="s">
        <v>176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75" x14ac:dyDescent="0.3">
      <c r="A14" s="37"/>
      <c r="B14" s="23" t="s">
        <v>132</v>
      </c>
      <c r="C14" s="30" t="s">
        <v>116</v>
      </c>
      <c r="D14" s="236"/>
      <c r="E14" s="14"/>
      <c r="F14" s="24" t="s">
        <v>196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.5" thickBot="1" x14ac:dyDescent="0.35">
      <c r="A15" s="37"/>
      <c r="B15" s="27" t="s">
        <v>165</v>
      </c>
      <c r="C15" s="29">
        <v>0.04</v>
      </c>
      <c r="D15" s="236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75" x14ac:dyDescent="0.3">
      <c r="A16" s="37"/>
      <c r="B16" s="26" t="s">
        <v>93</v>
      </c>
      <c r="C16" s="28" t="s">
        <v>94</v>
      </c>
      <c r="D16" s="236"/>
      <c r="E16" s="14"/>
      <c r="F16" s="24" t="s">
        <v>230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75" x14ac:dyDescent="0.3">
      <c r="A17" s="63"/>
      <c r="B17" s="143" t="s">
        <v>95</v>
      </c>
      <c r="C17" s="144">
        <v>2.5</v>
      </c>
      <c r="D17" s="236"/>
      <c r="E17" s="14"/>
      <c r="F17" s="24" t="s">
        <v>284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.5" thickBot="1" x14ac:dyDescent="0.35">
      <c r="A18" s="37"/>
      <c r="B18" s="24" t="s">
        <v>96</v>
      </c>
      <c r="C18" s="30">
        <v>450</v>
      </c>
      <c r="D18" s="236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41"/>
      <c r="X18" s="341"/>
      <c r="Y18" s="341"/>
      <c r="Z18" s="342"/>
      <c r="AA18" s="14"/>
      <c r="AB18" s="14"/>
      <c r="AC18" s="14"/>
    </row>
    <row r="19" spans="1:29" ht="18.75" x14ac:dyDescent="0.3">
      <c r="A19" s="37"/>
      <c r="B19" s="24" t="s">
        <v>55</v>
      </c>
      <c r="C19" s="30">
        <v>15</v>
      </c>
      <c r="D19" s="235" t="s">
        <v>181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39"/>
      <c r="Z19" s="340"/>
      <c r="AA19" s="14"/>
      <c r="AB19" s="14"/>
      <c r="AC19" s="14"/>
    </row>
    <row r="20" spans="1:29" ht="18.75" x14ac:dyDescent="0.3">
      <c r="A20" s="37"/>
      <c r="B20" s="24" t="s">
        <v>97</v>
      </c>
      <c r="C20" s="30">
        <v>20</v>
      </c>
      <c r="D20" s="235" t="s">
        <v>183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39"/>
      <c r="Z20" s="340"/>
      <c r="AA20" s="14"/>
      <c r="AB20" s="14"/>
      <c r="AC20" s="14"/>
    </row>
    <row r="21" spans="1:29" ht="19.5" thickBot="1" x14ac:dyDescent="0.35">
      <c r="A21" s="37"/>
      <c r="B21" s="25" t="s">
        <v>98</v>
      </c>
      <c r="C21" s="29">
        <v>35</v>
      </c>
      <c r="D21" s="237" t="s">
        <v>183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39"/>
      <c r="Z21" s="340"/>
      <c r="AA21" s="14"/>
      <c r="AB21" s="14"/>
      <c r="AC21" s="14"/>
    </row>
    <row r="22" spans="1:29" ht="18.75" x14ac:dyDescent="0.3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39"/>
      <c r="Z22" s="340"/>
      <c r="AA22" s="14"/>
      <c r="AB22" s="14"/>
      <c r="AC22" s="14"/>
    </row>
    <row r="23" spans="1:29" ht="18.75" x14ac:dyDescent="0.3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55"/>
      <c r="U23" s="355"/>
      <c r="V23" s="8"/>
      <c r="W23" s="8"/>
      <c r="X23" s="8"/>
      <c r="Y23" s="8"/>
      <c r="Z23" s="22"/>
      <c r="AA23" s="14"/>
      <c r="AB23" s="14"/>
      <c r="AC23" s="14"/>
    </row>
    <row r="24" spans="1:29" ht="18.75" x14ac:dyDescent="0.3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75" x14ac:dyDescent="0.3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2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2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2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.5" thickBot="1" x14ac:dyDescent="0.3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75" thickBot="1" x14ac:dyDescent="0.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46" t="s">
        <v>133</v>
      </c>
      <c r="O30" s="347"/>
      <c r="P30" s="348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75" thickBot="1" x14ac:dyDescent="0.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46" t="s">
        <v>140</v>
      </c>
      <c r="T31" s="347"/>
      <c r="U31" s="347"/>
      <c r="V31" s="347"/>
      <c r="W31" s="348"/>
      <c r="X31" s="14"/>
      <c r="Y31" s="14"/>
      <c r="Z31" s="36"/>
      <c r="AA31" s="14"/>
      <c r="AB31" s="14"/>
      <c r="AC31" s="14"/>
    </row>
    <row r="32" spans="1:29" ht="21.75" thickBot="1" x14ac:dyDescent="0.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75" x14ac:dyDescent="0.3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.5" thickBot="1" x14ac:dyDescent="0.3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75" x14ac:dyDescent="0.3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3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75" x14ac:dyDescent="0.3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.5" thickBot="1" x14ac:dyDescent="0.35">
      <c r="A38" s="37"/>
      <c r="B38" s="14"/>
      <c r="C38" s="14"/>
      <c r="D38" s="14"/>
      <c r="E38" s="14"/>
      <c r="F38" s="2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75" x14ac:dyDescent="0.3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75" x14ac:dyDescent="0.3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.5" thickBot="1" x14ac:dyDescent="0.3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75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75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75" x14ac:dyDescent="0.3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75" x14ac:dyDescent="0.3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75" x14ac:dyDescent="0.3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75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75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75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75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75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75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25">
      <c r="H67" s="323" t="s">
        <v>22</v>
      </c>
    </row>
    <row r="72" spans="1:29" x14ac:dyDescent="0.25">
      <c r="A72" s="2" t="s">
        <v>22</v>
      </c>
    </row>
    <row r="79" spans="1:29" x14ac:dyDescent="0.25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104775</xdr:rowOff>
                  </from>
                  <to>
                    <xdr:col>2</xdr:col>
                    <xdr:colOff>866775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1362075</xdr:colOff>
                    <xdr:row>39</xdr:row>
                    <xdr:rowOff>104775</xdr:rowOff>
                  </from>
                  <to>
                    <xdr:col>2</xdr:col>
                    <xdr:colOff>847725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847725</xdr:colOff>
                    <xdr:row>47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752475</xdr:colOff>
                    <xdr:row>51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6" t="s">
        <v>75</v>
      </c>
      <c r="N12" s="254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6"/>
      <c r="E47" s="366"/>
      <c r="F47" s="366"/>
      <c r="G47" s="366"/>
      <c r="H47" s="366"/>
      <c r="I47" s="366"/>
      <c r="J47" s="366"/>
      <c r="K47" s="366"/>
      <c r="L47" s="36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7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/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.5" thickBot="1" x14ac:dyDescent="0.3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78"/>
      <c r="L11" s="78"/>
      <c r="M11" s="253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225</v>
      </c>
      <c r="F12" s="213" t="s">
        <v>178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213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25">
      <c r="A6" s="5"/>
      <c r="B6" s="5"/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86"/>
      <c r="AL6" s="5"/>
      <c r="AM6" s="5"/>
      <c r="AN6" s="5"/>
      <c r="AO6" s="5"/>
    </row>
    <row r="7" spans="1:41" ht="15.75" thickBot="1" x14ac:dyDescent="0.3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60" t="s">
        <v>76</v>
      </c>
      <c r="T8" s="361"/>
      <c r="U8" s="362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11"/>
      <c r="AH8" s="360" t="s">
        <v>7</v>
      </c>
      <c r="AI8" s="361"/>
      <c r="AJ8" s="362"/>
      <c r="AK8" s="86"/>
      <c r="AL8" s="5"/>
      <c r="AM8" s="5"/>
      <c r="AN8" s="5"/>
      <c r="AO8" s="5"/>
    </row>
    <row r="9" spans="1:41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75" x14ac:dyDescent="0.3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.5" thickBot="1" x14ac:dyDescent="0.3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75" x14ac:dyDescent="0.3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75" x14ac:dyDescent="0.3">
      <c r="A17" s="5"/>
      <c r="B17" s="5"/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75" x14ac:dyDescent="0.3">
      <c r="A18" s="5"/>
      <c r="B18" s="5"/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75" x14ac:dyDescent="0.3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75" x14ac:dyDescent="0.3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75" x14ac:dyDescent="0.3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75" x14ac:dyDescent="0.3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.5" thickBot="1" x14ac:dyDescent="0.3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.5" thickBot="1" x14ac:dyDescent="0.3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2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2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75" x14ac:dyDescent="0.2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75" x14ac:dyDescent="0.2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75" x14ac:dyDescent="0.2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75" x14ac:dyDescent="0.2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75" x14ac:dyDescent="0.2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75" x14ac:dyDescent="0.2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75" x14ac:dyDescent="0.2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75" x14ac:dyDescent="0.2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2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.75" thickBot="1" x14ac:dyDescent="0.3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22</v>
      </c>
    </row>
    <row r="137" spans="18:18" x14ac:dyDescent="0.2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.5" thickBot="1" x14ac:dyDescent="0.3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5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.5" thickBot="1" x14ac:dyDescent="0.3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213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L30" sqref="L30"/>
    </sheetView>
  </sheetViews>
  <sheetFormatPr baseColWidth="10" defaultColWidth="10.85546875" defaultRowHeight="15" x14ac:dyDescent="0.25"/>
  <cols>
    <col min="7" max="8" width="24.140625" bestFit="1" customWidth="1"/>
  </cols>
  <sheetData>
    <row r="1" spans="1:21" ht="15.75" x14ac:dyDescent="0.25">
      <c r="A1" t="s">
        <v>26</v>
      </c>
      <c r="B1" t="s">
        <v>189</v>
      </c>
      <c r="F1" s="1" t="s">
        <v>16</v>
      </c>
      <c r="L1" t="s">
        <v>138</v>
      </c>
    </row>
    <row r="2" spans="1:21" ht="15.75" x14ac:dyDescent="0.25">
      <c r="A2" t="s">
        <v>25</v>
      </c>
      <c r="B2" t="s">
        <v>189</v>
      </c>
      <c r="C2" t="s">
        <v>25</v>
      </c>
      <c r="F2" s="183" t="s">
        <v>116</v>
      </c>
      <c r="L2" t="s">
        <v>122</v>
      </c>
    </row>
    <row r="3" spans="1:21" ht="15.75" x14ac:dyDescent="0.25">
      <c r="A3" t="s">
        <v>12</v>
      </c>
      <c r="B3" t="s">
        <v>188</v>
      </c>
      <c r="C3" t="s">
        <v>12</v>
      </c>
      <c r="F3" s="230" t="s">
        <v>218</v>
      </c>
      <c r="L3" t="s">
        <v>139</v>
      </c>
    </row>
    <row r="4" spans="1:21" ht="15.75" x14ac:dyDescent="0.25">
      <c r="A4" t="s">
        <v>13</v>
      </c>
      <c r="B4" t="s">
        <v>188</v>
      </c>
      <c r="C4" t="s">
        <v>13</v>
      </c>
      <c r="F4" s="230" t="s">
        <v>219</v>
      </c>
      <c r="L4" t="s">
        <v>126</v>
      </c>
    </row>
    <row r="5" spans="1:21" ht="15.75" x14ac:dyDescent="0.25">
      <c r="A5" t="s">
        <v>20</v>
      </c>
      <c r="C5" t="s">
        <v>20</v>
      </c>
      <c r="F5" s="230" t="s">
        <v>220</v>
      </c>
      <c r="L5" t="s">
        <v>124</v>
      </c>
    </row>
    <row r="6" spans="1:21" x14ac:dyDescent="0.25">
      <c r="A6" t="s">
        <v>24</v>
      </c>
      <c r="C6" t="s">
        <v>24</v>
      </c>
      <c r="L6" t="s">
        <v>125</v>
      </c>
    </row>
    <row r="7" spans="1:21" x14ac:dyDescent="0.25">
      <c r="A7" t="s">
        <v>109</v>
      </c>
      <c r="L7" t="s">
        <v>123</v>
      </c>
    </row>
    <row r="8" spans="1:21" x14ac:dyDescent="0.25">
      <c r="A8" t="s">
        <v>110</v>
      </c>
      <c r="L8" t="s">
        <v>162</v>
      </c>
    </row>
    <row r="9" spans="1:21" x14ac:dyDescent="0.25">
      <c r="A9" t="s">
        <v>119</v>
      </c>
      <c r="L9" t="s">
        <v>163</v>
      </c>
    </row>
    <row r="10" spans="1:21" x14ac:dyDescent="0.25">
      <c r="A10" t="s">
        <v>120</v>
      </c>
      <c r="L10" t="s">
        <v>164</v>
      </c>
    </row>
    <row r="14" spans="1:21" x14ac:dyDescent="0.25">
      <c r="A14" t="s">
        <v>223</v>
      </c>
    </row>
    <row r="15" spans="1:21" x14ac:dyDescent="0.25">
      <c r="A15" t="s">
        <v>221</v>
      </c>
    </row>
    <row r="16" spans="1:21" x14ac:dyDescent="0.25">
      <c r="G16" s="327" t="s">
        <v>127</v>
      </c>
      <c r="H16" s="327" t="s">
        <v>149</v>
      </c>
      <c r="I16" t="s">
        <v>150</v>
      </c>
      <c r="J16" t="s">
        <v>152</v>
      </c>
      <c r="K16" t="s">
        <v>153</v>
      </c>
      <c r="M16" t="s">
        <v>253</v>
      </c>
      <c r="O16" t="s">
        <v>260</v>
      </c>
      <c r="R16" t="s">
        <v>262</v>
      </c>
      <c r="U16" t="s">
        <v>261</v>
      </c>
    </row>
    <row r="17" spans="7:21" x14ac:dyDescent="0.2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2">
        <v>2</v>
      </c>
      <c r="O17" t="s">
        <v>296</v>
      </c>
      <c r="R17" t="s">
        <v>249</v>
      </c>
      <c r="U17" t="s">
        <v>276</v>
      </c>
    </row>
    <row r="18" spans="7:21" x14ac:dyDescent="0.2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2">
        <v>3</v>
      </c>
      <c r="O18" t="s">
        <v>291</v>
      </c>
      <c r="R18" t="s">
        <v>254</v>
      </c>
      <c r="U18" t="s">
        <v>278</v>
      </c>
    </row>
    <row r="19" spans="7:21" x14ac:dyDescent="0.25">
      <c r="G19" t="s">
        <v>146</v>
      </c>
      <c r="H19" t="s">
        <v>148</v>
      </c>
      <c r="M19" s="262" t="s">
        <v>291</v>
      </c>
      <c r="R19" t="s">
        <v>255</v>
      </c>
      <c r="U19" t="s">
        <v>277</v>
      </c>
    </row>
    <row r="20" spans="7:21" x14ac:dyDescent="0.25">
      <c r="G20" t="s">
        <v>129</v>
      </c>
      <c r="H20" t="s">
        <v>137</v>
      </c>
      <c r="R20" t="s">
        <v>256</v>
      </c>
    </row>
    <row r="21" spans="7:21" x14ac:dyDescent="0.25">
      <c r="G21" t="s">
        <v>234</v>
      </c>
      <c r="H21" t="s">
        <v>298</v>
      </c>
    </row>
    <row r="22" spans="7:21" x14ac:dyDescent="0.25">
      <c r="G22" t="s">
        <v>301</v>
      </c>
    </row>
    <row r="35" spans="2:2" x14ac:dyDescent="0.25">
      <c r="B35" t="s">
        <v>224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D23" sqref="D23"/>
    </sheetView>
  </sheetViews>
  <sheetFormatPr baseColWidth="10" defaultColWidth="10.85546875" defaultRowHeight="15" x14ac:dyDescent="0.25"/>
  <cols>
    <col min="3" max="3" width="16.42578125" bestFit="1" customWidth="1"/>
    <col min="4" max="4" width="13.28515625" bestFit="1" customWidth="1"/>
    <col min="5" max="5" width="14.5703125" bestFit="1" customWidth="1"/>
    <col min="6" max="6" width="13.7109375" bestFit="1" customWidth="1"/>
    <col min="7" max="8" width="14.140625" bestFit="1" customWidth="1"/>
  </cols>
  <sheetData>
    <row r="1" spans="2:18" x14ac:dyDescent="0.25">
      <c r="L1" s="11"/>
    </row>
    <row r="2" spans="2:18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2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.75" thickBot="1" x14ac:dyDescent="0.3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4">
      <c r="B5" s="328" t="s">
        <v>305</v>
      </c>
      <c r="C5" s="379" t="s">
        <v>99</v>
      </c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1"/>
      <c r="R5" t="s">
        <v>22</v>
      </c>
    </row>
    <row r="6" spans="2:18" ht="18.75" x14ac:dyDescent="0.3">
      <c r="B6" s="299"/>
      <c r="C6" s="172" t="s">
        <v>1</v>
      </c>
      <c r="D6" s="168" t="s">
        <v>197</v>
      </c>
      <c r="E6" s="168" t="s">
        <v>192</v>
      </c>
      <c r="F6" s="168" t="s">
        <v>169</v>
      </c>
      <c r="G6" s="168" t="s">
        <v>228</v>
      </c>
      <c r="H6" s="168" t="s">
        <v>285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75" x14ac:dyDescent="0.3">
      <c r="B7" s="30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75" x14ac:dyDescent="0.3">
      <c r="B8" s="30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75" x14ac:dyDescent="0.3">
      <c r="B9" s="30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75" x14ac:dyDescent="0.3">
      <c r="B10" s="301"/>
      <c r="C10" s="169" t="s">
        <v>206</v>
      </c>
      <c r="D10" s="119">
        <v>0</v>
      </c>
      <c r="E10" s="119">
        <v>400</v>
      </c>
      <c r="F10" s="119">
        <v>10000</v>
      </c>
      <c r="G10" s="119">
        <v>80</v>
      </c>
      <c r="H10" s="119">
        <v>600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75" x14ac:dyDescent="0.3">
      <c r="B11" s="30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75" x14ac:dyDescent="0.3">
      <c r="B12" s="301"/>
      <c r="C12" s="173" t="s">
        <v>117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75" x14ac:dyDescent="0.3">
      <c r="B13" s="301"/>
      <c r="C13" s="131" t="s">
        <v>118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75" x14ac:dyDescent="0.3">
      <c r="B14" s="301" t="s">
        <v>188</v>
      </c>
      <c r="C14" s="131" t="s">
        <v>306</v>
      </c>
      <c r="D14" s="119"/>
      <c r="E14" s="119"/>
      <c r="F14" s="119"/>
      <c r="G14" s="119"/>
      <c r="H14" s="119"/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.5" thickBot="1" x14ac:dyDescent="0.35">
      <c r="B15" s="302" t="s">
        <v>188</v>
      </c>
      <c r="C15" s="174" t="s">
        <v>307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25">
      <c r="I16" s="11"/>
      <c r="J16" s="11"/>
      <c r="K16" s="11"/>
      <c r="L16" s="11"/>
    </row>
    <row r="26" spans="11:11" x14ac:dyDescent="0.2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5"/>
  <sheetViews>
    <sheetView zoomScale="83" zoomScaleNormal="83" workbookViewId="0">
      <selection activeCell="E14" sqref="E14:E17"/>
    </sheetView>
  </sheetViews>
  <sheetFormatPr baseColWidth="10" defaultColWidth="10.85546875" defaultRowHeight="15" x14ac:dyDescent="0.25"/>
  <cols>
    <col min="4" max="4" width="21.28515625" bestFit="1" customWidth="1"/>
    <col min="5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220" t="s">
        <v>207</v>
      </c>
      <c r="D5" s="382" t="s">
        <v>102</v>
      </c>
      <c r="E5" s="383"/>
      <c r="F5" s="383"/>
      <c r="G5" s="383"/>
      <c r="H5" s="383"/>
      <c r="I5" s="383"/>
      <c r="J5" s="383"/>
      <c r="K5" s="383"/>
      <c r="L5" s="383"/>
      <c r="M5" s="383"/>
      <c r="N5" s="383"/>
      <c r="O5" s="384"/>
      <c r="P5" s="11"/>
      <c r="Q5" s="11"/>
    </row>
    <row r="6" spans="3:17" ht="18.75" x14ac:dyDescent="0.3">
      <c r="C6" s="221" t="s">
        <v>178</v>
      </c>
      <c r="D6" s="146" t="s">
        <v>1</v>
      </c>
      <c r="E6" s="209" t="s">
        <v>170</v>
      </c>
      <c r="F6" s="210" t="s">
        <v>174</v>
      </c>
      <c r="G6" s="210" t="s">
        <v>108</v>
      </c>
      <c r="H6" s="210" t="s">
        <v>229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75" x14ac:dyDescent="0.3">
      <c r="C7" s="222" t="s">
        <v>178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75" x14ac:dyDescent="0.3">
      <c r="C8" s="223" t="s">
        <v>208</v>
      </c>
      <c r="D8" s="146" t="s">
        <v>103</v>
      </c>
      <c r="E8" s="160">
        <v>0</v>
      </c>
      <c r="F8" s="149">
        <v>0</v>
      </c>
      <c r="G8" s="149">
        <v>0</v>
      </c>
      <c r="H8" s="149">
        <v>20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75" x14ac:dyDescent="0.3">
      <c r="C9" s="223" t="s">
        <v>188</v>
      </c>
      <c r="D9" s="146" t="s">
        <v>210</v>
      </c>
      <c r="E9" s="160">
        <v>100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75" x14ac:dyDescent="0.3">
      <c r="C10" s="223" t="s">
        <v>188</v>
      </c>
      <c r="D10" s="146" t="s">
        <v>211</v>
      </c>
      <c r="E10" s="160">
        <v>100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75" x14ac:dyDescent="0.3">
      <c r="C11" s="222" t="s">
        <v>178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75" x14ac:dyDescent="0.3">
      <c r="C12" s="222" t="s">
        <v>178</v>
      </c>
      <c r="D12" s="146" t="s">
        <v>209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.5" thickBot="1" x14ac:dyDescent="0.35">
      <c r="C13" s="224" t="s">
        <v>178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75" x14ac:dyDescent="0.3">
      <c r="C14" s="225"/>
      <c r="D14" s="151" t="s">
        <v>171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75" x14ac:dyDescent="0.3">
      <c r="C15" s="175"/>
      <c r="D15" s="152" t="s">
        <v>172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75" x14ac:dyDescent="0.3">
      <c r="C16" s="175"/>
      <c r="D16" s="152" t="s">
        <v>173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75" x14ac:dyDescent="0.3">
      <c r="C17" s="175"/>
      <c r="D17" s="152" t="s">
        <v>169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75" x14ac:dyDescent="0.3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75" x14ac:dyDescent="0.3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75" x14ac:dyDescent="0.3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75" x14ac:dyDescent="0.3">
      <c r="C21" s="175"/>
      <c r="D21" s="152" t="s">
        <v>230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75" x14ac:dyDescent="0.3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75" x14ac:dyDescent="0.3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75" x14ac:dyDescent="0.3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75" x14ac:dyDescent="0.3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2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2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25">
      <c r="C28" s="175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  <c r="P28" s="11"/>
      <c r="Q28" s="11"/>
    </row>
    <row r="29" spans="3:22" x14ac:dyDescent="0.25">
      <c r="C29" s="175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  <c r="P29" s="11"/>
      <c r="Q29" s="11"/>
    </row>
    <row r="30" spans="3:22" x14ac:dyDescent="0.25">
      <c r="C30" s="175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  <c r="P30" s="11"/>
      <c r="Q30" s="11"/>
    </row>
    <row r="31" spans="3:22" x14ac:dyDescent="0.25">
      <c r="C31" s="175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  <c r="P31" s="11"/>
      <c r="Q31" s="11"/>
    </row>
    <row r="32" spans="3:22" x14ac:dyDescent="0.25">
      <c r="C32" s="175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  <c r="P32" s="11"/>
      <c r="Q32" s="11"/>
    </row>
    <row r="33" spans="2:17" x14ac:dyDescent="0.25">
      <c r="C33" s="175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  <c r="P33" s="11"/>
      <c r="Q33" s="11"/>
    </row>
    <row r="34" spans="2:17" x14ac:dyDescent="0.25">
      <c r="C34" s="175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  <c r="P34" s="11"/>
      <c r="Q34" s="11"/>
    </row>
    <row r="35" spans="2:17" x14ac:dyDescent="0.25">
      <c r="C35" s="175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  <c r="P35" s="11"/>
      <c r="Q35" s="11"/>
    </row>
    <row r="36" spans="2:17" x14ac:dyDescent="0.25">
      <c r="C36" s="175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  <c r="P36" s="11"/>
      <c r="Q36" s="11"/>
    </row>
    <row r="37" spans="2:17" ht="15.75" thickBot="1" x14ac:dyDescent="0.3">
      <c r="C37" s="176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  <c r="P37" s="11"/>
      <c r="Q37" s="11"/>
    </row>
    <row r="38" spans="2:17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5" spans="2:17" x14ac:dyDescent="0.2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ColWidth="10.85546875" defaultRowHeight="15" x14ac:dyDescent="0.25"/>
  <cols>
    <col min="4" max="4" width="21.5703125" bestFit="1" customWidth="1"/>
    <col min="5" max="5" width="11.85546875" bestFit="1" customWidth="1"/>
    <col min="6" max="7" width="23" bestFit="1" customWidth="1"/>
    <col min="8" max="8" width="11.85546875" bestFit="1" customWidth="1"/>
    <col min="9" max="9" width="8.42578125" customWidth="1"/>
    <col min="10" max="10" width="11.85546875" bestFit="1" customWidth="1"/>
    <col min="11" max="11" width="23" bestFit="1" customWidth="1"/>
    <col min="12" max="12" width="11" bestFit="1" customWidth="1"/>
    <col min="14" max="14" width="11.85546875" bestFit="1" customWidth="1"/>
    <col min="15" max="15" width="22.140625" bestFit="1" customWidth="1"/>
    <col min="16" max="16" width="11" bestFit="1" customWidth="1"/>
  </cols>
  <sheetData>
    <row r="3" spans="3:20" x14ac:dyDescent="0.2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2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.75" thickBot="1" x14ac:dyDescent="0.3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.75" thickBot="1" x14ac:dyDescent="0.3">
      <c r="C6" s="268" t="s">
        <v>243</v>
      </c>
      <c r="D6" s="271" t="s">
        <v>247</v>
      </c>
      <c r="E6" s="207"/>
      <c r="F6" s="276" t="s">
        <v>244</v>
      </c>
      <c r="G6" s="276" t="s">
        <v>248</v>
      </c>
      <c r="H6" s="276" t="s">
        <v>246</v>
      </c>
      <c r="I6" s="207"/>
      <c r="J6" s="266" t="s">
        <v>244</v>
      </c>
      <c r="K6" s="266" t="s">
        <v>248</v>
      </c>
      <c r="L6" s="266" t="s">
        <v>246</v>
      </c>
      <c r="M6" s="262"/>
      <c r="N6" s="266" t="s">
        <v>244</v>
      </c>
      <c r="O6" s="270" t="s">
        <v>245</v>
      </c>
      <c r="P6" s="266" t="s">
        <v>246</v>
      </c>
      <c r="Q6" s="207"/>
      <c r="R6" s="11"/>
      <c r="S6" s="11"/>
      <c r="T6" s="11"/>
    </row>
    <row r="7" spans="3:20" x14ac:dyDescent="0.25">
      <c r="C7" s="280" t="s">
        <v>235</v>
      </c>
      <c r="D7" s="281">
        <f>1/8</f>
        <v>0.125</v>
      </c>
      <c r="E7" s="207"/>
      <c r="F7" s="282">
        <v>11</v>
      </c>
      <c r="G7" s="277">
        <v>0.15</v>
      </c>
      <c r="H7" s="283" t="s">
        <v>173</v>
      </c>
      <c r="I7" s="207"/>
      <c r="J7" s="280">
        <v>11</v>
      </c>
      <c r="K7" s="291"/>
      <c r="L7" s="295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25">
      <c r="C8" s="181" t="s">
        <v>236</v>
      </c>
      <c r="D8" s="284">
        <f t="shared" ref="D8:D14" si="0">1/8</f>
        <v>0.125</v>
      </c>
      <c r="E8" s="207"/>
      <c r="F8" s="285">
        <v>11</v>
      </c>
      <c r="G8" s="278">
        <v>0.15</v>
      </c>
      <c r="H8" s="286" t="s">
        <v>173</v>
      </c>
      <c r="I8" s="207"/>
      <c r="J8" s="181">
        <v>11</v>
      </c>
      <c r="K8" s="207"/>
      <c r="L8" s="293"/>
      <c r="M8" s="207"/>
      <c r="N8" s="207"/>
      <c r="O8" s="207"/>
      <c r="P8" s="207"/>
      <c r="Q8" s="207"/>
      <c r="R8" s="11"/>
      <c r="S8" s="11"/>
      <c r="T8" s="11"/>
    </row>
    <row r="9" spans="3:20" x14ac:dyDescent="0.25">
      <c r="C9" s="181" t="s">
        <v>237</v>
      </c>
      <c r="D9" s="284">
        <f t="shared" si="0"/>
        <v>0.125</v>
      </c>
      <c r="E9" s="207"/>
      <c r="F9" s="285">
        <v>11</v>
      </c>
      <c r="G9" s="278">
        <v>-0.15</v>
      </c>
      <c r="H9" s="286" t="s">
        <v>173</v>
      </c>
      <c r="I9" s="207"/>
      <c r="J9" s="181">
        <v>11</v>
      </c>
      <c r="K9" s="207"/>
      <c r="L9" s="293"/>
      <c r="M9" s="207"/>
      <c r="N9" s="207"/>
      <c r="O9" s="207"/>
      <c r="P9" s="207"/>
      <c r="Q9" s="207"/>
      <c r="R9" s="11"/>
      <c r="S9" s="11"/>
      <c r="T9" s="11"/>
    </row>
    <row r="10" spans="3:20" x14ac:dyDescent="0.25">
      <c r="C10" s="181" t="s">
        <v>238</v>
      </c>
      <c r="D10" s="284">
        <f t="shared" si="0"/>
        <v>0.125</v>
      </c>
      <c r="E10" s="207"/>
      <c r="F10" s="285">
        <v>11</v>
      </c>
      <c r="G10" s="278">
        <v>-0.15</v>
      </c>
      <c r="H10" s="286" t="s">
        <v>173</v>
      </c>
      <c r="I10" s="207"/>
      <c r="J10" s="181">
        <v>11</v>
      </c>
      <c r="K10" s="207"/>
      <c r="L10" s="293"/>
      <c r="M10" s="207"/>
      <c r="N10" s="207"/>
      <c r="O10" s="207"/>
      <c r="P10" s="207"/>
      <c r="Q10" s="207"/>
      <c r="R10" s="11"/>
      <c r="S10" s="11"/>
      <c r="T10" s="11"/>
    </row>
    <row r="11" spans="3:20" x14ac:dyDescent="0.25">
      <c r="C11" s="181" t="s">
        <v>239</v>
      </c>
      <c r="D11" s="284">
        <f t="shared" si="0"/>
        <v>0.125</v>
      </c>
      <c r="E11" s="207"/>
      <c r="F11" s="285">
        <v>11</v>
      </c>
      <c r="G11" s="278">
        <v>0.15</v>
      </c>
      <c r="H11" s="286" t="s">
        <v>173</v>
      </c>
      <c r="I11" s="207"/>
      <c r="J11" s="181">
        <v>11</v>
      </c>
      <c r="K11" s="207"/>
      <c r="L11" s="293"/>
      <c r="M11" s="207"/>
      <c r="N11" s="207"/>
      <c r="O11" s="207"/>
      <c r="P11" s="207"/>
      <c r="Q11" s="207"/>
      <c r="R11" s="11"/>
      <c r="S11" s="11"/>
      <c r="T11" s="11"/>
    </row>
    <row r="12" spans="3:20" x14ac:dyDescent="0.25">
      <c r="C12" s="181" t="s">
        <v>240</v>
      </c>
      <c r="D12" s="284">
        <f>1/8</f>
        <v>0.125</v>
      </c>
      <c r="E12" s="207"/>
      <c r="F12" s="285">
        <v>11</v>
      </c>
      <c r="G12" s="278">
        <v>0.15</v>
      </c>
      <c r="H12" s="286" t="s">
        <v>173</v>
      </c>
      <c r="I12" s="207"/>
      <c r="J12" s="181">
        <v>11</v>
      </c>
      <c r="K12" s="207"/>
      <c r="L12" s="293"/>
      <c r="M12" s="207"/>
      <c r="N12" s="207"/>
      <c r="O12" s="207"/>
      <c r="P12" s="207"/>
      <c r="Q12" s="207"/>
      <c r="R12" s="11"/>
      <c r="S12" s="11"/>
      <c r="T12" s="11"/>
    </row>
    <row r="13" spans="3:20" x14ac:dyDescent="0.25">
      <c r="C13" s="181" t="s">
        <v>241</v>
      </c>
      <c r="D13" s="284">
        <f t="shared" si="0"/>
        <v>0.125</v>
      </c>
      <c r="E13" s="207"/>
      <c r="F13" s="285">
        <v>11</v>
      </c>
      <c r="G13" s="278">
        <v>-0.15</v>
      </c>
      <c r="H13" s="286" t="s">
        <v>173</v>
      </c>
      <c r="I13" s="207"/>
      <c r="J13" s="181">
        <v>11</v>
      </c>
      <c r="K13" s="207"/>
      <c r="L13" s="293"/>
      <c r="M13" s="207"/>
      <c r="N13" s="207"/>
      <c r="O13" s="207"/>
      <c r="P13" s="207"/>
      <c r="Q13" s="207"/>
      <c r="R13" s="11"/>
      <c r="S13" s="11"/>
      <c r="T13" s="11"/>
    </row>
    <row r="14" spans="3:20" ht="15.75" thickBot="1" x14ac:dyDescent="0.3">
      <c r="C14" s="287" t="s">
        <v>242</v>
      </c>
      <c r="D14" s="288">
        <f t="shared" si="0"/>
        <v>0.125</v>
      </c>
      <c r="E14" s="207"/>
      <c r="F14" s="289">
        <v>11</v>
      </c>
      <c r="G14" s="279">
        <v>-0.15</v>
      </c>
      <c r="H14" s="290" t="s">
        <v>173</v>
      </c>
      <c r="I14" s="207"/>
      <c r="J14" s="287">
        <v>11</v>
      </c>
      <c r="K14" s="162"/>
      <c r="L14" s="294"/>
      <c r="M14" s="207"/>
      <c r="N14" s="207"/>
      <c r="O14" s="207"/>
      <c r="P14" s="207"/>
      <c r="Q14" s="207"/>
      <c r="R14" s="11"/>
      <c r="S14" s="11"/>
      <c r="T14" s="11"/>
    </row>
    <row r="15" spans="3:20" x14ac:dyDescent="0.2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2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2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2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2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2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.75" thickBot="1" x14ac:dyDescent="0.3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.75" thickBot="1" x14ac:dyDescent="0.3">
      <c r="C22" s="385" t="s">
        <v>249</v>
      </c>
      <c r="D22" s="386"/>
      <c r="E22" s="386"/>
      <c r="F22" s="387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.75" thickBot="1" x14ac:dyDescent="0.3">
      <c r="C23" s="272" t="s">
        <v>250</v>
      </c>
      <c r="D23" s="273" t="s">
        <v>251</v>
      </c>
      <c r="E23" s="272" t="s">
        <v>252</v>
      </c>
      <c r="F23" s="265" t="s">
        <v>247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25">
      <c r="C24" s="296">
        <v>11</v>
      </c>
      <c r="D24" s="297" t="s">
        <v>173</v>
      </c>
      <c r="E24" s="297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25">
      <c r="C25" s="92"/>
      <c r="D25" s="274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25">
      <c r="C26" s="92"/>
      <c r="D26" s="274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25">
      <c r="C27" s="92"/>
      <c r="D27" s="274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25">
      <c r="C28" s="92"/>
      <c r="D28" s="274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25">
      <c r="C29" s="92"/>
      <c r="D29" s="274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25">
      <c r="C30" s="92"/>
      <c r="D30" s="274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25">
      <c r="C31" s="92"/>
      <c r="D31" s="274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25">
      <c r="C32" s="92"/>
      <c r="D32" s="274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2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2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2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.75" thickBot="1" x14ac:dyDescent="0.3">
      <c r="C36" s="267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baseColWidth="10" defaultColWidth="10.85546875" defaultRowHeight="15" x14ac:dyDescent="0.25"/>
  <cols>
    <col min="4" max="4" width="17.7109375" bestFit="1" customWidth="1"/>
    <col min="5" max="5" width="17" bestFit="1" customWidth="1"/>
    <col min="6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11"/>
      <c r="D5" s="388" t="s">
        <v>111</v>
      </c>
      <c r="E5" s="389"/>
      <c r="F5" s="389"/>
      <c r="G5" s="389"/>
      <c r="H5" s="389"/>
      <c r="I5" s="389"/>
      <c r="J5" s="389"/>
      <c r="K5" s="389"/>
      <c r="L5" s="389"/>
      <c r="M5" s="389"/>
      <c r="N5" s="389"/>
      <c r="O5" s="390"/>
      <c r="P5" s="11"/>
      <c r="Q5" s="11"/>
    </row>
    <row r="6" spans="3:17" ht="18.75" x14ac:dyDescent="0.3">
      <c r="C6" s="11"/>
      <c r="D6" s="219" t="s">
        <v>1</v>
      </c>
      <c r="E6" s="210" t="s">
        <v>216</v>
      </c>
      <c r="F6" s="210" t="s">
        <v>231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75" x14ac:dyDescent="0.3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.75" thickBot="1" x14ac:dyDescent="0.3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75" x14ac:dyDescent="0.3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75" x14ac:dyDescent="0.3">
      <c r="C10" s="11"/>
      <c r="D10" s="146"/>
      <c r="E10" s="264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75" x14ac:dyDescent="0.3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75" x14ac:dyDescent="0.3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75" x14ac:dyDescent="0.3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75" x14ac:dyDescent="0.3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75" x14ac:dyDescent="0.3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75" x14ac:dyDescent="0.3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75" x14ac:dyDescent="0.3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75" x14ac:dyDescent="0.3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75" x14ac:dyDescent="0.3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75" x14ac:dyDescent="0.3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75" x14ac:dyDescent="0.3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75" x14ac:dyDescent="0.3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.5" thickBot="1" x14ac:dyDescent="0.3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2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2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2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D3CE5-7816-4ECB-9A04-ECEE2382D716}">
  <sheetPr>
    <tabColor rgb="FFFF0000"/>
  </sheetPr>
  <dimension ref="A2:AI67"/>
  <sheetViews>
    <sheetView tabSelected="1" zoomScale="90" zoomScaleNormal="90" workbookViewId="0">
      <selection activeCell="S52" sqref="S52"/>
    </sheetView>
  </sheetViews>
  <sheetFormatPr baseColWidth="10" defaultColWidth="10.85546875" defaultRowHeight="15" x14ac:dyDescent="0.25"/>
  <cols>
    <col min="2" max="2" width="21.140625" bestFit="1" customWidth="1"/>
    <col min="3" max="3" width="14" bestFit="1" customWidth="1"/>
    <col min="4" max="4" width="16.5703125" bestFit="1" customWidth="1"/>
    <col min="5" max="5" width="15.7109375" customWidth="1"/>
    <col min="6" max="6" width="11.85546875" bestFit="1" customWidth="1"/>
    <col min="7" max="7" width="14.5703125" bestFit="1" customWidth="1"/>
    <col min="8" max="8" width="12.42578125" bestFit="1" customWidth="1"/>
    <col min="9" max="9" width="13" bestFit="1" customWidth="1"/>
    <col min="10" max="11" width="16.5703125" bestFit="1" customWidth="1"/>
    <col min="12" max="12" width="12.28515625" bestFit="1" customWidth="1"/>
    <col min="13" max="13" width="12.7109375" bestFit="1" customWidth="1"/>
    <col min="14" max="14" width="11.7109375" bestFit="1" customWidth="1"/>
    <col min="15" max="15" width="13" customWidth="1"/>
    <col min="16" max="16" width="14.7109375" bestFit="1" customWidth="1"/>
    <col min="17" max="17" width="12.28515625" bestFit="1" customWidth="1"/>
    <col min="18" max="18" width="15.5703125" customWidth="1"/>
    <col min="19" max="19" width="12.7109375" bestFit="1" customWidth="1"/>
    <col min="20" max="20" width="12.28515625" bestFit="1" customWidth="1"/>
    <col min="21" max="21" width="16.5703125" bestFit="1" customWidth="1"/>
    <col min="24" max="24" width="16.5703125" bestFit="1" customWidth="1"/>
  </cols>
  <sheetData>
    <row r="2" spans="1:35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.75" thickBot="1" x14ac:dyDescent="0.3">
      <c r="A3" s="11"/>
      <c r="B3" s="385" t="s">
        <v>257</v>
      </c>
      <c r="C3" s="387"/>
      <c r="D3" s="11"/>
      <c r="E3" s="265" t="s">
        <v>264</v>
      </c>
      <c r="F3" s="300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.75" thickBot="1" x14ac:dyDescent="0.3">
      <c r="A4" s="11"/>
      <c r="B4" s="275" t="s">
        <v>258</v>
      </c>
      <c r="C4" s="320">
        <v>3</v>
      </c>
      <c r="D4" s="11"/>
      <c r="E4" s="11" t="s">
        <v>311</v>
      </c>
      <c r="F4" s="11" t="s">
        <v>312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295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.75" thickBot="1" x14ac:dyDescent="0.3">
      <c r="A5" s="11"/>
      <c r="B5" s="92" t="s">
        <v>259</v>
      </c>
      <c r="C5" s="307" t="s">
        <v>291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8" t="s">
        <v>268</v>
      </c>
      <c r="S5" s="269"/>
      <c r="T5" s="303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.75" thickBot="1" x14ac:dyDescent="0.3">
      <c r="A6" s="11"/>
      <c r="B6" s="267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81">
        <v>2</v>
      </c>
      <c r="S6" s="308" t="s">
        <v>293</v>
      </c>
      <c r="T6" s="9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81">
        <v>3</v>
      </c>
      <c r="S7" s="308" t="s">
        <v>292</v>
      </c>
      <c r="T7" s="9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.75" thickBot="1" x14ac:dyDescent="0.3">
      <c r="A8" s="11"/>
      <c r="B8" s="309" t="s">
        <v>273</v>
      </c>
      <c r="C8" s="11"/>
      <c r="D8" s="11"/>
      <c r="E8" s="11"/>
      <c r="F8" s="11"/>
      <c r="G8" s="11"/>
      <c r="H8" s="11"/>
      <c r="I8" s="11"/>
      <c r="J8" s="310" t="s">
        <v>275</v>
      </c>
      <c r="K8" s="11"/>
      <c r="L8" s="11"/>
      <c r="M8" s="11"/>
      <c r="N8" s="11"/>
      <c r="O8" s="11"/>
      <c r="P8" s="11"/>
      <c r="R8" s="181">
        <v>4</v>
      </c>
      <c r="S8" s="308" t="s">
        <v>297</v>
      </c>
      <c r="T8" s="9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.75" thickBot="1" x14ac:dyDescent="0.3">
      <c r="A9" s="11"/>
      <c r="B9" s="391" t="s">
        <v>282</v>
      </c>
      <c r="C9" s="392"/>
      <c r="D9" s="392"/>
      <c r="E9" s="392"/>
      <c r="F9" s="392"/>
      <c r="G9" s="270"/>
      <c r="H9" s="11"/>
      <c r="I9" s="11"/>
      <c r="J9" s="333" t="s">
        <v>283</v>
      </c>
      <c r="K9" s="334"/>
      <c r="L9" s="334"/>
      <c r="M9" s="334"/>
      <c r="N9" s="334"/>
      <c r="O9" s="269"/>
      <c r="P9" s="270"/>
      <c r="R9" s="267"/>
      <c r="S9" s="93" t="s">
        <v>270</v>
      </c>
      <c r="T9" s="145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.75" thickBot="1" x14ac:dyDescent="0.3">
      <c r="A10" s="11"/>
      <c r="B10" s="302" t="s">
        <v>266</v>
      </c>
      <c r="C10" s="304" t="s">
        <v>33</v>
      </c>
      <c r="D10" s="305" t="s">
        <v>269</v>
      </c>
      <c r="E10" s="335" t="s">
        <v>267</v>
      </c>
      <c r="F10" s="301" t="s">
        <v>271</v>
      </c>
      <c r="G10" s="336" t="s">
        <v>315</v>
      </c>
      <c r="H10" s="11"/>
      <c r="I10" s="11"/>
      <c r="J10" s="302" t="s">
        <v>266</v>
      </c>
      <c r="K10" s="302" t="s">
        <v>33</v>
      </c>
      <c r="L10" s="306" t="s">
        <v>265</v>
      </c>
      <c r="M10" s="302" t="s">
        <v>269</v>
      </c>
      <c r="N10" s="302" t="s">
        <v>267</v>
      </c>
      <c r="O10" s="302" t="s">
        <v>271</v>
      </c>
      <c r="P10" s="336" t="s">
        <v>315</v>
      </c>
      <c r="R10" s="11"/>
      <c r="S10" s="11"/>
      <c r="T10" s="309" t="s">
        <v>273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.75" thickBot="1" x14ac:dyDescent="0.3">
      <c r="A11" s="11"/>
      <c r="B11" s="296">
        <v>11</v>
      </c>
      <c r="C11" s="297" t="s">
        <v>173</v>
      </c>
      <c r="D11" s="291">
        <v>0.4</v>
      </c>
      <c r="E11" s="297">
        <v>1</v>
      </c>
      <c r="F11" s="299" t="s">
        <v>277</v>
      </c>
      <c r="G11" s="299" t="s">
        <v>318</v>
      </c>
      <c r="H11" s="11"/>
      <c r="I11" s="11"/>
      <c r="J11" s="181"/>
      <c r="K11" s="274" t="s">
        <v>173</v>
      </c>
      <c r="L11" s="207">
        <v>2</v>
      </c>
      <c r="M11" s="207">
        <v>0.2</v>
      </c>
      <c r="N11" s="293">
        <v>1</v>
      </c>
      <c r="O11" s="301" t="s">
        <v>276</v>
      </c>
      <c r="P11" s="299"/>
      <c r="R11" s="321" t="s">
        <v>294</v>
      </c>
      <c r="S11" s="11"/>
      <c r="T11" s="322" t="s">
        <v>309</v>
      </c>
      <c r="U11" s="330"/>
      <c r="V11" s="330"/>
      <c r="W11" s="330"/>
      <c r="X11" s="330"/>
      <c r="Y11" s="330"/>
      <c r="Z11" s="303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.75" thickBot="1" x14ac:dyDescent="0.3">
      <c r="A12" s="11"/>
      <c r="B12" s="181"/>
      <c r="C12" s="274" t="s">
        <v>169</v>
      </c>
      <c r="D12" s="207">
        <v>0.5</v>
      </c>
      <c r="E12" s="207">
        <v>1</v>
      </c>
      <c r="F12" s="301" t="s">
        <v>278</v>
      </c>
      <c r="G12" s="299" t="s">
        <v>317</v>
      </c>
      <c r="H12" s="11"/>
      <c r="I12" s="11"/>
      <c r="J12" s="181"/>
      <c r="K12" s="274" t="s">
        <v>173</v>
      </c>
      <c r="L12" s="207">
        <v>1</v>
      </c>
      <c r="M12" s="207">
        <v>0.1</v>
      </c>
      <c r="N12" s="293">
        <v>1</v>
      </c>
      <c r="O12" s="301" t="s">
        <v>276</v>
      </c>
      <c r="P12" s="301"/>
      <c r="R12" s="225" t="s">
        <v>290</v>
      </c>
      <c r="S12" s="11"/>
      <c r="T12" s="175" t="s">
        <v>266</v>
      </c>
      <c r="U12" s="287" t="s">
        <v>310</v>
      </c>
      <c r="V12" s="162"/>
      <c r="W12" s="162"/>
      <c r="X12" s="162"/>
      <c r="Y12" s="162"/>
      <c r="Z12" s="294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5">
      <c r="A13" s="11"/>
      <c r="B13" s="181"/>
      <c r="C13" s="274"/>
      <c r="D13" s="337"/>
      <c r="E13" s="207"/>
      <c r="F13" s="181"/>
      <c r="G13" s="301"/>
      <c r="H13" s="11"/>
      <c r="I13" s="11"/>
      <c r="J13" s="181"/>
      <c r="K13" s="274"/>
      <c r="L13" s="207"/>
      <c r="M13" s="207"/>
      <c r="N13" s="293"/>
      <c r="O13" s="301"/>
      <c r="P13" s="301"/>
      <c r="R13" s="225">
        <v>1</v>
      </c>
      <c r="S13" s="207"/>
      <c r="T13" s="275">
        <v>11</v>
      </c>
      <c r="U13" s="296" t="s">
        <v>14</v>
      </c>
      <c r="V13" s="297"/>
      <c r="W13" s="297"/>
      <c r="X13" s="297"/>
      <c r="Y13" s="297"/>
      <c r="Z13" s="331"/>
      <c r="AA13" s="11"/>
      <c r="AB13" s="11"/>
      <c r="AC13" s="11"/>
      <c r="AD13" s="11"/>
      <c r="AE13" s="11" t="s">
        <v>22</v>
      </c>
      <c r="AF13" s="11"/>
      <c r="AG13" s="11"/>
      <c r="AH13" s="11"/>
      <c r="AI13" s="11"/>
    </row>
    <row r="14" spans="1:35" x14ac:dyDescent="0.25">
      <c r="A14" s="11"/>
      <c r="B14" s="181"/>
      <c r="C14" s="274"/>
      <c r="D14" s="207"/>
      <c r="E14" s="207"/>
      <c r="F14" s="181"/>
      <c r="G14" s="301"/>
      <c r="H14" s="11"/>
      <c r="I14" s="11"/>
      <c r="J14" s="181"/>
      <c r="K14" s="274"/>
      <c r="L14" s="207"/>
      <c r="M14" s="207"/>
      <c r="N14" s="293"/>
      <c r="O14" s="301"/>
      <c r="P14" s="301"/>
      <c r="R14" s="175">
        <v>0.5</v>
      </c>
      <c r="S14" s="11"/>
      <c r="T14" s="92"/>
      <c r="U14" s="92"/>
      <c r="V14" s="11"/>
      <c r="W14" s="11"/>
      <c r="X14" s="11"/>
      <c r="Y14" s="11"/>
      <c r="Z14" s="9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5">
      <c r="A15" s="11"/>
      <c r="B15" s="181"/>
      <c r="C15" s="274"/>
      <c r="D15" s="207"/>
      <c r="E15" s="207"/>
      <c r="F15" s="181"/>
      <c r="G15" s="301"/>
      <c r="H15" s="11"/>
      <c r="I15" s="11"/>
      <c r="J15" s="181"/>
      <c r="K15" s="274"/>
      <c r="L15" s="207"/>
      <c r="M15" s="207"/>
      <c r="N15" s="293"/>
      <c r="O15" s="301"/>
      <c r="P15" s="301"/>
      <c r="R15" s="175">
        <v>0</v>
      </c>
      <c r="S15" s="11"/>
      <c r="T15" s="92"/>
      <c r="U15" s="92"/>
      <c r="V15" s="11"/>
      <c r="W15" s="11"/>
      <c r="X15" s="11"/>
      <c r="Y15" s="11"/>
      <c r="Z15" s="9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5">
      <c r="A16" s="11"/>
      <c r="B16" s="181"/>
      <c r="C16" s="274"/>
      <c r="D16" s="207"/>
      <c r="E16" s="207"/>
      <c r="F16" s="181"/>
      <c r="G16" s="301"/>
      <c r="H16" s="11"/>
      <c r="I16" s="11"/>
      <c r="J16" s="181"/>
      <c r="K16" s="274"/>
      <c r="L16" s="207"/>
      <c r="M16" s="207"/>
      <c r="N16" s="293"/>
      <c r="O16" s="301"/>
      <c r="P16" s="301"/>
      <c r="R16" s="175">
        <v>-0.5</v>
      </c>
      <c r="S16" s="11"/>
      <c r="T16" s="92"/>
      <c r="U16" s="92"/>
      <c r="V16" s="11"/>
      <c r="W16" s="11"/>
      <c r="X16" s="11"/>
      <c r="Y16" s="11"/>
      <c r="Z16" s="9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5">
      <c r="A17" s="11"/>
      <c r="B17" s="181"/>
      <c r="C17" s="274"/>
      <c r="D17" s="207"/>
      <c r="E17" s="207"/>
      <c r="F17" s="181"/>
      <c r="G17" s="301"/>
      <c r="H17" s="11"/>
      <c r="I17" s="11"/>
      <c r="J17" s="181"/>
      <c r="K17" s="274"/>
      <c r="L17" s="207"/>
      <c r="M17" s="207"/>
      <c r="N17" s="293"/>
      <c r="O17" s="301"/>
      <c r="P17" s="301"/>
      <c r="R17" s="175">
        <v>-1</v>
      </c>
      <c r="S17" s="11"/>
      <c r="T17" s="92"/>
      <c r="U17" s="92"/>
      <c r="V17" s="11"/>
      <c r="W17" s="11"/>
      <c r="X17" s="11"/>
      <c r="Y17" s="11"/>
      <c r="Z17" s="9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5">
      <c r="A18" s="11"/>
      <c r="B18" s="181"/>
      <c r="C18" s="274"/>
      <c r="D18" s="207"/>
      <c r="E18" s="207"/>
      <c r="F18" s="181"/>
      <c r="G18" s="301"/>
      <c r="H18" s="11"/>
      <c r="I18" s="11"/>
      <c r="J18" s="181"/>
      <c r="K18" s="274"/>
      <c r="L18" s="207"/>
      <c r="M18" s="207"/>
      <c r="N18" s="293"/>
      <c r="O18" s="301"/>
      <c r="P18" s="301"/>
      <c r="R18" s="175"/>
      <c r="S18" s="11"/>
      <c r="T18" s="92"/>
      <c r="U18" s="92"/>
      <c r="V18" s="11"/>
      <c r="W18" s="11"/>
      <c r="X18" s="11"/>
      <c r="Y18" s="11"/>
      <c r="Z18" s="9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5">
      <c r="A19" s="11"/>
      <c r="B19" s="181"/>
      <c r="C19" s="274"/>
      <c r="D19" s="207"/>
      <c r="E19" s="207"/>
      <c r="F19" s="181"/>
      <c r="G19" s="301"/>
      <c r="H19" s="11"/>
      <c r="I19" s="11"/>
      <c r="J19" s="181"/>
      <c r="K19" s="274"/>
      <c r="L19" s="207"/>
      <c r="M19" s="207"/>
      <c r="N19" s="293"/>
      <c r="O19" s="301"/>
      <c r="P19" s="301"/>
      <c r="R19" s="175"/>
      <c r="S19" s="11"/>
      <c r="T19" s="92"/>
      <c r="U19" s="92"/>
      <c r="V19" s="11"/>
      <c r="W19" s="11"/>
      <c r="X19" s="11"/>
      <c r="Y19" s="11"/>
      <c r="Z19" s="9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.75" thickBot="1" x14ac:dyDescent="0.3">
      <c r="A20" s="11"/>
      <c r="B20" s="181"/>
      <c r="C20" s="274"/>
      <c r="D20" s="207"/>
      <c r="E20" s="207"/>
      <c r="F20" s="181"/>
      <c r="G20" s="301"/>
      <c r="H20" s="11"/>
      <c r="I20" s="11"/>
      <c r="J20" s="181"/>
      <c r="K20" s="274"/>
      <c r="L20" s="207"/>
      <c r="M20" s="207"/>
      <c r="N20" s="293"/>
      <c r="O20" s="301"/>
      <c r="P20" s="301"/>
      <c r="R20" s="226"/>
      <c r="S20" s="11"/>
      <c r="T20" s="332"/>
      <c r="U20" s="267"/>
      <c r="V20" s="93"/>
      <c r="W20" s="93"/>
      <c r="X20" s="93"/>
      <c r="Y20" s="93"/>
      <c r="Z20" s="145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25">
      <c r="A21" s="11"/>
      <c r="B21" s="181"/>
      <c r="C21" s="274"/>
      <c r="D21" s="207"/>
      <c r="E21" s="207"/>
      <c r="F21" s="181"/>
      <c r="G21" s="301"/>
      <c r="H21" s="11"/>
      <c r="I21" s="11"/>
      <c r="J21" s="181"/>
      <c r="K21" s="274"/>
      <c r="L21" s="207"/>
      <c r="M21" s="207"/>
      <c r="N21" s="293"/>
      <c r="O21" s="301"/>
      <c r="P21" s="301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5">
      <c r="A22" s="11"/>
      <c r="B22" s="181"/>
      <c r="C22" s="274"/>
      <c r="D22" s="207"/>
      <c r="E22" s="207"/>
      <c r="F22" s="181"/>
      <c r="G22" s="301"/>
      <c r="H22" s="11"/>
      <c r="I22" s="11"/>
      <c r="J22" s="181"/>
      <c r="K22" s="274"/>
      <c r="L22" s="207"/>
      <c r="M22" s="207"/>
      <c r="N22" s="293"/>
      <c r="O22" s="301"/>
      <c r="P22" s="30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.75" thickBot="1" x14ac:dyDescent="0.3">
      <c r="A23" s="11"/>
      <c r="B23" s="287"/>
      <c r="C23" s="298"/>
      <c r="D23" s="162"/>
      <c r="E23" s="162"/>
      <c r="F23" s="287"/>
      <c r="G23" s="302"/>
      <c r="H23" s="11"/>
      <c r="I23" s="11"/>
      <c r="J23" s="287"/>
      <c r="K23" s="162"/>
      <c r="L23" s="162"/>
      <c r="M23" s="162"/>
      <c r="N23" s="294"/>
      <c r="O23" s="302"/>
      <c r="P23" s="302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5">
      <c r="A24" s="11"/>
      <c r="B24" s="207"/>
      <c r="C24" s="207"/>
      <c r="D24" s="207"/>
      <c r="E24" s="207"/>
      <c r="F24" s="207"/>
      <c r="G24" s="207"/>
      <c r="H24" s="11"/>
      <c r="I24" s="11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.75" thickBot="1" x14ac:dyDescent="0.3">
      <c r="A26" s="11"/>
      <c r="B26" s="310" t="s">
        <v>279</v>
      </c>
      <c r="C26" s="207"/>
      <c r="D26" s="207"/>
      <c r="E26" s="207"/>
      <c r="F26" s="207"/>
      <c r="G26" s="207"/>
      <c r="H26" s="207"/>
      <c r="I26" s="11"/>
      <c r="J26" s="310" t="s">
        <v>275</v>
      </c>
      <c r="K26" s="207"/>
      <c r="L26" s="207"/>
      <c r="M26" s="207"/>
      <c r="N26" s="207"/>
      <c r="O26" s="207"/>
      <c r="P26" s="207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.75" thickBot="1" x14ac:dyDescent="0.3">
      <c r="A27" s="11"/>
      <c r="B27" s="268" t="s">
        <v>280</v>
      </c>
      <c r="C27" s="269"/>
      <c r="D27" s="269"/>
      <c r="E27" s="269"/>
      <c r="F27" s="269"/>
      <c r="G27" s="269"/>
      <c r="H27" s="270"/>
      <c r="I27" s="11"/>
      <c r="J27" s="333" t="s">
        <v>281</v>
      </c>
      <c r="K27" s="334"/>
      <c r="L27" s="334"/>
      <c r="M27" s="334"/>
      <c r="N27" s="334"/>
      <c r="O27" s="300"/>
      <c r="P27" s="266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thickBot="1" x14ac:dyDescent="0.3">
      <c r="A28" s="11"/>
      <c r="B28" s="302" t="s">
        <v>266</v>
      </c>
      <c r="C28" s="335" t="s">
        <v>308</v>
      </c>
      <c r="D28" s="302" t="s">
        <v>33</v>
      </c>
      <c r="E28" s="335" t="s">
        <v>269</v>
      </c>
      <c r="F28" s="302" t="s">
        <v>267</v>
      </c>
      <c r="G28" s="301" t="s">
        <v>271</v>
      </c>
      <c r="H28" s="336" t="s">
        <v>315</v>
      </c>
      <c r="I28" s="11"/>
      <c r="J28" s="299" t="s">
        <v>266</v>
      </c>
      <c r="K28" s="266" t="s">
        <v>33</v>
      </c>
      <c r="L28" s="271" t="s">
        <v>265</v>
      </c>
      <c r="M28" s="292" t="s">
        <v>269</v>
      </c>
      <c r="N28" s="299" t="s">
        <v>267</v>
      </c>
      <c r="O28" s="299" t="s">
        <v>271</v>
      </c>
      <c r="P28" s="336" t="s">
        <v>315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ht="15.75" thickBot="1" x14ac:dyDescent="0.3">
      <c r="A29" t="s">
        <v>212</v>
      </c>
      <c r="B29" s="280">
        <v>220</v>
      </c>
      <c r="C29" s="291">
        <v>320</v>
      </c>
      <c r="D29" s="297" t="s">
        <v>169</v>
      </c>
      <c r="E29" s="291">
        <v>0.1</v>
      </c>
      <c r="F29" s="292">
        <v>2</v>
      </c>
      <c r="G29" s="292" t="s">
        <v>277</v>
      </c>
      <c r="H29" s="299" t="s">
        <v>318</v>
      </c>
      <c r="I29" s="11"/>
      <c r="J29" s="280"/>
      <c r="K29" s="274" t="s">
        <v>173</v>
      </c>
      <c r="L29" s="207">
        <v>2</v>
      </c>
      <c r="M29" s="291">
        <v>0.1</v>
      </c>
      <c r="N29" s="291">
        <v>2</v>
      </c>
      <c r="O29" s="299" t="s">
        <v>278</v>
      </c>
      <c r="P29" s="299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t="s">
        <v>232</v>
      </c>
      <c r="B30" s="181">
        <v>230</v>
      </c>
      <c r="C30" s="207">
        <v>330</v>
      </c>
      <c r="D30" s="274" t="s">
        <v>169</v>
      </c>
      <c r="E30" s="207">
        <v>0.1</v>
      </c>
      <c r="F30" s="293">
        <v>2</v>
      </c>
      <c r="G30" s="293" t="s">
        <v>276</v>
      </c>
      <c r="H30" s="299" t="s">
        <v>318</v>
      </c>
      <c r="I30" s="11"/>
      <c r="J30" s="181"/>
      <c r="K30" s="274" t="s">
        <v>173</v>
      </c>
      <c r="L30" s="207">
        <v>1</v>
      </c>
      <c r="M30" s="207">
        <v>0.2</v>
      </c>
      <c r="N30" s="207">
        <v>2</v>
      </c>
      <c r="O30" s="301" t="s">
        <v>278</v>
      </c>
      <c r="P30" s="30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5">
      <c r="A31" s="11"/>
      <c r="B31" s="181"/>
      <c r="C31" s="207"/>
      <c r="D31" s="274"/>
      <c r="E31" s="207"/>
      <c r="F31" s="293"/>
      <c r="G31" s="293"/>
      <c r="H31" s="301"/>
      <c r="I31" s="11"/>
      <c r="J31" s="181"/>
      <c r="K31" s="274"/>
      <c r="L31" s="207"/>
      <c r="M31" s="207"/>
      <c r="N31" s="207"/>
      <c r="O31" s="301"/>
      <c r="P31" s="30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5">
      <c r="A32" s="11"/>
      <c r="B32" s="181"/>
      <c r="C32" s="11"/>
      <c r="D32" s="274"/>
      <c r="E32" s="207"/>
      <c r="F32" s="293"/>
      <c r="G32" s="293"/>
      <c r="H32" s="301"/>
      <c r="I32" s="11"/>
      <c r="J32" s="181"/>
      <c r="K32" s="274"/>
      <c r="L32" s="207"/>
      <c r="M32" s="207"/>
      <c r="N32" s="207"/>
      <c r="O32" s="301"/>
      <c r="P32" s="30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5">
      <c r="A33" s="11"/>
      <c r="B33" s="181"/>
      <c r="C33" s="11"/>
      <c r="D33" s="274"/>
      <c r="E33" s="207"/>
      <c r="F33" s="293"/>
      <c r="G33" s="293"/>
      <c r="H33" s="301"/>
      <c r="I33" s="11"/>
      <c r="J33" s="181"/>
      <c r="K33" s="274"/>
      <c r="L33" s="207"/>
      <c r="M33" s="207"/>
      <c r="N33" s="207"/>
      <c r="O33" s="301"/>
      <c r="P33" s="30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5">
      <c r="A34" s="11"/>
      <c r="B34" s="181"/>
      <c r="C34" s="11"/>
      <c r="D34" s="274"/>
      <c r="E34" s="207"/>
      <c r="F34" s="293"/>
      <c r="G34" s="293"/>
      <c r="H34" s="301"/>
      <c r="I34" s="11"/>
      <c r="J34" s="181"/>
      <c r="K34" s="274"/>
      <c r="L34" s="207"/>
      <c r="M34" s="207"/>
      <c r="N34" s="207"/>
      <c r="O34" s="301"/>
      <c r="P34" s="30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5">
      <c r="A35" s="11"/>
      <c r="B35" s="181"/>
      <c r="C35" s="11"/>
      <c r="D35" s="274"/>
      <c r="E35" s="207"/>
      <c r="F35" s="293"/>
      <c r="G35" s="293"/>
      <c r="H35" s="301"/>
      <c r="I35" s="11"/>
      <c r="J35" s="181"/>
      <c r="K35" s="274"/>
      <c r="L35" s="207"/>
      <c r="M35" s="207"/>
      <c r="N35" s="207"/>
      <c r="O35" s="301"/>
      <c r="P35" s="30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5">
      <c r="A36" s="11"/>
      <c r="B36" s="181"/>
      <c r="C36" s="11"/>
      <c r="D36" s="274"/>
      <c r="E36" s="207"/>
      <c r="F36" s="293"/>
      <c r="G36" s="293"/>
      <c r="H36" s="301"/>
      <c r="I36" s="11"/>
      <c r="J36" s="181"/>
      <c r="K36" s="274"/>
      <c r="L36" s="207"/>
      <c r="M36" s="207"/>
      <c r="N36" s="207"/>
      <c r="O36" s="301"/>
      <c r="P36" s="30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5">
      <c r="A37" s="11"/>
      <c r="B37" s="181"/>
      <c r="C37" s="11"/>
      <c r="D37" s="274"/>
      <c r="E37" s="207"/>
      <c r="F37" s="293"/>
      <c r="G37" s="293"/>
      <c r="H37" s="301"/>
      <c r="I37" s="11"/>
      <c r="J37" s="181"/>
      <c r="K37" s="274"/>
      <c r="L37" s="207"/>
      <c r="M37" s="207"/>
      <c r="N37" s="207"/>
      <c r="O37" s="301"/>
      <c r="P37" s="30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5">
      <c r="A38" s="11"/>
      <c r="B38" s="181"/>
      <c r="C38" s="11"/>
      <c r="D38" s="274"/>
      <c r="E38" s="207"/>
      <c r="F38" s="293"/>
      <c r="G38" s="293"/>
      <c r="H38" s="301"/>
      <c r="I38" s="11"/>
      <c r="J38" s="181"/>
      <c r="K38" s="274"/>
      <c r="L38" s="207"/>
      <c r="M38" s="207"/>
      <c r="N38" s="207"/>
      <c r="O38" s="301"/>
      <c r="P38" s="30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5">
      <c r="B39" s="329"/>
      <c r="C39" s="11"/>
      <c r="D39" s="274"/>
      <c r="E39" s="207"/>
      <c r="F39" s="293"/>
      <c r="G39" s="293"/>
      <c r="H39" s="301"/>
      <c r="I39" s="11"/>
      <c r="J39" s="181"/>
      <c r="K39" s="274"/>
      <c r="L39" s="207"/>
      <c r="M39" s="207"/>
      <c r="N39" s="207"/>
      <c r="O39" s="301"/>
      <c r="P39" s="30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25">
      <c r="B40" s="181"/>
      <c r="C40" s="11"/>
      <c r="D40" s="274"/>
      <c r="E40" s="207"/>
      <c r="F40" s="293"/>
      <c r="G40" s="293"/>
      <c r="H40" s="301"/>
      <c r="I40" s="11"/>
      <c r="J40" s="181"/>
      <c r="K40" s="274"/>
      <c r="L40" s="207"/>
      <c r="M40" s="207"/>
      <c r="N40" s="207"/>
      <c r="O40" s="301"/>
      <c r="P40" s="30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.75" thickBot="1" x14ac:dyDescent="0.3">
      <c r="A41" s="11"/>
      <c r="B41" s="287"/>
      <c r="C41" s="93"/>
      <c r="D41" s="162"/>
      <c r="E41" s="162"/>
      <c r="F41" s="294"/>
      <c r="G41" s="294"/>
      <c r="H41" s="302"/>
      <c r="I41" s="11"/>
      <c r="J41" s="287"/>
      <c r="K41" s="162"/>
      <c r="L41" s="162"/>
      <c r="M41" s="162"/>
      <c r="N41" s="162"/>
      <c r="O41" s="302"/>
      <c r="P41" s="302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2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.75" thickBot="1" x14ac:dyDescent="0.3">
      <c r="A45" s="11"/>
      <c r="B45" s="310" t="s">
        <v>274</v>
      </c>
      <c r="C45" s="11"/>
      <c r="D45" s="11"/>
      <c r="E45" s="11"/>
      <c r="F45" s="11"/>
      <c r="G45" s="11"/>
      <c r="H45" s="11"/>
      <c r="I45" s="310" t="s">
        <v>286</v>
      </c>
      <c r="J45" s="11"/>
      <c r="K45" s="11"/>
      <c r="L45" s="11"/>
      <c r="M45" s="11"/>
      <c r="O45" s="310" t="s">
        <v>287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.75" thickBot="1" x14ac:dyDescent="0.3">
      <c r="A46" s="11"/>
      <c r="B46" s="393" t="s">
        <v>272</v>
      </c>
      <c r="C46" s="394"/>
      <c r="D46" s="394"/>
      <c r="E46" s="394"/>
      <c r="F46" s="395"/>
      <c r="G46" s="265"/>
      <c r="H46" s="11"/>
      <c r="I46" s="393" t="s">
        <v>288</v>
      </c>
      <c r="J46" s="394"/>
      <c r="K46" s="394"/>
      <c r="L46" s="395"/>
      <c r="M46" s="321"/>
      <c r="O46" s="333" t="s">
        <v>289</v>
      </c>
      <c r="P46" s="334"/>
      <c r="Q46" s="334"/>
      <c r="R46" s="300"/>
      <c r="S46" s="32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.75" thickBot="1" x14ac:dyDescent="0.3">
      <c r="A47" s="11"/>
      <c r="B47" s="299" t="s">
        <v>266</v>
      </c>
      <c r="C47" s="299" t="s">
        <v>33</v>
      </c>
      <c r="D47" s="292" t="s">
        <v>269</v>
      </c>
      <c r="E47" s="299" t="s">
        <v>267</v>
      </c>
      <c r="F47" s="299" t="s">
        <v>271</v>
      </c>
      <c r="G47" s="336" t="s">
        <v>315</v>
      </c>
      <c r="H47" s="11"/>
      <c r="I47" s="299" t="s">
        <v>266</v>
      </c>
      <c r="J47" s="292" t="s">
        <v>269</v>
      </c>
      <c r="K47" s="299" t="s">
        <v>267</v>
      </c>
      <c r="L47" s="299" t="s">
        <v>271</v>
      </c>
      <c r="M47" s="336" t="s">
        <v>315</v>
      </c>
      <c r="O47" s="266" t="s">
        <v>266</v>
      </c>
      <c r="P47" s="270" t="s">
        <v>269</v>
      </c>
      <c r="Q47" s="266" t="s">
        <v>267</v>
      </c>
      <c r="R47" s="299" t="s">
        <v>271</v>
      </c>
      <c r="S47" s="336" t="s">
        <v>315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25">
      <c r="A48" s="11"/>
      <c r="B48" s="280"/>
      <c r="C48" s="297" t="s">
        <v>284</v>
      </c>
      <c r="D48" s="291">
        <v>0.2</v>
      </c>
      <c r="E48" s="291">
        <v>3</v>
      </c>
      <c r="F48" s="299" t="s">
        <v>277</v>
      </c>
      <c r="G48" s="299" t="s">
        <v>317</v>
      </c>
      <c r="H48" s="11"/>
      <c r="I48" s="280"/>
      <c r="J48" s="291">
        <v>0</v>
      </c>
      <c r="K48" s="292">
        <v>3</v>
      </c>
      <c r="L48" s="299" t="s">
        <v>276</v>
      </c>
      <c r="M48" s="299" t="s">
        <v>314</v>
      </c>
      <c r="O48" s="280">
        <v>2000</v>
      </c>
      <c r="P48" s="291">
        <v>0.4</v>
      </c>
      <c r="Q48" s="292">
        <v>3</v>
      </c>
      <c r="R48" s="299" t="s">
        <v>277</v>
      </c>
      <c r="S48" s="299" t="s">
        <v>317</v>
      </c>
      <c r="T48" s="338"/>
      <c r="U48" s="11"/>
      <c r="V48" s="11"/>
      <c r="W48" s="11"/>
      <c r="X48" s="11"/>
      <c r="Y48" s="11"/>
      <c r="Z48" s="11"/>
      <c r="AA48" s="11"/>
      <c r="AB48" s="11"/>
    </row>
    <row r="49" spans="1:30" x14ac:dyDescent="0.25">
      <c r="A49" s="11"/>
      <c r="B49" s="181"/>
      <c r="C49" s="274"/>
      <c r="D49" s="207"/>
      <c r="E49" s="207"/>
      <c r="F49" s="301"/>
      <c r="G49" s="301" t="s">
        <v>314</v>
      </c>
      <c r="H49" s="11"/>
      <c r="I49" s="181"/>
      <c r="J49" s="207"/>
      <c r="K49" s="293"/>
      <c r="L49" s="301"/>
      <c r="M49" s="301" t="s">
        <v>314</v>
      </c>
      <c r="O49" s="181">
        <v>3000</v>
      </c>
      <c r="P49" s="207">
        <v>0.4</v>
      </c>
      <c r="Q49" s="293">
        <v>3</v>
      </c>
      <c r="R49" s="301" t="s">
        <v>278</v>
      </c>
      <c r="T49" s="207"/>
      <c r="U49" s="11"/>
      <c r="V49" s="11"/>
      <c r="W49" s="11"/>
      <c r="X49" s="11"/>
      <c r="Y49" s="11"/>
      <c r="Z49" s="11"/>
      <c r="AA49" s="11"/>
      <c r="AB49" s="11"/>
    </row>
    <row r="50" spans="1:30" x14ac:dyDescent="0.25">
      <c r="A50" s="11"/>
      <c r="B50" s="181"/>
      <c r="C50" s="274"/>
      <c r="D50" s="207"/>
      <c r="E50" s="207"/>
      <c r="F50" s="301"/>
      <c r="G50" s="301"/>
      <c r="H50" s="11"/>
      <c r="I50" s="181"/>
      <c r="J50" s="207"/>
      <c r="K50" s="293"/>
      <c r="L50" s="301"/>
      <c r="M50" s="301"/>
      <c r="O50" s="181"/>
      <c r="P50" s="207"/>
      <c r="Q50" s="293"/>
      <c r="R50" s="301"/>
      <c r="S50" s="301"/>
      <c r="T50" s="207"/>
      <c r="U50" s="11"/>
      <c r="V50" s="11"/>
      <c r="W50" s="11"/>
      <c r="X50" s="11"/>
      <c r="Y50" s="11"/>
      <c r="Z50" s="11"/>
      <c r="AA50" s="11"/>
      <c r="AB50" s="11"/>
    </row>
    <row r="51" spans="1:30" ht="15.75" thickBot="1" x14ac:dyDescent="0.3">
      <c r="A51" s="11"/>
      <c r="B51" s="181"/>
      <c r="C51" s="274"/>
      <c r="D51" s="207"/>
      <c r="E51" s="207"/>
      <c r="F51" s="301"/>
      <c r="G51" s="301"/>
      <c r="H51" s="11"/>
      <c r="I51" s="181"/>
      <c r="J51" s="207"/>
      <c r="K51" s="293"/>
      <c r="L51" s="301"/>
      <c r="M51" s="301"/>
      <c r="O51" s="181"/>
      <c r="P51" s="207"/>
      <c r="Q51" s="293"/>
      <c r="R51" s="301"/>
      <c r="S51" s="301"/>
      <c r="T51" s="207"/>
      <c r="U51" s="11"/>
      <c r="V51" s="11"/>
      <c r="W51" s="11"/>
      <c r="X51" s="11"/>
      <c r="Y51" s="11"/>
      <c r="Z51" s="11"/>
      <c r="AA51" s="11"/>
      <c r="AB51" s="11"/>
    </row>
    <row r="52" spans="1:30" x14ac:dyDescent="0.25">
      <c r="A52" s="11"/>
      <c r="B52" s="181"/>
      <c r="C52" s="274"/>
      <c r="D52" s="207"/>
      <c r="E52" s="207"/>
      <c r="F52" s="301"/>
      <c r="G52" s="301"/>
      <c r="H52" s="11"/>
      <c r="I52" s="181"/>
      <c r="J52" s="207"/>
      <c r="K52" s="293"/>
      <c r="L52" s="301"/>
      <c r="M52" s="301"/>
      <c r="O52" s="181"/>
      <c r="P52" s="207"/>
      <c r="Q52" s="293"/>
      <c r="R52" s="301"/>
      <c r="S52" s="299" t="s">
        <v>316</v>
      </c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25">
      <c r="A53" s="11"/>
      <c r="B53" s="181"/>
      <c r="C53" s="274"/>
      <c r="D53" s="207"/>
      <c r="E53" s="207"/>
      <c r="F53" s="301"/>
      <c r="G53" s="301"/>
      <c r="H53" s="11"/>
      <c r="I53" s="181"/>
      <c r="J53" s="207"/>
      <c r="K53" s="293"/>
      <c r="L53" s="301"/>
      <c r="M53" s="301"/>
      <c r="O53" s="181"/>
      <c r="P53" s="207"/>
      <c r="Q53" s="293"/>
      <c r="R53" s="301"/>
      <c r="S53" s="30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25">
      <c r="A54" s="11"/>
      <c r="B54" s="181"/>
      <c r="C54" s="274"/>
      <c r="D54" s="207"/>
      <c r="E54" s="207"/>
      <c r="F54" s="301"/>
      <c r="G54" s="301"/>
      <c r="H54" s="11"/>
      <c r="I54" s="181"/>
      <c r="J54" s="207"/>
      <c r="K54" s="293"/>
      <c r="L54" s="301"/>
      <c r="M54" s="301"/>
      <c r="O54" s="181"/>
      <c r="P54" s="207"/>
      <c r="Q54" s="293"/>
      <c r="R54" s="301"/>
      <c r="S54" s="30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25">
      <c r="A55" s="11"/>
      <c r="B55" s="181"/>
      <c r="C55" s="274"/>
      <c r="D55" s="207"/>
      <c r="E55" s="207"/>
      <c r="F55" s="301"/>
      <c r="G55" s="301"/>
      <c r="H55" s="11"/>
      <c r="I55" s="181"/>
      <c r="J55" s="207"/>
      <c r="K55" s="293"/>
      <c r="L55" s="301"/>
      <c r="M55" s="301"/>
      <c r="O55" s="181"/>
      <c r="P55" s="207"/>
      <c r="Q55" s="293"/>
      <c r="R55" s="301"/>
      <c r="S55" s="30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25">
      <c r="A56" s="11"/>
      <c r="B56" s="181"/>
      <c r="C56" s="274"/>
      <c r="D56" s="207"/>
      <c r="E56" s="207"/>
      <c r="F56" s="301"/>
      <c r="G56" s="301"/>
      <c r="H56" s="11"/>
      <c r="I56" s="181"/>
      <c r="J56" s="207"/>
      <c r="K56" s="293"/>
      <c r="L56" s="301"/>
      <c r="M56" s="301"/>
      <c r="O56" s="181"/>
      <c r="P56" s="207"/>
      <c r="Q56" s="293"/>
      <c r="R56" s="301"/>
      <c r="S56" s="30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25">
      <c r="A57" s="11"/>
      <c r="B57" s="181"/>
      <c r="C57" s="274"/>
      <c r="D57" s="207"/>
      <c r="E57" s="207"/>
      <c r="F57" s="301"/>
      <c r="G57" s="301"/>
      <c r="H57" s="11"/>
      <c r="I57" s="181"/>
      <c r="J57" s="207"/>
      <c r="K57" s="293"/>
      <c r="L57" s="301"/>
      <c r="M57" s="301"/>
      <c r="O57" s="181"/>
      <c r="P57" s="207"/>
      <c r="Q57" s="293"/>
      <c r="R57" s="301"/>
      <c r="S57" s="30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25">
      <c r="A58" s="11"/>
      <c r="B58" s="181"/>
      <c r="C58" s="274"/>
      <c r="D58" s="207"/>
      <c r="E58" s="207"/>
      <c r="F58" s="301"/>
      <c r="G58" s="301"/>
      <c r="H58" s="11"/>
      <c r="I58" s="181"/>
      <c r="J58" s="207"/>
      <c r="K58" s="293"/>
      <c r="L58" s="301"/>
      <c r="M58" s="301"/>
      <c r="O58" s="181"/>
      <c r="P58" s="207"/>
      <c r="Q58" s="293"/>
      <c r="R58" s="301"/>
      <c r="S58" s="30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25">
      <c r="A59" s="11"/>
      <c r="B59" s="181"/>
      <c r="C59" s="274"/>
      <c r="D59" s="207"/>
      <c r="E59" s="207"/>
      <c r="F59" s="301"/>
      <c r="G59" s="301"/>
      <c r="H59" s="11"/>
      <c r="I59" s="181"/>
      <c r="J59" s="207"/>
      <c r="K59" s="293"/>
      <c r="L59" s="301"/>
      <c r="M59" s="301"/>
      <c r="O59" s="181"/>
      <c r="P59" s="207"/>
      <c r="Q59" s="293"/>
      <c r="R59" s="301"/>
      <c r="S59" s="30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.75" thickBot="1" x14ac:dyDescent="0.3">
      <c r="A60" s="11"/>
      <c r="B60" s="287"/>
      <c r="C60" s="298"/>
      <c r="D60" s="162"/>
      <c r="E60" s="162"/>
      <c r="F60" s="302"/>
      <c r="G60" s="302"/>
      <c r="H60" s="11"/>
      <c r="I60" s="287"/>
      <c r="J60" s="162"/>
      <c r="K60" s="294"/>
      <c r="L60" s="302"/>
      <c r="M60" s="302"/>
      <c r="O60" s="287"/>
      <c r="P60" s="162"/>
      <c r="Q60" s="294"/>
      <c r="R60" s="302"/>
      <c r="S60" s="302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2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2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2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2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2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25">
      <c r="B67" t="s">
        <v>313</v>
      </c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4">
    <mergeCell ref="B3:C3"/>
    <mergeCell ref="B9:F9"/>
    <mergeCell ref="B46:F46"/>
    <mergeCell ref="I46:L4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45F0EF3-B021-4170-8ADC-98224F42F710}">
          <x14:formula1>
            <xm:f>Systemblatt!$F$5:$F$17</xm:f>
          </x14:formula1>
          <xm:sqref>K11:K12 D29:D30 K29:K30 C48</xm:sqref>
        </x14:dataValidation>
        <x14:dataValidation type="list" allowBlank="1" showInputMessage="1" showErrorMessage="1" xr:uid="{28ED3534-5914-4DAD-BEAF-F76BA28652A3}">
          <x14:formula1>
            <xm:f>Pools!$D$7:$Q$7</xm:f>
          </x14:formula1>
          <xm:sqref>O48:O49</xm:sqref>
        </x14:dataValidation>
        <x14:dataValidation type="list" allowBlank="1" showInputMessage="1" showErrorMessage="1" xr:uid="{FA889F0F-1341-43AB-B0F4-6A43D7A24E32}">
          <x14:formula1>
            <xm:f>Systemblatt!$N$5:$N$9</xm:f>
          </x14:formula1>
          <xm:sqref>L11 L29:L30</xm:sqref>
        </x14:dataValidation>
        <x14:dataValidation type="list" allowBlank="1" showInputMessage="1" showErrorMessage="1" xr:uid="{9BC06F32-CB2A-4087-BE11-CBC60FDED132}">
          <x14:formula1>
            <xm:f>DataBank!$U$17:$U$19</xm:f>
          </x14:formula1>
          <xm:sqref>F11:F12 O11:O12 O29:O30 F48 R48:R49 L48</xm:sqref>
        </x14:dataValidation>
        <x14:dataValidation type="list" allowBlank="1" showInputMessage="1" showErrorMessage="1" xr:uid="{B201B459-4488-4EE7-BDBD-77BBFD6EB1B1}">
          <x14:formula1>
            <xm:f>Sources!$D$14:$D$21</xm:f>
          </x14:formula1>
          <xm:sqref>C11:C12</xm:sqref>
        </x14:dataValidation>
        <x14:dataValidation type="list" allowBlank="1" showInputMessage="1" showErrorMessage="1" xr:uid="{D94C3E92-DF24-470B-9C27-ECA79D33EEDC}">
          <x14:formula1>
            <xm:f>DataBank!$M$17:$M$19</xm:f>
          </x14:formula1>
          <xm:sqref>C4</xm:sqref>
        </x14:dataValidation>
        <x14:dataValidation type="list" allowBlank="1" showInputMessage="1" showErrorMessage="1" xr:uid="{37CD082C-2AA2-4E1A-895E-DDC46643805C}">
          <x14:formula1>
            <xm:f>DataBank!$O$17:$O$18</xm:f>
          </x14:formula1>
          <xm:sqref>C5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7" width="15.28515625" style="3" customWidth="1"/>
    <col min="18" max="18" width="17.85546875" style="3" bestFit="1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4" width="19.42578125" style="3" bestFit="1" customWidth="1"/>
    <col min="25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25">
      <c r="A6" s="5"/>
      <c r="B6" s="5"/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86"/>
      <c r="AL6" s="5"/>
      <c r="AM6" s="5"/>
      <c r="AN6" s="5"/>
      <c r="AO6" s="5"/>
    </row>
    <row r="7" spans="1:41" ht="15.75" thickBot="1" x14ac:dyDescent="0.3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5"/>
      <c r="L8" s="5"/>
      <c r="M8" s="317" t="s">
        <v>70</v>
      </c>
      <c r="N8" s="318"/>
      <c r="O8" s="318"/>
      <c r="P8" s="318"/>
      <c r="Q8" s="319"/>
      <c r="R8" s="5"/>
      <c r="S8" s="311" t="s">
        <v>76</v>
      </c>
      <c r="T8" s="312"/>
      <c r="U8" s="313"/>
      <c r="V8" s="12"/>
      <c r="W8" s="314" t="s">
        <v>106</v>
      </c>
      <c r="X8" s="315"/>
      <c r="Y8" s="315"/>
      <c r="Z8" s="316"/>
      <c r="AA8" s="11"/>
      <c r="AB8" s="314" t="s">
        <v>83</v>
      </c>
      <c r="AC8" s="315"/>
      <c r="AD8" s="315"/>
      <c r="AE8" s="315"/>
      <c r="AF8" s="316"/>
      <c r="AG8" s="11"/>
      <c r="AH8" s="314" t="s">
        <v>7</v>
      </c>
      <c r="AI8" s="315"/>
      <c r="AJ8" s="316"/>
      <c r="AK8" s="86"/>
      <c r="AL8" s="5"/>
      <c r="AM8" s="5"/>
      <c r="AN8" s="5"/>
      <c r="AO8" s="5"/>
    </row>
    <row r="9" spans="1:41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75" x14ac:dyDescent="0.3">
      <c r="A10" s="5"/>
      <c r="B10" s="5"/>
      <c r="C10" s="85"/>
      <c r="D10" s="66" t="s">
        <v>1</v>
      </c>
      <c r="E10" s="67" t="s">
        <v>303</v>
      </c>
      <c r="F10" s="213" t="s">
        <v>178</v>
      </c>
      <c r="G10" s="5"/>
      <c r="H10" s="66" t="s">
        <v>2</v>
      </c>
      <c r="I10" s="67"/>
      <c r="J10" s="95" t="s">
        <v>178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194</v>
      </c>
      <c r="S10" s="102">
        <v>4000</v>
      </c>
      <c r="T10" s="103" t="s">
        <v>284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284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.5" thickBot="1" x14ac:dyDescent="0.35">
      <c r="A11" s="5"/>
      <c r="B11" s="5"/>
      <c r="C11" s="85"/>
      <c r="D11" s="68" t="s">
        <v>3</v>
      </c>
      <c r="E11" s="69">
        <v>555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75" x14ac:dyDescent="0.3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6" t="s">
        <v>75</v>
      </c>
      <c r="N12" s="254" t="s">
        <v>173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0.2</v>
      </c>
      <c r="J13" s="86" t="s">
        <v>178</v>
      </c>
      <c r="K13" s="78"/>
      <c r="L13" s="78"/>
      <c r="M13" s="247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248"/>
      <c r="N14" s="108" t="s">
        <v>172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173</v>
      </c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75" x14ac:dyDescent="0.3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75"/>
      <c r="I17" s="242" t="s">
        <v>169</v>
      </c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75" x14ac:dyDescent="0.3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172</v>
      </c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75" x14ac:dyDescent="0.3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75" x14ac:dyDescent="0.3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75" x14ac:dyDescent="0.3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75" x14ac:dyDescent="0.3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.5" thickBot="1" x14ac:dyDescent="0.3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.5" thickBot="1" x14ac:dyDescent="0.3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2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2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75" x14ac:dyDescent="0.2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75" x14ac:dyDescent="0.2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75" x14ac:dyDescent="0.2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75" x14ac:dyDescent="0.2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75" x14ac:dyDescent="0.2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75" x14ac:dyDescent="0.2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75" x14ac:dyDescent="0.2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75" x14ac:dyDescent="0.2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2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.75" thickBot="1" x14ac:dyDescent="0.3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22</v>
      </c>
    </row>
    <row r="137" spans="18:18" x14ac:dyDescent="0.2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K36" sqref="K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0.5703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213</v>
      </c>
      <c r="F10" s="213" t="s">
        <v>178</v>
      </c>
      <c r="G10" s="5"/>
      <c r="H10" s="68" t="s">
        <v>2</v>
      </c>
      <c r="I10" s="69"/>
      <c r="J10" s="216" t="s">
        <v>178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194</v>
      </c>
      <c r="S10" s="139">
        <v>888</v>
      </c>
      <c r="T10" s="140" t="s">
        <v>171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75" x14ac:dyDescent="0.3">
      <c r="A11" s="5"/>
      <c r="B11" s="5"/>
      <c r="C11" s="85"/>
      <c r="D11" s="68" t="s">
        <v>3</v>
      </c>
      <c r="E11" s="69">
        <v>100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>
        <v>888</v>
      </c>
      <c r="T11" s="103" t="s">
        <v>172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5" t="s">
        <v>173</v>
      </c>
      <c r="O12" s="124"/>
      <c r="P12" s="78"/>
      <c r="Q12" s="126"/>
      <c r="R12" s="5"/>
      <c r="S12" s="102">
        <v>888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E13" s="69"/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75"/>
      <c r="N13" s="245" t="s">
        <v>172</v>
      </c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20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 t="s">
        <v>171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5"/>
      <c r="L15" s="5"/>
      <c r="M15" s="76"/>
      <c r="N15" s="78" t="s">
        <v>169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172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242" t="s">
        <v>173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171</v>
      </c>
      <c r="J18" s="213" t="s">
        <v>178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 t="s">
        <v>169</v>
      </c>
      <c r="J19" s="213" t="s">
        <v>178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244"/>
      <c r="J27" s="214" t="s">
        <v>178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6"/>
      <c r="E47" s="366"/>
      <c r="F47" s="366"/>
      <c r="G47" s="366"/>
      <c r="H47" s="366"/>
      <c r="I47" s="366"/>
      <c r="J47" s="366"/>
      <c r="K47" s="366"/>
      <c r="L47" s="36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P4" zoomScale="75" zoomScaleNormal="47" workbookViewId="0">
      <selection activeCell="X36" sqref="X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215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75" x14ac:dyDescent="0.3">
      <c r="A11" s="5"/>
      <c r="B11" s="5"/>
      <c r="C11" s="85"/>
      <c r="D11" s="68" t="s">
        <v>3</v>
      </c>
      <c r="E11" s="69">
        <v>999</v>
      </c>
      <c r="F11" s="213" t="s">
        <v>178</v>
      </c>
      <c r="G11" s="5"/>
      <c r="H11" s="68" t="s">
        <v>65</v>
      </c>
      <c r="I11" s="104">
        <v>1.0000000000000001E-9</v>
      </c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172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E13" s="69" t="s">
        <v>214</v>
      </c>
      <c r="F13" s="213" t="s">
        <v>178</v>
      </c>
      <c r="G13" s="5"/>
      <c r="H13" s="68" t="s">
        <v>67</v>
      </c>
      <c r="I13" s="104">
        <v>1</v>
      </c>
      <c r="J13" s="213" t="s">
        <v>178</v>
      </c>
      <c r="K13" s="5"/>
      <c r="L13" s="5"/>
      <c r="M13" s="75" t="s">
        <v>191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75" x14ac:dyDescent="0.3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172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75" x14ac:dyDescent="0.3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173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173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17"/>
      <c r="I17" s="69" t="s">
        <v>171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76"/>
      <c r="I18" s="69" t="s">
        <v>172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6"/>
      <c r="E47" s="366"/>
      <c r="F47" s="366"/>
      <c r="G47" s="366"/>
      <c r="H47" s="366"/>
      <c r="I47" s="366"/>
      <c r="J47" s="366"/>
      <c r="K47" s="366"/>
      <c r="L47" s="36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P1" zoomScale="75" zoomScaleNormal="47" workbookViewId="0">
      <selection activeCell="AF11" sqref="AF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7.2851562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212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0.5</v>
      </c>
      <c r="O10" s="249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0.1</v>
      </c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>
        <v>220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250"/>
      <c r="P11" s="78"/>
      <c r="Q11" s="126"/>
      <c r="R11" s="5"/>
      <c r="S11" s="102">
        <v>320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249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242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243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 t="s">
        <v>14</v>
      </c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243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5"/>
      <c r="L16" s="5"/>
      <c r="M16" s="248"/>
      <c r="N16" s="243"/>
      <c r="O16" s="243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5"/>
      <c r="L17" s="5"/>
      <c r="M17" s="248"/>
      <c r="N17" s="243"/>
      <c r="O17" s="243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69" t="s">
        <v>171</v>
      </c>
      <c r="J18" s="213"/>
      <c r="K18" s="5"/>
      <c r="L18" s="5"/>
      <c r="M18" s="248"/>
      <c r="N18" s="243"/>
      <c r="O18" s="243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5"/>
      <c r="L19" s="5"/>
      <c r="M19" s="248"/>
      <c r="N19" s="243"/>
      <c r="O19" s="243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5"/>
      <c r="L20" s="5"/>
      <c r="M20" s="243"/>
      <c r="N20" s="243"/>
      <c r="O20" s="243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243"/>
      <c r="N21" s="243"/>
      <c r="O21" s="243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243"/>
      <c r="N22" s="243"/>
      <c r="O22" s="243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243"/>
      <c r="N23" s="243"/>
      <c r="O23" s="243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243"/>
      <c r="N24" s="243"/>
      <c r="O24" s="243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243"/>
      <c r="N25" s="243"/>
      <c r="O25" s="243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243"/>
      <c r="N26" s="243"/>
      <c r="O26" s="243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244"/>
      <c r="N27" s="244"/>
      <c r="O27" s="244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6"/>
      <c r="E47" s="366"/>
      <c r="F47" s="366"/>
      <c r="G47" s="366"/>
      <c r="H47" s="366"/>
      <c r="I47" s="366"/>
      <c r="J47" s="366"/>
      <c r="K47" s="366"/>
      <c r="L47" s="36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7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302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>
        <v>320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220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60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6"/>
      <c r="E47" s="366"/>
      <c r="F47" s="366"/>
      <c r="G47" s="366"/>
      <c r="H47" s="366"/>
      <c r="I47" s="366"/>
      <c r="J47" s="366"/>
      <c r="K47" s="366"/>
      <c r="L47" s="36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E43" sqref="E43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232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0.2</v>
      </c>
      <c r="O10" s="178"/>
      <c r="P10" s="179"/>
      <c r="Q10" s="180"/>
      <c r="R10" s="5" t="s">
        <v>194</v>
      </c>
      <c r="S10" s="102">
        <v>330</v>
      </c>
      <c r="T10" s="103" t="s">
        <v>169</v>
      </c>
      <c r="U10" s="104">
        <v>0.75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0.1</v>
      </c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>
        <v>230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124"/>
      <c r="P11" s="78"/>
      <c r="Q11" s="126"/>
      <c r="R11" s="5" t="s">
        <v>188</v>
      </c>
      <c r="S11" s="102">
        <v>330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 t="s">
        <v>14</v>
      </c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46"/>
      <c r="I17" s="69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248"/>
      <c r="I18" s="69" t="s">
        <v>171</v>
      </c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248"/>
      <c r="I19" s="69" t="s">
        <v>172</v>
      </c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248"/>
      <c r="I20" s="69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243"/>
      <c r="I21" s="69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243"/>
      <c r="I22" s="69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243"/>
      <c r="I23" s="81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243"/>
      <c r="I24" s="81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243"/>
      <c r="I25" s="81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243"/>
      <c r="I26" s="81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244"/>
      <c r="I27" s="80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6"/>
      <c r="E47" s="366"/>
      <c r="F47" s="366"/>
      <c r="G47" s="366"/>
      <c r="H47" s="366"/>
      <c r="I47" s="366"/>
      <c r="J47" s="366"/>
      <c r="K47" s="366"/>
      <c r="L47" s="36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P1" zoomScale="75" zoomScaleNormal="47" workbookViewId="0">
      <selection activeCell="S11" sqref="S11:U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4.85546875" style="3" customWidth="1"/>
    <col min="5" max="5" width="16.425781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233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1</v>
      </c>
      <c r="V10" s="83"/>
      <c r="W10" s="137"/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>
        <v>330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230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65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6"/>
      <c r="E47" s="366"/>
      <c r="F47" s="366"/>
      <c r="G47" s="366"/>
      <c r="H47" s="366"/>
      <c r="I47" s="366"/>
      <c r="J47" s="366"/>
      <c r="K47" s="366"/>
      <c r="L47" s="36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P5" sqref="P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6.4257812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6" width="20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 t="s">
        <v>202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249">
        <v>1E-4</v>
      </c>
      <c r="O10" s="178">
        <v>0.2</v>
      </c>
      <c r="P10" s="255"/>
      <c r="Q10" s="180"/>
      <c r="R10" s="113"/>
      <c r="S10" s="102">
        <v>2000</v>
      </c>
      <c r="T10" s="103" t="s">
        <v>196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173</v>
      </c>
      <c r="AF10" s="136">
        <v>10</v>
      </c>
      <c r="AG10" s="119"/>
      <c r="AH10" s="125" t="s">
        <v>173</v>
      </c>
      <c r="AI10" s="124">
        <v>1</v>
      </c>
      <c r="AJ10" s="126">
        <v>-1</v>
      </c>
      <c r="AK10" s="114"/>
      <c r="AL10" s="127">
        <v>1</v>
      </c>
      <c r="AM10" s="128" t="s">
        <v>173</v>
      </c>
      <c r="AN10" s="129">
        <v>0.95</v>
      </c>
      <c r="AO10" s="86"/>
    </row>
    <row r="11" spans="3:41" ht="19.5" thickBot="1" x14ac:dyDescent="0.35">
      <c r="C11" s="85"/>
      <c r="D11" s="68" t="s">
        <v>3</v>
      </c>
      <c r="E11" s="69">
        <v>210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78"/>
      <c r="L11" s="78"/>
      <c r="M11" s="253" t="s">
        <v>74</v>
      </c>
      <c r="N11" s="250" t="s">
        <v>12</v>
      </c>
      <c r="O11" s="124" t="s">
        <v>12</v>
      </c>
      <c r="P11" s="256"/>
      <c r="Q11" s="257"/>
      <c r="R11" s="113"/>
      <c r="S11" s="102">
        <v>2000</v>
      </c>
      <c r="T11" s="103" t="s">
        <v>14</v>
      </c>
      <c r="U11" s="104">
        <v>5.0000000000000001E-3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6" t="s">
        <v>75</v>
      </c>
      <c r="N12" s="249" t="s">
        <v>171</v>
      </c>
      <c r="O12" s="249" t="s">
        <v>171</v>
      </c>
      <c r="P12" s="179"/>
      <c r="Q12" s="180"/>
      <c r="R12" s="113"/>
      <c r="S12" s="102">
        <v>2000</v>
      </c>
      <c r="T12" s="103" t="s">
        <v>176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196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247"/>
      <c r="N13" s="251" t="s">
        <v>172</v>
      </c>
      <c r="O13" s="251" t="s">
        <v>172</v>
      </c>
      <c r="P13" s="74"/>
      <c r="Q13" s="69"/>
      <c r="R13" s="113"/>
      <c r="S13" s="102">
        <v>1000</v>
      </c>
      <c r="T13" s="103" t="s">
        <v>176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176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248"/>
      <c r="N14" s="251" t="s">
        <v>173</v>
      </c>
      <c r="O14" s="251" t="s">
        <v>173</v>
      </c>
      <c r="P14" s="78"/>
      <c r="Q14" s="81"/>
      <c r="R14" s="113"/>
      <c r="S14" s="102">
        <v>1000</v>
      </c>
      <c r="T14" s="74" t="s">
        <v>196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248"/>
      <c r="N15" s="242" t="s">
        <v>169</v>
      </c>
      <c r="O15" s="242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248"/>
      <c r="N16" s="243"/>
      <c r="O16" s="243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248"/>
      <c r="N17" s="243"/>
      <c r="O17" s="243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>
        <v>30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248"/>
      <c r="N18" s="243"/>
      <c r="O18" s="243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248"/>
      <c r="N19" s="243"/>
      <c r="O19" s="243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243"/>
      <c r="N20" s="243"/>
      <c r="O20" s="243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243"/>
      <c r="N21" s="243"/>
      <c r="O21" s="243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243"/>
      <c r="N22" s="243"/>
      <c r="O22" s="243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243"/>
      <c r="N23" s="243"/>
      <c r="O23" s="243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243"/>
      <c r="N24" s="243"/>
      <c r="O24" s="243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243"/>
      <c r="N25" s="243"/>
      <c r="O25" s="243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243"/>
      <c r="N26" s="243"/>
      <c r="O26" s="243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78"/>
      <c r="L27" s="78"/>
      <c r="M27" s="244"/>
      <c r="N27" s="244"/>
      <c r="O27" s="244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A3" zoomScale="70" zoomScaleNormal="70" workbookViewId="0">
      <selection activeCell="I12" sqref="I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8.570312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6" width="19.85546875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261" t="s">
        <v>203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175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173</v>
      </c>
      <c r="AI10" s="124">
        <v>2</v>
      </c>
      <c r="AJ10" s="126">
        <v>-1</v>
      </c>
      <c r="AK10" s="114"/>
      <c r="AL10" s="127">
        <v>2</v>
      </c>
      <c r="AM10" s="128" t="s">
        <v>173</v>
      </c>
      <c r="AN10" s="129">
        <v>0.99</v>
      </c>
      <c r="AO10" s="86"/>
    </row>
    <row r="11" spans="3:41" ht="18.75" x14ac:dyDescent="0.3">
      <c r="C11" s="85"/>
      <c r="D11" s="68" t="s">
        <v>3</v>
      </c>
      <c r="E11" s="69">
        <v>200</v>
      </c>
      <c r="F11" s="213" t="s">
        <v>178</v>
      </c>
      <c r="G11" s="5"/>
      <c r="H11" s="68" t="s">
        <v>65</v>
      </c>
      <c r="I11" s="104">
        <v>0</v>
      </c>
      <c r="J11" s="213" t="s">
        <v>187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175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175</v>
      </c>
      <c r="AI11" s="124">
        <v>2</v>
      </c>
      <c r="AJ11" s="126">
        <v>0.25</v>
      </c>
      <c r="AK11" s="114"/>
      <c r="AL11" s="115">
        <v>3</v>
      </c>
      <c r="AM11" s="6" t="s">
        <v>172</v>
      </c>
      <c r="AN11" s="130">
        <v>0.5</v>
      </c>
      <c r="AO11" s="86"/>
    </row>
    <row r="12" spans="3:41" ht="18.75" x14ac:dyDescent="0.3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100</v>
      </c>
      <c r="J12" s="213" t="str">
        <f>J15</f>
        <v>t/h</v>
      </c>
      <c r="K12" s="78"/>
      <c r="L12" s="78"/>
      <c r="M12" s="75" t="s">
        <v>75</v>
      </c>
      <c r="N12" s="124" t="s">
        <v>173</v>
      </c>
      <c r="O12" s="124" t="s">
        <v>173</v>
      </c>
      <c r="P12" s="78"/>
      <c r="Q12" s="126"/>
      <c r="R12" s="113"/>
      <c r="S12" s="50">
        <v>1000</v>
      </c>
      <c r="T12" s="74" t="s">
        <v>176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176</v>
      </c>
      <c r="AI12" s="124">
        <v>2</v>
      </c>
      <c r="AJ12" s="126">
        <v>0.75</v>
      </c>
      <c r="AK12" s="114"/>
      <c r="AL12" s="115">
        <v>4</v>
      </c>
      <c r="AM12" s="6" t="s">
        <v>171</v>
      </c>
      <c r="AN12" s="130">
        <v>0.6</v>
      </c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75"/>
      <c r="N13" s="74" t="s">
        <v>171</v>
      </c>
      <c r="O13" s="74" t="s">
        <v>171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172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76"/>
      <c r="N14" s="74" t="s">
        <v>172</v>
      </c>
      <c r="O14" s="74" t="s">
        <v>172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175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176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>
        <v>20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175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>
        <v>35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176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I12" sqref="I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3.4257812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 t="s">
        <v>204</v>
      </c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8.75" x14ac:dyDescent="0.3">
      <c r="C11" s="85"/>
      <c r="D11" s="68" t="s">
        <v>3</v>
      </c>
      <c r="E11" s="69">
        <v>300</v>
      </c>
      <c r="F11" s="213" t="s">
        <v>178</v>
      </c>
      <c r="G11" s="5"/>
      <c r="H11" s="68" t="s">
        <v>65</v>
      </c>
      <c r="I11" s="104">
        <v>0</v>
      </c>
      <c r="J11" s="86" t="s">
        <v>187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>
        <v>100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E13" s="3" t="s">
        <v>205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78"/>
      <c r="L13" s="78"/>
      <c r="M13" s="75" t="s">
        <v>191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75" x14ac:dyDescent="0.3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75" x14ac:dyDescent="0.3"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175</v>
      </c>
      <c r="J16" s="86" t="s">
        <v>178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193</v>
      </c>
      <c r="G17" s="5"/>
      <c r="H17" s="75" t="s">
        <v>191</v>
      </c>
      <c r="I17" s="69"/>
      <c r="J17" s="86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193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193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193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J35" sqref="J3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5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 t="s">
        <v>227</v>
      </c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9.5" thickBot="1" x14ac:dyDescent="0.35">
      <c r="C11" s="85"/>
      <c r="D11" s="68" t="s">
        <v>3</v>
      </c>
      <c r="E11" s="69">
        <v>310</v>
      </c>
      <c r="F11" s="213" t="s">
        <v>178</v>
      </c>
      <c r="G11" s="5"/>
      <c r="H11" s="68" t="s">
        <v>65</v>
      </c>
      <c r="I11" s="104">
        <v>0</v>
      </c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>
        <v>100</v>
      </c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241" t="s">
        <v>175</v>
      </c>
      <c r="J16" s="95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193</v>
      </c>
      <c r="G17" s="5"/>
      <c r="H17" s="75"/>
      <c r="I17" s="242"/>
      <c r="J17" s="86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193</v>
      </c>
      <c r="G18" s="5"/>
      <c r="H18" s="76"/>
      <c r="I18" s="242"/>
      <c r="J18" s="86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193</v>
      </c>
      <c r="G19" s="5"/>
      <c r="H19" s="76"/>
      <c r="I19" s="242"/>
      <c r="J19" s="86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193</v>
      </c>
      <c r="G20" s="5"/>
      <c r="H20" s="76"/>
      <c r="I20" s="242"/>
      <c r="J20" s="86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86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242"/>
      <c r="J22" s="86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243"/>
      <c r="J23" s="86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243"/>
      <c r="J24" s="86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243"/>
      <c r="J25" s="86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243"/>
      <c r="J26" s="86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6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2023-12-04T14:03:03Z</dcterms:modified>
</cp:coreProperties>
</file>