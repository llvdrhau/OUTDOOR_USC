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"/>
    </mc:Choice>
  </mc:AlternateContent>
  <xr:revisionPtr revIDLastSave="0" documentId="13_ncr:1_{55B143EC-B00F-44D9-B822-41F1B51B35A9}" xr6:coauthVersionLast="47" xr6:coauthVersionMax="47" xr10:uidLastSave="{00000000-0000-0000-0000-000000000000}"/>
  <bookViews>
    <workbookView xWindow="57480" yWindow="-1680" windowWidth="29040" windowHeight="15720" tabRatio="609" activeTab="11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r:id="rId7"/>
    <sheet name="Pools" sheetId="114" r:id="rId8"/>
    <sheet name="Sources" sheetId="115" r:id="rId9"/>
    <sheet name="Uncertainty_test_idea" sheetId="136" state="hidden" r:id="rId10"/>
    <sheet name="Distributor" sheetId="119" r:id="rId11"/>
    <sheet name="Uncertainty" sheetId="138" r:id="rId12"/>
    <sheet name="preprocessing" sheetId="124" r:id="rId13"/>
    <sheet name="help_unit" sheetId="129" r:id="rId14"/>
    <sheet name="Microwave assisted extraction" sheetId="125" r:id="rId15"/>
    <sheet name="Solvent recovery" sheetId="132" r:id="rId16"/>
    <sheet name="ultra sound assisted extraction" sheetId="133" r:id="rId17"/>
    <sheet name="Solvent Recovery 2" sheetId="134" r:id="rId18"/>
    <sheet name="Yeast Fermentation" sheetId="127" r:id="rId19"/>
    <sheet name="Anaerobic Digestor" sheetId="126" r:id="rId20"/>
    <sheet name="elek Generator" sheetId="128" r:id="rId21"/>
    <sheet name="steam generator" sheetId="131" r:id="rId22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36" l="1"/>
  <c r="D13" i="136"/>
  <c r="D12" i="136"/>
  <c r="D11" i="136"/>
  <c r="D10" i="136"/>
  <c r="D9" i="136"/>
  <c r="D8" i="136"/>
  <c r="D7" i="136"/>
  <c r="E27" i="134"/>
  <c r="J12" i="134"/>
  <c r="E27" i="133"/>
  <c r="J12" i="133"/>
  <c r="E27" i="132"/>
  <c r="J12" i="132"/>
  <c r="E27" i="131"/>
  <c r="J12" i="131"/>
  <c r="E27" i="128"/>
  <c r="E27" i="126"/>
  <c r="E27" i="127"/>
  <c r="E27" i="125"/>
  <c r="E27" i="129"/>
  <c r="E27" i="124"/>
  <c r="E27" i="121"/>
  <c r="E26" i="103"/>
  <c r="E27" i="120"/>
  <c r="E27" i="90"/>
  <c r="E27" i="83"/>
  <c r="J12" i="129"/>
  <c r="J12" i="128"/>
  <c r="J12" i="127"/>
  <c r="J12" i="126"/>
  <c r="J12" i="125"/>
  <c r="J12" i="124"/>
  <c r="J12" i="121"/>
  <c r="J12" i="120"/>
  <c r="J11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<sst xmlns="http://schemas.openxmlformats.org/spreadsheetml/2006/main" count="1963" uniqueCount="297">
  <si>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</si>
  <si>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</si>
  <si>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</si>
  <si>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</si>
  <si>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</si>
  <si>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</si>
  <si>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</si>
  <si>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</si>
  <si>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</si>
  <si>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</si>
  <si>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</si>
  <si>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</si>
  <si>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</si>
  <si>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</si>
  <si>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</si>
  <si>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</si>
  <si>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</si>
  <si>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</si>
  <si>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Productload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</si>
  <si>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</si>
  <si>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</si>
  <si>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</si>
  <si>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</si>
  <si>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</si>
  <si>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</si>
  <si>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</si>
  <si>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</si>
  <si>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b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</si>
  <si>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</si>
  <si>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</si>
  <si>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</si>
  <si>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</si>
  <si>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</si>
  <si>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</si>
  <si>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</si>
  <si>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</si>
  <si>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</si>
  <si>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</si>
  <si>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</si>
  <si>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</si>
  <si>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</si>
  <si>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</si>
  <si>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</si>
  <si>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</si>
  <si>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</si>
  <si>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</si>
  <si>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</si>
  <si>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</si>
  <si>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</si>
  <si>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</si>
  <si>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</si>
  <si>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</si>
  <si>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</si>
  <si>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</si>
  <si>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</si>
  <si>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</si>
  <si>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</si>
  <si>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</si>
  <si>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</si>
  <si>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</si>
  <si>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</si>
  <si>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</si>
  <si>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</si>
  <si>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</si>
  <si>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</si>
  <si>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</si>
  <si>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</si>
  <si>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</si>
  <si>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</si>
  <si>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</si>
  <si>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</si>
  <si>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</si>
  <si>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</si>
  <si>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</si>
  <si>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</si>
  <si>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</si>
  <si>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</si>
  <si>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</si>
  <si>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</si>
  <si>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</si>
  <si>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</si>
  <si>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</si>
  <si>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</si>
  <si>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</si>
  <si>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</si>
  <si>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</si>
  <si>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</si>
  <si>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</si>
  <si>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</si>
  <si>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</si>
  <si>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</si>
  <si>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</si>
  <si>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</si>
  <si>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</si>
  <si>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</si>
  <si>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</si>
  <si>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</si>
  <si>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</si>
  <si>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</si>
  <si>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</si>
  <si>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</si>
  <si>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</si>
  <si>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</si>
  <si>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</si>
  <si>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</si>
  <si>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</si>
  <si>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</si>
  <si>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</si>
  <si>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</si>
  <si>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</si>
  <si>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</si>
  <si>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</si>
  <si>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</si>
  <si>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</si>
  <si>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</si>
  <si>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</si>
  <si>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MinProduction</t>
  </si>
  <si>
    <t>MaxProduction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</si>
  <si>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</si>
  <si>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</si>
  <si>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</si>
  <si>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</si>
  <si>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</si>
  <si>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</si>
  <si>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</si>
  <si>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</si>
  <si>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</si>
  <si>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</si>
  <si>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</si>
  <si>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</si>
  <si>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</si>
  <si>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</si>
  <si>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</si>
  <si>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</si>
  <si>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</si>
  <si>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</si>
  <si>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</si>
  <si>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</si>
  <si>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</si>
  <si>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</si>
  <si>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</si>
  <si>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</si>
  <si>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</si>
  <si>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</si>
  <si>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</si>
  <si>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</si>
  <si>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</si>
  <si>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</si>
  <si>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</si>
  <si>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</si>
  <si>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</si>
  <si>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</si>
  <si>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</si>
  <si>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</si>
  <si>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</si>
  <si>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</si>
  <si>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</si>
  <si>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</si>
  <si>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</si>
  <si>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</si>
  <si>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</si>
  <si>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</si>
  <si>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</si>
  <si>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</si>
  <si>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</si>
  <si>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</si>
  <si>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</si>
  <si>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</si>
  <si>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</si>
  <si>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</si>
  <si>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</si>
  <si>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</si>
  <si>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</si>
  <si>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</si>
  <si>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</si>
  <si>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</si>
  <si>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</si>
  <si>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</si>
  <si>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</si>
  <si>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</si>
  <si>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</si>
  <si>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</si>
  <si>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</si>
  <si>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</si>
  <si>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</si>
  <si>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</si>
  <si>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</si>
  <si>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</si>
  <si>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</si>
  <si>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</si>
  <si>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</si>
  <si>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</si>
  <si>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</si>
  <si>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</si>
  <si>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</si>
  <si>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Source list</t>
  </si>
  <si>
    <t>Ethanol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</si>
  <si>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</si>
  <si>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</si>
  <si>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</si>
  <si>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</si>
  <si>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</si>
  <si>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</si>
  <si>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</si>
  <si>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</si>
  <si>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</si>
  <si>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</si>
  <si>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</si>
  <si>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</si>
  <si>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</si>
  <si>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</si>
  <si>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</si>
  <si>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</si>
  <si>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</si>
  <si>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</si>
  <si>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</si>
  <si>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</si>
  <si>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</si>
  <si>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</si>
  <si>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</si>
  <si>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</si>
  <si>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</si>
  <si>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</si>
  <si>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</si>
  <si>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</si>
  <si>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</si>
  <si>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</si>
  <si>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</si>
  <si>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</si>
  <si>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</si>
  <si>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</si>
  <si>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steam gen.</t>
  </si>
  <si>
    <t>Methane</t>
  </si>
  <si>
    <t>Solvent</t>
  </si>
  <si>
    <t>DES</t>
  </si>
  <si>
    <t>DES recovery</t>
  </si>
  <si>
    <t>gas splitter</t>
  </si>
  <si>
    <t>UAE</t>
  </si>
  <si>
    <t>Solvent recov2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</si>
  <si>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</si>
  <si>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</si>
  <si>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</si>
  <si>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</si>
  <si>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</si>
  <si>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</si>
  <si>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</si>
  <si>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</si>
  <si>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</si>
  <si>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</si>
  <si>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</si>
  <si>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</si>
  <si>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</si>
  <si>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</si>
  <si>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</si>
  <si>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</si>
  <si>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</si>
  <si>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</si>
  <si>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</si>
  <si>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>high low</t>
  </si>
  <si>
    <t>high averg. Low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</si>
  <si>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</si>
  <si>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</si>
  <si>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</si>
  <si>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</si>
  <si>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</si>
  <si>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</si>
  <si>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</si>
  <si>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</si>
  <si>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Equal </t>
  </si>
  <si>
    <t xml:space="preserve">Manual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</si>
  <si>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</si>
  <si>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</si>
  <si>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</si>
  <si>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</si>
  <si>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</si>
  <si>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</si>
  <si>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</si>
  <si>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</si>
  <si>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</si>
  <si>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Conversion factor (Theta)</t>
  </si>
  <si>
    <t>Stoichiometric factor (Gamma)</t>
  </si>
  <si>
    <t>high - low</t>
  </si>
  <si>
    <t>low avg. High</t>
  </si>
  <si>
    <t xml:space="preserve">low low , low avg, high avg. High </t>
  </si>
  <si>
    <t>…</t>
  </si>
  <si>
    <t xml:space="preserve">level is the parameter to decide the detail of discreet uncertain scenarios </t>
  </si>
  <si>
    <t>Correlation</t>
  </si>
  <si>
    <t>Split factors (Mu)</t>
  </si>
  <si>
    <t>Feed Composition (Phi)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</si>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</sst>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81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14" fillId="5" borderId="0" xfId="1" applyFont="1" applyFill="1" applyAlignment="1" applyProtection="1">
      <alignment vertic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9" fillId="5" borderId="18" xfId="4" applyFont="1" applyFill="1" applyBorder="1" applyAlignment="1" applyProtection="1">
      <alignment horizontal="center"/>
      <protection locked="0"/>
    </xf>
    <xf numFmtId="0" fontId="19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9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21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20" fillId="5" borderId="18" xfId="0" applyFont="1" applyFill="1" applyBorder="1" applyAlignment="1">
      <alignment horizontal="center"/>
    </xf>
    <xf numFmtId="0" fontId="20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20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3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4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5" fillId="16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5" fillId="0" borderId="0" xfId="0" applyFont="1" applyAlignment="1" applyProtection="1">
      <alignment horizontal="center"/>
      <protection locked="0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7" borderId="5" xfId="0" applyFill="1" applyBorder="1" applyAlignment="1">
      <alignment horizontal="center"/>
    </xf>
    <xf numFmtId="0" fontId="0" fillId="17" borderId="3" xfId="0" applyFill="1" applyBorder="1" applyAlignment="1">
      <alignment horizontal="center"/>
    </xf>
    <xf numFmtId="0" fontId="0" fillId="17" borderId="0" xfId="0" applyFill="1" applyAlignment="1">
      <alignment horizontal="center"/>
    </xf>
    <xf numFmtId="0" fontId="0" fillId="17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7" borderId="12" xfId="0" applyFill="1" applyBorder="1" applyAlignment="1">
      <alignment horizontal="center"/>
    </xf>
    <xf numFmtId="0" fontId="0" fillId="17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7" borderId="14" xfId="0" applyFill="1" applyBorder="1" applyAlignment="1">
      <alignment horizontal="center"/>
    </xf>
    <xf numFmtId="0" fontId="0" fillId="17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4" fillId="7" borderId="10" xfId="1" applyFont="1" applyFill="1" applyBorder="1" applyAlignment="1" applyProtection="1">
      <alignment horizontal="center" vertical="center"/>
      <protection locked="0"/>
    </xf>
    <xf numFmtId="0" fontId="14" fillId="7" borderId="3" xfId="1" applyFont="1" applyFill="1" applyBorder="1" applyAlignment="1" applyProtection="1">
      <alignment horizontal="center" vertical="center"/>
      <protection locked="0"/>
    </xf>
    <xf numFmtId="0" fontId="14" fillId="7" borderId="11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0" fillId="0" borderId="7" xfId="0" applyBorder="1"/>
    <xf numFmtId="0" fontId="0" fillId="0" borderId="18" xfId="0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0" xfId="0" applyFill="1" applyBorder="1"/>
    <xf numFmtId="0" fontId="0" fillId="5" borderId="0" xfId="0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0" fillId="5" borderId="7" xfId="0" applyFill="1" applyBorder="1" applyAlignment="1">
      <alignment horizontal="left" vertical="top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25" fillId="5" borderId="0" xfId="0" applyFont="1" applyFill="1"/>
    <xf numFmtId="0" fontId="25" fillId="5" borderId="0" xfId="0" applyFont="1" applyFill="1" applyAlignment="1">
      <alignment horizontal="left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180975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104775</xdr:rowOff>
        </xdr:from>
        <xdr:to>
          <xdr:col>2</xdr:col>
          <xdr:colOff>866775</xdr:colOff>
          <xdr:row>37</xdr:row>
          <xdr:rowOff>142875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1362075</xdr:colOff>
          <xdr:row>39</xdr:row>
          <xdr:rowOff>104775</xdr:rowOff>
        </xdr:from>
        <xdr:to>
          <xdr:col>2</xdr:col>
          <xdr:colOff>847725</xdr:colOff>
          <xdr:row>42</xdr:row>
          <xdr:rowOff>161925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847725</xdr:colOff>
          <xdr:row>47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752475</xdr:colOff>
          <xdr:row>51</xdr:row>
          <xdr:rowOff>104775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18" zoomScale="70" zoomScaleNormal="70" workbookViewId="0">
      <selection activeCell="C7" sqref="C7"/>
    </sheetView>
  </sheetViews>
  <sheetFormatPr baseColWidth="10" defaultColWidth="10.85546875" defaultRowHeight="15.75" x14ac:dyDescent="0.25"/>
  <cols>
    <col min="1" max="1" width="19.42578125" style="2" customWidth="1"/>
    <col min="2" max="2" width="41.28515625" style="2" customWidth="1"/>
    <col min="3" max="3" width="19.42578125" style="2" bestFit="1" customWidth="1"/>
    <col min="4" max="4" width="13.85546875" style="2" customWidth="1"/>
    <col min="5" max="6" width="21.28515625" style="2" customWidth="1"/>
    <col min="7" max="7" width="17.7109375" style="2" customWidth="1"/>
    <col min="8" max="8" width="22.7109375" style="2" bestFit="1" customWidth="1"/>
    <col min="9" max="9" width="21.85546875" style="2" bestFit="1" customWidth="1"/>
    <col min="10" max="10" width="21" style="2" bestFit="1" customWidth="1"/>
    <col min="11" max="11" width="19.28515625" style="2" customWidth="1"/>
    <col min="12" max="13" width="20.140625" style="2" customWidth="1"/>
    <col min="14" max="14" width="28.85546875" style="2" bestFit="1" customWidth="1"/>
    <col min="15" max="15" width="32.5703125" style="2" bestFit="1" customWidth="1"/>
    <col min="16" max="16" width="19.140625" style="2" bestFit="1" customWidth="1"/>
    <col min="17" max="17" width="16" style="2" bestFit="1" customWidth="1"/>
    <col min="18" max="18" width="22.85546875" style="2" bestFit="1" customWidth="1"/>
    <col min="19" max="19" width="23.85546875" style="2" bestFit="1" customWidth="1"/>
    <col min="20" max="20" width="19.85546875" style="2" bestFit="1" customWidth="1"/>
    <col min="21" max="21" width="19.28515625" style="2" customWidth="1"/>
    <col min="22" max="22" width="23.28515625" style="2" bestFit="1" customWidth="1"/>
    <col min="23" max="23" width="20.140625" style="2" bestFit="1" customWidth="1"/>
    <col min="24" max="24" width="10.85546875" style="2"/>
    <col min="25" max="25" width="10.85546875" style="2" customWidth="1"/>
    <col min="26" max="16384" width="10.85546875" style="2"/>
  </cols>
  <sheetData>
    <row r="1" spans="1:29" ht="21.75" thickBot="1" x14ac:dyDescent="0.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.5" thickBot="1" x14ac:dyDescent="0.3">
      <c r="A2" s="5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6"/>
      <c r="AA2" s="14"/>
      <c r="AB2" s="14"/>
      <c r="AC2" s="14"/>
    </row>
    <row r="3" spans="1:29" ht="27" customHeight="1" thickBot="1" x14ac:dyDescent="0.3">
      <c r="A3" s="38"/>
      <c r="B3" s="305" t="s">
        <v>31</v>
      </c>
      <c r="C3" s="306"/>
      <c r="D3" s="307"/>
      <c r="E3" s="320" t="s">
        <v>34</v>
      </c>
      <c r="F3" s="321"/>
      <c r="G3" s="321"/>
      <c r="H3" s="321"/>
      <c r="I3" s="321"/>
      <c r="J3" s="322"/>
      <c r="K3" s="33"/>
      <c r="L3" s="14"/>
      <c r="M3" s="14"/>
      <c r="N3" s="311" t="s">
        <v>37</v>
      </c>
      <c r="O3" s="312"/>
      <c r="P3" s="313"/>
      <c r="Q3" s="14"/>
      <c r="R3" s="14"/>
      <c r="S3" s="314" t="s">
        <v>41</v>
      </c>
      <c r="T3" s="315"/>
      <c r="U3" s="315"/>
      <c r="V3" s="316"/>
      <c r="W3" s="14"/>
      <c r="X3" s="14"/>
      <c r="Y3" s="14"/>
      <c r="Z3" s="37"/>
      <c r="AA3" s="14"/>
      <c r="AB3" s="14"/>
      <c r="AC3" s="14"/>
    </row>
    <row r="4" spans="1:29" ht="107.1" customHeight="1" thickBot="1" x14ac:dyDescent="0.3">
      <c r="A4" s="38"/>
      <c r="B4" s="189" t="s">
        <v>32</v>
      </c>
      <c r="C4" s="190" t="s">
        <v>0</v>
      </c>
      <c r="D4" s="235" t="s">
        <v>181</v>
      </c>
      <c r="E4" s="185" t="s">
        <v>35</v>
      </c>
      <c r="F4" s="186" t="s">
        <v>190</v>
      </c>
      <c r="G4" s="186" t="s">
        <v>188</v>
      </c>
      <c r="H4" s="186" t="s">
        <v>189</v>
      </c>
      <c r="I4" s="187" t="s">
        <v>36</v>
      </c>
      <c r="J4" s="188"/>
      <c r="K4" s="14"/>
      <c r="L4" s="32"/>
      <c r="M4" s="32"/>
      <c r="N4" s="47" t="s">
        <v>38</v>
      </c>
      <c r="O4" s="48" t="s">
        <v>40</v>
      </c>
      <c r="P4" s="47" t="s">
        <v>39</v>
      </c>
      <c r="Q4" s="14"/>
      <c r="R4" s="14"/>
      <c r="S4" s="166" t="s">
        <v>50</v>
      </c>
      <c r="T4" s="166" t="s">
        <v>49</v>
      </c>
      <c r="U4" s="167" t="s">
        <v>51</v>
      </c>
      <c r="V4" s="167" t="s">
        <v>119</v>
      </c>
      <c r="W4" s="14"/>
      <c r="X4" s="14"/>
      <c r="Z4" s="37"/>
      <c r="AA4" s="14"/>
      <c r="AB4" s="14"/>
      <c r="AC4" s="14"/>
    </row>
    <row r="5" spans="1:29" ht="18.75" x14ac:dyDescent="0.3">
      <c r="A5" s="63"/>
      <c r="B5" s="26" t="s">
        <v>29</v>
      </c>
      <c r="C5" s="28" t="s">
        <v>172</v>
      </c>
      <c r="D5" s="236" t="s">
        <v>182</v>
      </c>
      <c r="E5" s="24" t="s">
        <v>175</v>
      </c>
      <c r="F5" s="44"/>
      <c r="G5" s="45">
        <v>2</v>
      </c>
      <c r="H5" s="44">
        <v>1000</v>
      </c>
      <c r="I5" s="44">
        <v>0</v>
      </c>
      <c r="J5" s="37"/>
      <c r="K5" s="14"/>
      <c r="L5" s="14"/>
      <c r="M5" s="14"/>
      <c r="N5" s="49">
        <v>1</v>
      </c>
      <c r="O5" s="50" t="s">
        <v>199</v>
      </c>
      <c r="P5" s="28" t="s">
        <v>177</v>
      </c>
      <c r="Q5" s="14"/>
      <c r="R5" s="14"/>
      <c r="S5" s="20" t="s">
        <v>19</v>
      </c>
      <c r="T5" s="43">
        <v>87</v>
      </c>
      <c r="U5" s="43">
        <v>1.4E-2</v>
      </c>
      <c r="V5" s="168"/>
      <c r="W5" s="14"/>
      <c r="X5" s="14"/>
      <c r="Y5" s="14"/>
      <c r="Z5" s="37"/>
      <c r="AA5" s="14"/>
      <c r="AB5" s="14"/>
      <c r="AC5" s="14"/>
    </row>
    <row r="6" spans="1:29" ht="18.75" x14ac:dyDescent="0.3">
      <c r="A6" s="38"/>
      <c r="B6" s="24" t="s">
        <v>30</v>
      </c>
      <c r="C6" s="30" t="s">
        <v>171</v>
      </c>
      <c r="D6" s="237" t="s">
        <v>182</v>
      </c>
      <c r="E6" s="24" t="s">
        <v>176</v>
      </c>
      <c r="F6" s="44"/>
      <c r="G6" s="45">
        <v>2</v>
      </c>
      <c r="H6" s="44">
        <v>445</v>
      </c>
      <c r="I6" s="44">
        <v>0</v>
      </c>
      <c r="J6" s="37"/>
      <c r="K6" s="14"/>
      <c r="L6" s="14"/>
      <c r="M6" s="14"/>
      <c r="N6" s="51">
        <v>2</v>
      </c>
      <c r="O6" s="52" t="s">
        <v>202</v>
      </c>
      <c r="P6" s="30" t="s">
        <v>177</v>
      </c>
      <c r="Q6" s="14"/>
      <c r="R6" s="14"/>
      <c r="S6" s="24" t="s">
        <v>20</v>
      </c>
      <c r="T6" s="44"/>
      <c r="U6" s="44">
        <v>0.248</v>
      </c>
      <c r="V6" s="54"/>
      <c r="W6" s="14"/>
      <c r="X6" s="14"/>
      <c r="Y6" s="14"/>
      <c r="Z6" s="37"/>
      <c r="AA6" s="14"/>
      <c r="AB6" s="14"/>
      <c r="AC6" s="14"/>
    </row>
    <row r="7" spans="1:29" ht="19.5" thickBot="1" x14ac:dyDescent="0.35">
      <c r="A7" s="38"/>
      <c r="B7" s="191" t="s">
        <v>134</v>
      </c>
      <c r="C7" s="192" t="s">
        <v>239</v>
      </c>
      <c r="D7" s="237" t="s">
        <v>182</v>
      </c>
      <c r="E7" s="24" t="s">
        <v>177</v>
      </c>
      <c r="F7" s="44"/>
      <c r="G7" s="45">
        <v>2</v>
      </c>
      <c r="H7" s="44">
        <v>180</v>
      </c>
      <c r="I7" s="44">
        <v>0</v>
      </c>
      <c r="J7" s="37"/>
      <c r="K7" s="14"/>
      <c r="L7" s="14"/>
      <c r="M7" s="14"/>
      <c r="N7" s="51">
        <v>3</v>
      </c>
      <c r="O7" s="52" t="s">
        <v>203</v>
      </c>
      <c r="P7" s="30" t="s">
        <v>176</v>
      </c>
      <c r="Q7" s="14"/>
      <c r="R7" s="14"/>
      <c r="S7" s="25" t="s">
        <v>118</v>
      </c>
      <c r="T7" s="46">
        <v>35</v>
      </c>
      <c r="U7" s="46">
        <v>0.1</v>
      </c>
      <c r="V7" s="56"/>
      <c r="W7" s="14"/>
      <c r="X7" s="14"/>
      <c r="Y7" s="14"/>
      <c r="Z7" s="37"/>
      <c r="AA7" s="14"/>
      <c r="AB7" s="14"/>
      <c r="AC7" s="14"/>
    </row>
    <row r="8" spans="1:29" ht="18.75" x14ac:dyDescent="0.3">
      <c r="A8" s="38"/>
      <c r="B8" s="233" t="s">
        <v>226</v>
      </c>
      <c r="C8" s="234" t="s">
        <v>225</v>
      </c>
      <c r="D8" s="237" t="s">
        <v>182</v>
      </c>
      <c r="E8" s="24" t="s">
        <v>173</v>
      </c>
      <c r="F8" s="44"/>
      <c r="G8" s="45">
        <v>2</v>
      </c>
      <c r="H8" s="44">
        <v>100</v>
      </c>
      <c r="I8" s="44">
        <v>0</v>
      </c>
      <c r="J8" s="37"/>
      <c r="K8" s="14"/>
      <c r="L8" s="14"/>
      <c r="M8" s="14"/>
      <c r="N8" s="51">
        <v>4</v>
      </c>
      <c r="O8" s="52" t="s">
        <v>204</v>
      </c>
      <c r="P8" s="30" t="s">
        <v>175</v>
      </c>
      <c r="Q8" s="14"/>
      <c r="R8" s="14"/>
      <c r="S8" s="59"/>
      <c r="T8" s="35"/>
      <c r="U8" s="35"/>
      <c r="V8" s="168"/>
      <c r="W8" s="14"/>
      <c r="X8" s="14"/>
      <c r="Y8" s="14"/>
      <c r="Z8" s="37"/>
      <c r="AA8" s="14"/>
      <c r="AB8" s="14"/>
      <c r="AC8" s="14"/>
    </row>
    <row r="9" spans="1:29" ht="18.75" x14ac:dyDescent="0.3">
      <c r="A9" s="38"/>
      <c r="B9" s="21" t="s">
        <v>11</v>
      </c>
      <c r="C9" s="30"/>
      <c r="D9" s="237" t="s">
        <v>182</v>
      </c>
      <c r="E9" s="24" t="s">
        <v>179</v>
      </c>
      <c r="F9" s="44">
        <v>5</v>
      </c>
      <c r="G9" s="45">
        <v>2</v>
      </c>
      <c r="H9" s="44">
        <v>20</v>
      </c>
      <c r="I9" s="44">
        <v>10</v>
      </c>
      <c r="J9" s="37"/>
      <c r="K9" s="14"/>
      <c r="L9" s="14"/>
      <c r="M9" s="14"/>
      <c r="N9" s="51">
        <v>5</v>
      </c>
      <c r="O9" s="19" t="s">
        <v>205</v>
      </c>
      <c r="P9" s="30" t="s">
        <v>179</v>
      </c>
      <c r="Q9" s="14"/>
      <c r="R9" s="14"/>
      <c r="S9" s="24"/>
      <c r="T9" s="19"/>
      <c r="U9" s="19"/>
      <c r="V9" s="54"/>
      <c r="W9" s="14"/>
      <c r="X9" s="14"/>
      <c r="Y9" s="14"/>
      <c r="Z9" s="37"/>
      <c r="AA9" s="14"/>
      <c r="AB9" s="14"/>
      <c r="AC9" s="14"/>
    </row>
    <row r="10" spans="1:29" ht="19.5" thickBot="1" x14ac:dyDescent="0.35">
      <c r="A10" s="38"/>
      <c r="B10" s="27" t="s">
        <v>18</v>
      </c>
      <c r="C10" s="29"/>
      <c r="D10" s="237" t="s">
        <v>183</v>
      </c>
      <c r="E10" s="24" t="s">
        <v>15</v>
      </c>
      <c r="F10" s="44"/>
      <c r="G10" s="45">
        <v>2</v>
      </c>
      <c r="H10" s="44">
        <v>44</v>
      </c>
      <c r="I10" s="44">
        <v>1</v>
      </c>
      <c r="J10" s="37"/>
      <c r="K10" s="14"/>
      <c r="L10" s="14"/>
      <c r="M10" s="14"/>
      <c r="N10" s="53"/>
      <c r="O10" s="19"/>
      <c r="P10" s="54"/>
      <c r="Q10" s="14"/>
      <c r="R10" s="14"/>
      <c r="S10" s="24"/>
      <c r="T10" s="19"/>
      <c r="U10" s="19"/>
      <c r="V10" s="54"/>
      <c r="W10" s="14"/>
      <c r="X10" s="14"/>
      <c r="Y10" s="14"/>
      <c r="Z10" s="37"/>
      <c r="AA10" s="14"/>
      <c r="AB10" s="14"/>
      <c r="AC10" s="14"/>
    </row>
    <row r="11" spans="1:29" ht="18.75" x14ac:dyDescent="0.3">
      <c r="A11" s="38"/>
      <c r="B11" s="20" t="s">
        <v>170</v>
      </c>
      <c r="C11" s="28">
        <v>8000</v>
      </c>
      <c r="D11" s="237" t="s">
        <v>184</v>
      </c>
      <c r="E11" s="24" t="s">
        <v>14</v>
      </c>
      <c r="F11" s="44"/>
      <c r="G11" s="45">
        <v>4</v>
      </c>
      <c r="H11" s="44">
        <v>18</v>
      </c>
      <c r="I11" s="44">
        <v>0</v>
      </c>
      <c r="J11" s="37"/>
      <c r="K11" s="14"/>
      <c r="L11" s="14"/>
      <c r="M11" s="14"/>
      <c r="N11" s="53"/>
      <c r="O11" s="19"/>
      <c r="P11" s="54"/>
      <c r="Q11" s="14"/>
      <c r="R11" s="14"/>
      <c r="S11" s="38"/>
      <c r="T11" s="14"/>
      <c r="U11" s="14"/>
      <c r="V11" s="37"/>
      <c r="W11" s="14"/>
      <c r="X11" s="14"/>
      <c r="Y11" s="14"/>
      <c r="Z11" s="37"/>
      <c r="AA11" s="14"/>
      <c r="AB11" s="14"/>
      <c r="AC11" s="14"/>
    </row>
    <row r="12" spans="1:29" ht="19.5" thickBot="1" x14ac:dyDescent="0.35">
      <c r="A12" s="38"/>
      <c r="B12" s="21" t="s">
        <v>33</v>
      </c>
      <c r="C12" s="30">
        <v>2018</v>
      </c>
      <c r="D12" s="238"/>
      <c r="E12" s="24" t="s">
        <v>4</v>
      </c>
      <c r="F12" s="44"/>
      <c r="G12" s="45">
        <v>2</v>
      </c>
      <c r="H12" s="44">
        <v>32</v>
      </c>
      <c r="I12" s="44">
        <v>0</v>
      </c>
      <c r="J12" s="37"/>
      <c r="K12" s="14"/>
      <c r="L12" s="14"/>
      <c r="M12" s="14"/>
      <c r="N12" s="53"/>
      <c r="O12" s="19"/>
      <c r="P12" s="54"/>
      <c r="Q12" s="14"/>
      <c r="R12" s="14"/>
      <c r="S12" s="39"/>
      <c r="T12" s="40"/>
      <c r="U12" s="40"/>
      <c r="V12" s="41"/>
      <c r="W12" s="14"/>
      <c r="X12" s="14"/>
      <c r="Y12" s="14"/>
      <c r="Z12" s="37"/>
      <c r="AA12" s="14"/>
      <c r="AB12" s="14"/>
      <c r="AC12" s="14"/>
    </row>
    <row r="13" spans="1:29" ht="18.600000000000001" customHeight="1" thickBot="1" x14ac:dyDescent="0.35">
      <c r="A13" s="38"/>
      <c r="B13" s="21" t="s">
        <v>135</v>
      </c>
      <c r="C13" s="30">
        <v>0.05</v>
      </c>
      <c r="D13" s="238"/>
      <c r="E13" s="24" t="s">
        <v>180</v>
      </c>
      <c r="F13" s="44"/>
      <c r="G13" s="45">
        <v>4</v>
      </c>
      <c r="H13" s="44">
        <v>200</v>
      </c>
      <c r="I13" s="44">
        <v>0</v>
      </c>
      <c r="J13" s="37"/>
      <c r="K13" s="14"/>
      <c r="L13" s="14"/>
      <c r="M13" s="14"/>
      <c r="N13" s="53"/>
      <c r="O13" s="19"/>
      <c r="P13" s="54"/>
      <c r="Q13" s="14"/>
      <c r="R13" s="14"/>
      <c r="S13" s="60" t="s">
        <v>42</v>
      </c>
      <c r="T13" s="61" t="s">
        <v>48</v>
      </c>
      <c r="U13" s="62" t="s">
        <v>49</v>
      </c>
      <c r="V13" s="60"/>
      <c r="W13" s="14"/>
      <c r="X13" s="14"/>
      <c r="Y13" s="14"/>
      <c r="Z13" s="37"/>
      <c r="AA13" s="14"/>
      <c r="AB13" s="14"/>
      <c r="AC13" s="14"/>
    </row>
    <row r="14" spans="1:29" ht="18.75" x14ac:dyDescent="0.3">
      <c r="A14" s="38"/>
      <c r="B14" s="23" t="s">
        <v>136</v>
      </c>
      <c r="C14" s="30" t="s">
        <v>120</v>
      </c>
      <c r="D14" s="238"/>
      <c r="E14" s="24" t="s">
        <v>200</v>
      </c>
      <c r="F14" s="44"/>
      <c r="G14" s="45">
        <v>2.4</v>
      </c>
      <c r="H14" s="44">
        <v>62.08</v>
      </c>
      <c r="I14" s="44">
        <v>0</v>
      </c>
      <c r="J14" s="37"/>
      <c r="K14" s="14"/>
      <c r="L14" s="14"/>
      <c r="M14" s="14"/>
      <c r="N14" s="53"/>
      <c r="O14" s="19"/>
      <c r="P14" s="54"/>
      <c r="Q14" s="14"/>
      <c r="R14" s="14"/>
      <c r="S14" s="26" t="s">
        <v>43</v>
      </c>
      <c r="T14" s="43">
        <v>600</v>
      </c>
      <c r="U14" s="28">
        <v>34</v>
      </c>
      <c r="V14" s="168"/>
      <c r="W14" s="14"/>
      <c r="X14" s="14"/>
      <c r="Y14" s="14"/>
      <c r="Z14" s="37"/>
      <c r="AA14" s="14"/>
      <c r="AB14" s="14"/>
      <c r="AC14" s="14"/>
    </row>
    <row r="15" spans="1:29" ht="19.5" thickBot="1" x14ac:dyDescent="0.35">
      <c r="A15" s="38"/>
      <c r="B15" s="27" t="s">
        <v>169</v>
      </c>
      <c r="C15" s="29">
        <v>0.04</v>
      </c>
      <c r="D15" s="238"/>
      <c r="E15" s="24" t="s">
        <v>17</v>
      </c>
      <c r="F15" s="44"/>
      <c r="G15" s="45">
        <v>1</v>
      </c>
      <c r="H15" s="44">
        <v>28</v>
      </c>
      <c r="I15" s="44">
        <v>0</v>
      </c>
      <c r="J15" s="37"/>
      <c r="K15" s="14"/>
      <c r="L15" s="14"/>
      <c r="M15" s="14"/>
      <c r="N15" s="53"/>
      <c r="O15" s="19"/>
      <c r="P15" s="54"/>
      <c r="Q15" s="14"/>
      <c r="R15" s="14"/>
      <c r="S15" s="24" t="s">
        <v>44</v>
      </c>
      <c r="T15" s="44">
        <v>330</v>
      </c>
      <c r="U15" s="30">
        <v>32</v>
      </c>
      <c r="V15" s="54"/>
      <c r="W15" s="14"/>
      <c r="X15" s="14"/>
      <c r="Y15" s="14"/>
      <c r="Z15" s="37"/>
      <c r="AA15" s="14"/>
      <c r="AB15" s="14"/>
      <c r="AC15" s="14"/>
    </row>
    <row r="16" spans="1:29" ht="18.75" x14ac:dyDescent="0.3">
      <c r="A16" s="38"/>
      <c r="B16" s="26" t="s">
        <v>95</v>
      </c>
      <c r="C16" s="28" t="s">
        <v>96</v>
      </c>
      <c r="D16" s="238"/>
      <c r="E16" s="24" t="s">
        <v>234</v>
      </c>
      <c r="F16" s="44"/>
      <c r="G16" s="45">
        <v>1</v>
      </c>
      <c r="H16" s="44">
        <v>100</v>
      </c>
      <c r="I16" s="44">
        <v>0</v>
      </c>
      <c r="J16" s="37"/>
      <c r="K16" s="14"/>
      <c r="L16" s="14"/>
      <c r="M16" s="14"/>
      <c r="N16" s="53"/>
      <c r="O16" s="19"/>
      <c r="P16" s="54"/>
      <c r="Q16" s="14"/>
      <c r="R16" s="14"/>
      <c r="S16" s="24" t="s">
        <v>45</v>
      </c>
      <c r="T16" s="44">
        <v>220</v>
      </c>
      <c r="U16" s="30">
        <v>30</v>
      </c>
      <c r="V16" s="54"/>
      <c r="W16" s="14"/>
      <c r="X16" s="14"/>
      <c r="Y16" s="14"/>
      <c r="Z16" s="37"/>
      <c r="AA16" s="14"/>
      <c r="AB16" s="14"/>
      <c r="AC16" s="14"/>
    </row>
    <row r="17" spans="1:29" ht="18.75" x14ac:dyDescent="0.3">
      <c r="A17" s="64"/>
      <c r="B17" s="144" t="s">
        <v>97</v>
      </c>
      <c r="C17" s="145">
        <v>2.5</v>
      </c>
      <c r="D17" s="238"/>
      <c r="E17" s="24"/>
      <c r="F17" s="44"/>
      <c r="G17" s="45"/>
      <c r="H17" s="44"/>
      <c r="I17" s="44"/>
      <c r="J17" s="37"/>
      <c r="K17" s="14"/>
      <c r="L17" s="14"/>
      <c r="M17" s="14"/>
      <c r="N17" s="53"/>
      <c r="O17" s="19"/>
      <c r="P17" s="54"/>
      <c r="Q17" s="14"/>
      <c r="R17" s="14"/>
      <c r="S17" s="24" t="s">
        <v>46</v>
      </c>
      <c r="T17" s="44">
        <v>130</v>
      </c>
      <c r="U17" s="30">
        <v>29</v>
      </c>
      <c r="V17" s="54"/>
      <c r="W17" s="8"/>
      <c r="X17" s="8"/>
      <c r="Y17" s="8"/>
      <c r="Z17" s="22"/>
      <c r="AA17" s="14"/>
      <c r="AB17" s="14"/>
      <c r="AC17" s="14"/>
    </row>
    <row r="18" spans="1:29" ht="19.5" thickBot="1" x14ac:dyDescent="0.35">
      <c r="A18" s="38"/>
      <c r="B18" s="24" t="s">
        <v>98</v>
      </c>
      <c r="C18" s="30">
        <v>450</v>
      </c>
      <c r="D18" s="238"/>
      <c r="E18" s="24"/>
      <c r="F18" s="44"/>
      <c r="G18" s="45"/>
      <c r="H18" s="44"/>
      <c r="I18" s="44"/>
      <c r="J18" s="165"/>
      <c r="K18" s="14"/>
      <c r="L18" s="14"/>
      <c r="M18" s="14"/>
      <c r="N18" s="25"/>
      <c r="O18" s="55"/>
      <c r="P18" s="56"/>
      <c r="Q18" s="8"/>
      <c r="R18" s="57"/>
      <c r="S18" s="25" t="s">
        <v>47</v>
      </c>
      <c r="T18" s="46">
        <v>15</v>
      </c>
      <c r="U18" s="29">
        <v>0.22</v>
      </c>
      <c r="V18" s="56"/>
      <c r="W18" s="323"/>
      <c r="X18" s="323"/>
      <c r="Y18" s="323"/>
      <c r="Z18" s="324"/>
      <c r="AA18" s="14"/>
      <c r="AB18" s="14"/>
      <c r="AC18" s="14"/>
    </row>
    <row r="19" spans="1:29" ht="18.75" x14ac:dyDescent="0.3">
      <c r="A19" s="38"/>
      <c r="B19" s="24" t="s">
        <v>57</v>
      </c>
      <c r="C19" s="30">
        <v>15</v>
      </c>
      <c r="D19" s="237" t="s">
        <v>185</v>
      </c>
      <c r="E19" s="24"/>
      <c r="F19" s="44"/>
      <c r="G19" s="45"/>
      <c r="H19" s="44"/>
      <c r="I19" s="44"/>
      <c r="J19" s="30"/>
      <c r="K19" s="14"/>
      <c r="L19" s="14"/>
      <c r="M19" s="14"/>
      <c r="N19" s="14"/>
      <c r="O19" s="14"/>
      <c r="P19" s="14"/>
      <c r="Q19" s="8"/>
      <c r="R19" s="58"/>
      <c r="S19" s="14"/>
      <c r="T19" s="14"/>
      <c r="U19" s="14"/>
      <c r="V19" s="14"/>
      <c r="W19" s="58"/>
      <c r="X19" s="10"/>
      <c r="Y19" s="318"/>
      <c r="Z19" s="319"/>
      <c r="AA19" s="14"/>
      <c r="AB19" s="14"/>
      <c r="AC19" s="14"/>
    </row>
    <row r="20" spans="1:29" ht="18.75" x14ac:dyDescent="0.3">
      <c r="A20" s="38"/>
      <c r="B20" s="24" t="s">
        <v>99</v>
      </c>
      <c r="C20" s="30">
        <v>20</v>
      </c>
      <c r="D20" s="237" t="s">
        <v>187</v>
      </c>
      <c r="E20" s="24"/>
      <c r="F20" s="44"/>
      <c r="G20" s="44"/>
      <c r="H20" s="44"/>
      <c r="I20" s="44"/>
      <c r="J20" s="30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318"/>
      <c r="Z20" s="319"/>
      <c r="AA20" s="14"/>
      <c r="AB20" s="14"/>
      <c r="AC20" s="14"/>
    </row>
    <row r="21" spans="1:29" ht="19.5" thickBot="1" x14ac:dyDescent="0.35">
      <c r="A21" s="38"/>
      <c r="B21" s="25" t="s">
        <v>100</v>
      </c>
      <c r="C21" s="29">
        <v>35</v>
      </c>
      <c r="D21" s="239" t="s">
        <v>187</v>
      </c>
      <c r="E21" s="24"/>
      <c r="F21" s="44"/>
      <c r="G21" s="44"/>
      <c r="H21" s="44"/>
      <c r="I21" s="44"/>
      <c r="J21" s="30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318"/>
      <c r="Z21" s="319"/>
      <c r="AA21" s="14"/>
      <c r="AB21" s="14"/>
      <c r="AC21" s="14"/>
    </row>
    <row r="22" spans="1:29" ht="18.75" x14ac:dyDescent="0.3">
      <c r="A22" s="38"/>
      <c r="E22" s="24"/>
      <c r="F22" s="44"/>
      <c r="G22" s="44"/>
      <c r="H22" s="44"/>
      <c r="I22" s="44"/>
      <c r="J22" s="30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318"/>
      <c r="Z22" s="319"/>
      <c r="AA22" s="14"/>
      <c r="AB22" s="14"/>
      <c r="AC22" s="14"/>
    </row>
    <row r="23" spans="1:29" ht="18.75" x14ac:dyDescent="0.3">
      <c r="A23" s="38"/>
      <c r="B23" s="14"/>
      <c r="C23" s="14"/>
      <c r="D23" s="14"/>
      <c r="E23" s="24"/>
      <c r="F23" s="44"/>
      <c r="G23" s="44"/>
      <c r="H23" s="44"/>
      <c r="I23" s="44"/>
      <c r="J23" s="30"/>
      <c r="K23" s="14"/>
      <c r="L23" s="14"/>
      <c r="M23" s="14"/>
      <c r="N23" s="14"/>
      <c r="O23" s="14"/>
      <c r="P23" s="14"/>
      <c r="Q23" s="8"/>
      <c r="R23" s="9"/>
      <c r="S23" s="9"/>
      <c r="T23" s="317"/>
      <c r="U23" s="317"/>
      <c r="V23" s="8"/>
      <c r="W23" s="8"/>
      <c r="X23" s="8"/>
      <c r="Y23" s="8"/>
      <c r="Z23" s="22"/>
      <c r="AA23" s="14"/>
      <c r="AB23" s="14"/>
      <c r="AC23" s="14"/>
    </row>
    <row r="24" spans="1:29" ht="18.75" x14ac:dyDescent="0.3">
      <c r="A24" s="38"/>
      <c r="B24" s="14"/>
      <c r="C24" s="14"/>
      <c r="D24" s="14"/>
      <c r="E24" s="24"/>
      <c r="F24" s="44"/>
      <c r="G24" s="44"/>
      <c r="H24" s="44"/>
      <c r="I24" s="44"/>
      <c r="J24" s="30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75" x14ac:dyDescent="0.3">
      <c r="A25" s="38"/>
      <c r="B25" s="14"/>
      <c r="C25" s="14"/>
      <c r="D25" s="14"/>
      <c r="E25" s="24"/>
      <c r="F25" s="44"/>
      <c r="G25" s="44"/>
      <c r="H25" s="44"/>
      <c r="I25" s="44"/>
      <c r="J25" s="30"/>
      <c r="K25" s="14"/>
      <c r="L25" s="14"/>
      <c r="M25" s="14"/>
      <c r="N25" s="14"/>
      <c r="O25" s="42"/>
      <c r="P25" s="42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25">
      <c r="A26" s="38"/>
      <c r="B26" s="14"/>
      <c r="C26" s="14"/>
      <c r="D26" s="14"/>
      <c r="E26" s="38"/>
      <c r="F26" s="14"/>
      <c r="G26" s="14"/>
      <c r="H26" s="14"/>
      <c r="I26" s="14"/>
      <c r="J26" s="37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25">
      <c r="A27" s="38"/>
      <c r="B27" s="14"/>
      <c r="C27" s="14"/>
      <c r="D27" s="14"/>
      <c r="E27" s="38"/>
      <c r="F27" s="14"/>
      <c r="G27" s="14"/>
      <c r="H27" s="14"/>
      <c r="I27" s="14"/>
      <c r="J27" s="37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25">
      <c r="A28" s="38"/>
      <c r="B28" s="14"/>
      <c r="C28" s="14"/>
      <c r="D28" s="14"/>
      <c r="E28" s="38"/>
      <c r="F28" s="14"/>
      <c r="G28" s="14"/>
      <c r="H28" s="14"/>
      <c r="I28" s="14"/>
      <c r="J28" s="37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7"/>
      <c r="AA28" s="14"/>
      <c r="AB28" s="14"/>
      <c r="AC28" s="14"/>
    </row>
    <row r="29" spans="1:29" ht="16.5" thickBot="1" x14ac:dyDescent="0.3">
      <c r="A29" s="38"/>
      <c r="B29" s="14"/>
      <c r="C29" s="14"/>
      <c r="D29" s="14"/>
      <c r="E29" s="38"/>
      <c r="F29" s="14"/>
      <c r="G29" s="14"/>
      <c r="H29" s="14"/>
      <c r="I29" s="14"/>
      <c r="J29" s="3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7"/>
      <c r="AA29" s="14"/>
      <c r="AB29" s="14"/>
      <c r="AC29" s="14"/>
    </row>
    <row r="30" spans="1:29" ht="21.75" thickBot="1" x14ac:dyDescent="0.4">
      <c r="A30" s="38"/>
      <c r="B30" s="14"/>
      <c r="C30" s="14"/>
      <c r="D30" s="14"/>
      <c r="E30" s="38"/>
      <c r="F30" s="14"/>
      <c r="G30" s="14"/>
      <c r="H30" s="14"/>
      <c r="I30" s="14"/>
      <c r="J30" s="37"/>
      <c r="K30" s="14"/>
      <c r="L30" s="14"/>
      <c r="M30" s="14"/>
      <c r="N30" s="308" t="s">
        <v>137</v>
      </c>
      <c r="O30" s="309"/>
      <c r="P30" s="310"/>
      <c r="Q30" s="14"/>
      <c r="R30" s="14"/>
      <c r="S30" s="14"/>
      <c r="T30" s="14"/>
      <c r="U30" s="14"/>
      <c r="V30" s="14"/>
      <c r="W30" s="14"/>
      <c r="X30" s="14"/>
      <c r="Y30" s="14"/>
      <c r="Z30" s="37"/>
      <c r="AA30" s="14"/>
      <c r="AB30" s="14"/>
      <c r="AC30" s="14"/>
    </row>
    <row r="31" spans="1:29" ht="21.75" thickBot="1" x14ac:dyDescent="0.4">
      <c r="A31" s="38"/>
      <c r="B31" s="14"/>
      <c r="C31" s="14"/>
      <c r="D31" s="14"/>
      <c r="E31" s="38"/>
      <c r="F31" s="14"/>
      <c r="G31" s="14"/>
      <c r="H31" s="14"/>
      <c r="I31" s="14"/>
      <c r="J31" s="37"/>
      <c r="K31" s="14"/>
      <c r="L31" s="14"/>
      <c r="M31" s="14"/>
      <c r="N31" s="196" t="s">
        <v>138</v>
      </c>
      <c r="O31" s="196" t="s">
        <v>139</v>
      </c>
      <c r="P31" s="196" t="s">
        <v>140</v>
      </c>
      <c r="Q31" s="14"/>
      <c r="R31" s="14"/>
      <c r="S31" s="308" t="s">
        <v>144</v>
      </c>
      <c r="T31" s="309"/>
      <c r="U31" s="309"/>
      <c r="V31" s="309"/>
      <c r="W31" s="310"/>
      <c r="X31" s="14"/>
      <c r="Y31" s="14"/>
      <c r="Z31" s="37"/>
      <c r="AA31" s="14"/>
      <c r="AB31" s="14"/>
      <c r="AC31" s="14"/>
    </row>
    <row r="32" spans="1:29" ht="21.75" thickBot="1" x14ac:dyDescent="0.4">
      <c r="A32" s="38"/>
      <c r="B32" s="14"/>
      <c r="C32" s="14"/>
      <c r="D32" s="14"/>
      <c r="E32" s="38"/>
      <c r="F32" s="14"/>
      <c r="G32" s="14"/>
      <c r="H32" s="14"/>
      <c r="I32" s="14"/>
      <c r="J32" s="37"/>
      <c r="K32" s="14"/>
      <c r="L32" s="14"/>
      <c r="M32" s="14"/>
      <c r="N32" s="26" t="s">
        <v>90</v>
      </c>
      <c r="O32" s="197">
        <v>0.55000000000000004</v>
      </c>
      <c r="P32" s="168">
        <v>325</v>
      </c>
      <c r="Q32" s="14"/>
      <c r="R32" s="14"/>
      <c r="S32" s="198" t="s">
        <v>145</v>
      </c>
      <c r="T32" s="198" t="s">
        <v>146</v>
      </c>
      <c r="U32" s="198" t="s">
        <v>147</v>
      </c>
      <c r="V32" s="198" t="s">
        <v>148</v>
      </c>
      <c r="W32" s="199" t="s">
        <v>149</v>
      </c>
      <c r="X32" s="14"/>
      <c r="Y32" s="14"/>
      <c r="Z32" s="37"/>
      <c r="AA32" s="14"/>
      <c r="AB32" s="14"/>
      <c r="AC32" s="14"/>
    </row>
    <row r="33" spans="1:29" ht="18.75" x14ac:dyDescent="0.3">
      <c r="A33" s="38"/>
      <c r="B33" s="14"/>
      <c r="C33" s="14"/>
      <c r="D33" s="14"/>
      <c r="E33" s="38"/>
      <c r="F33" s="14"/>
      <c r="G33" s="14"/>
      <c r="H33" s="14"/>
      <c r="I33" s="14"/>
      <c r="J33" s="37"/>
      <c r="K33" s="14"/>
      <c r="L33" s="14"/>
      <c r="M33" s="14"/>
      <c r="N33" s="24" t="s">
        <v>152</v>
      </c>
      <c r="O33" s="19">
        <v>0.27</v>
      </c>
      <c r="P33" s="54">
        <v>0.58599999999999997</v>
      </c>
      <c r="Q33" s="14"/>
      <c r="R33" s="14"/>
      <c r="S33" s="26" t="s">
        <v>168</v>
      </c>
      <c r="T33" s="206">
        <v>5000</v>
      </c>
      <c r="U33" s="197">
        <v>10</v>
      </c>
      <c r="V33" s="197">
        <v>50</v>
      </c>
      <c r="W33" s="168">
        <v>3</v>
      </c>
      <c r="X33" s="14"/>
      <c r="Y33" s="14"/>
      <c r="Z33" s="37"/>
      <c r="AA33" s="14"/>
      <c r="AB33" s="14"/>
      <c r="AC33" s="14"/>
    </row>
    <row r="34" spans="1:29" ht="19.5" thickBot="1" x14ac:dyDescent="0.35">
      <c r="A34" s="38"/>
      <c r="B34" s="14"/>
      <c r="C34" s="14"/>
      <c r="D34" s="14"/>
      <c r="E34" s="38"/>
      <c r="F34" s="14"/>
      <c r="G34" s="14"/>
      <c r="H34" s="14"/>
      <c r="I34" s="34"/>
      <c r="J34" s="37"/>
      <c r="K34" s="14"/>
      <c r="L34" s="14"/>
      <c r="M34" s="14"/>
      <c r="N34" s="25" t="s">
        <v>141</v>
      </c>
      <c r="O34" s="55">
        <v>0.18</v>
      </c>
      <c r="P34" s="56">
        <v>4.2699999999999996</v>
      </c>
      <c r="Q34" s="14"/>
      <c r="R34" s="14"/>
      <c r="S34" s="24"/>
      <c r="T34" s="19"/>
      <c r="U34" s="19"/>
      <c r="V34" s="19"/>
      <c r="W34" s="54"/>
      <c r="X34" s="14"/>
      <c r="Y34" s="14"/>
      <c r="Z34" s="37"/>
      <c r="AA34" s="14"/>
      <c r="AB34" s="14"/>
      <c r="AC34" s="14"/>
    </row>
    <row r="35" spans="1:29" ht="18.75" x14ac:dyDescent="0.3">
      <c r="A35" s="38"/>
      <c r="B35" s="14"/>
      <c r="C35" s="14"/>
      <c r="D35" s="14"/>
      <c r="E35" s="38"/>
      <c r="F35" s="14"/>
      <c r="G35" s="14"/>
      <c r="H35" s="14"/>
      <c r="I35" s="34"/>
      <c r="J35" s="37"/>
      <c r="K35" s="14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4"/>
      <c r="X35" s="14"/>
      <c r="Y35" s="14"/>
      <c r="Z35" s="37"/>
      <c r="AA35" s="14"/>
      <c r="AB35" s="14"/>
      <c r="AC35" s="14"/>
    </row>
    <row r="36" spans="1:29" ht="21" x14ac:dyDescent="0.35">
      <c r="A36" s="38"/>
      <c r="B36" s="14"/>
      <c r="C36" s="14"/>
      <c r="D36" s="14"/>
      <c r="E36" s="38"/>
      <c r="F36" s="14"/>
      <c r="G36" s="14"/>
      <c r="H36" s="14"/>
      <c r="I36" s="34"/>
      <c r="J36" s="37"/>
      <c r="K36" s="14"/>
      <c r="L36" s="14"/>
      <c r="M36" s="14"/>
      <c r="N36" s="193"/>
      <c r="O36" s="195"/>
      <c r="P36" s="194"/>
      <c r="Q36" s="195"/>
      <c r="R36" s="195"/>
      <c r="S36" s="24"/>
      <c r="T36" s="19"/>
      <c r="U36" s="19"/>
      <c r="V36" s="19"/>
      <c r="W36" s="54"/>
      <c r="X36" s="14"/>
      <c r="Y36" s="14"/>
      <c r="Z36" s="37"/>
      <c r="AA36" s="14"/>
      <c r="AB36" s="14"/>
      <c r="AC36" s="14"/>
    </row>
    <row r="37" spans="1:29" ht="18.75" x14ac:dyDescent="0.3">
      <c r="A37" s="38"/>
      <c r="B37" s="14"/>
      <c r="C37" s="14"/>
      <c r="D37" s="14"/>
      <c r="E37" s="38"/>
      <c r="F37" s="14"/>
      <c r="G37" s="14"/>
      <c r="H37" s="14"/>
      <c r="I37" s="34"/>
      <c r="J37" s="37"/>
      <c r="K37" s="14"/>
      <c r="L37" s="14"/>
      <c r="M37" s="14"/>
      <c r="N37" s="44"/>
      <c r="O37" s="19"/>
      <c r="P37" s="19"/>
      <c r="Q37" s="19"/>
      <c r="R37" s="19"/>
      <c r="S37" s="24"/>
      <c r="T37" s="19"/>
      <c r="U37" s="19"/>
      <c r="V37" s="19"/>
      <c r="W37" s="54"/>
      <c r="X37" s="14"/>
      <c r="Y37" s="14"/>
      <c r="Z37" s="37"/>
      <c r="AA37" s="14"/>
      <c r="AB37" s="14"/>
      <c r="AC37" s="14"/>
    </row>
    <row r="38" spans="1:29" ht="19.5" thickBot="1" x14ac:dyDescent="0.35">
      <c r="A38" s="38"/>
      <c r="B38" s="14"/>
      <c r="C38" s="14"/>
      <c r="D38" s="14"/>
      <c r="E38" s="240"/>
      <c r="F38" s="40"/>
      <c r="G38" s="40"/>
      <c r="H38" s="40"/>
      <c r="I38" s="40"/>
      <c r="J38" s="41"/>
      <c r="K38" s="14"/>
      <c r="L38" s="14"/>
      <c r="M38" s="14"/>
      <c r="N38" s="44"/>
      <c r="O38" s="19"/>
      <c r="P38" s="19"/>
      <c r="Q38" s="19"/>
      <c r="R38" s="19"/>
      <c r="S38" s="24"/>
      <c r="T38" s="19"/>
      <c r="U38" s="19"/>
      <c r="V38" s="19"/>
      <c r="W38" s="54"/>
      <c r="X38" s="14"/>
      <c r="Y38" s="14"/>
      <c r="Z38" s="37"/>
      <c r="AA38" s="14"/>
      <c r="AB38" s="207" t="s">
        <v>23</v>
      </c>
      <c r="AC38" s="14"/>
    </row>
    <row r="39" spans="1:29" ht="18.75" x14ac:dyDescent="0.3">
      <c r="A39" s="38"/>
      <c r="B39" s="14"/>
      <c r="C39" s="14"/>
      <c r="D39" s="14"/>
      <c r="E39" s="14"/>
      <c r="F39" s="14"/>
      <c r="G39" s="14"/>
      <c r="H39" s="14"/>
      <c r="I39" s="34"/>
      <c r="J39" s="14"/>
      <c r="K39" s="14"/>
      <c r="L39" s="14"/>
      <c r="M39" s="14"/>
      <c r="N39" s="44"/>
      <c r="O39" s="19"/>
      <c r="P39" s="19"/>
      <c r="Q39" s="19"/>
      <c r="R39" s="19"/>
      <c r="S39" s="24"/>
      <c r="T39" s="19"/>
      <c r="U39" s="19"/>
      <c r="V39" s="19"/>
      <c r="W39" s="54"/>
      <c r="X39" s="14"/>
      <c r="Y39" s="14"/>
      <c r="Z39" s="37"/>
      <c r="AA39" s="14"/>
      <c r="AB39" s="14"/>
      <c r="AC39" s="14"/>
    </row>
    <row r="40" spans="1:29" ht="18.75" x14ac:dyDescent="0.3">
      <c r="A40" s="38"/>
      <c r="B40" s="14"/>
      <c r="C40" s="14"/>
      <c r="D40" s="14"/>
      <c r="E40" s="14"/>
      <c r="F40" s="14"/>
      <c r="G40" s="14"/>
      <c r="H40" s="14"/>
      <c r="I40" s="34"/>
      <c r="J40" s="14"/>
      <c r="K40" s="14"/>
      <c r="L40" s="14"/>
      <c r="M40" s="14"/>
      <c r="N40" s="44"/>
      <c r="O40" s="183"/>
      <c r="P40" s="19"/>
      <c r="Q40" s="19"/>
      <c r="R40" s="19"/>
      <c r="S40" s="24"/>
      <c r="T40" s="19"/>
      <c r="U40" s="19"/>
      <c r="V40" s="19"/>
      <c r="W40" s="54"/>
      <c r="X40" s="14"/>
      <c r="Y40" s="14"/>
      <c r="Z40" s="37"/>
      <c r="AA40" s="14"/>
      <c r="AB40" s="14"/>
      <c r="AC40" s="14"/>
    </row>
    <row r="41" spans="1:29" ht="19.5" thickBot="1" x14ac:dyDescent="0.35">
      <c r="A41" s="38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4"/>
      <c r="O41" s="19"/>
      <c r="P41" s="19"/>
      <c r="Q41" s="19"/>
      <c r="R41" s="19"/>
      <c r="S41" s="25"/>
      <c r="T41" s="55"/>
      <c r="U41" s="55"/>
      <c r="V41" s="55"/>
      <c r="W41" s="56"/>
      <c r="X41" s="14"/>
      <c r="Y41" s="14"/>
      <c r="Z41" s="37"/>
      <c r="AA41" s="14"/>
      <c r="AB41" s="14"/>
      <c r="AC41" s="14"/>
    </row>
    <row r="42" spans="1:29" ht="18.75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4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75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4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75" x14ac:dyDescent="0.3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4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75" x14ac:dyDescent="0.3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4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75" x14ac:dyDescent="0.3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4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75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75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75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75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75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75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7" t="s">
        <v>23</v>
      </c>
      <c r="W56" s="14"/>
      <c r="X56" s="14"/>
      <c r="Y56" s="14"/>
      <c r="Z56" s="14"/>
      <c r="AA56" s="14"/>
      <c r="AB56" s="14"/>
      <c r="AC56" s="14"/>
    </row>
    <row r="57" spans="1:29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25">
      <c r="A59" s="14"/>
      <c r="B59" s="14"/>
      <c r="C59" s="14"/>
      <c r="D59" s="14"/>
      <c r="E59" s="14"/>
      <c r="F59" s="14"/>
      <c r="G59" s="14"/>
      <c r="H59" s="14" t="s">
        <v>27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25">
      <c r="A72" s="2" t="s">
        <v>23</v>
      </c>
    </row>
    <row r="79" spans="1:29" x14ac:dyDescent="0.25">
      <c r="V79" s="2" t="s">
        <v>23</v>
      </c>
    </row>
  </sheetData>
  <mergeCells count="12">
    <mergeCell ref="Y20:Z20"/>
    <mergeCell ref="Y21:Z21"/>
    <mergeCell ref="Y22:Z22"/>
    <mergeCell ref="E3:J3"/>
    <mergeCell ref="W18:Z18"/>
    <mergeCell ref="Y19:Z19"/>
    <mergeCell ref="B3:D3"/>
    <mergeCell ref="N30:P30"/>
    <mergeCell ref="S31:W31"/>
    <mergeCell ref="N3:P3"/>
    <mergeCell ref="S3:V3"/>
    <mergeCell ref="T23:U23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104775</xdr:rowOff>
                  </from>
                  <to>
                    <xdr:col>2</xdr:col>
                    <xdr:colOff>866775</xdr:colOff>
                    <xdr:row>37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1362075</xdr:colOff>
                    <xdr:row>39</xdr:row>
                    <xdr:rowOff>104775</xdr:rowOff>
                  </from>
                  <to>
                    <xdr:col>2</xdr:col>
                    <xdr:colOff>847725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847725</xdr:colOff>
                    <xdr:row>47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752475</xdr:colOff>
                    <xdr:row>51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6EBC3A9-FAFA-9C46-9878-BBE020AC0862}">
          <x14:formula1>
            <xm:f>DataBank!$I$2:$I$6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A9" zoomScale="75" zoomScaleNormal="47" workbookViewId="0">
      <selection activeCell="E15" sqref="E1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2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2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2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25">
      <c r="A6" s="5"/>
      <c r="B6" s="5"/>
      <c r="C6" s="86"/>
      <c r="D6" s="326"/>
      <c r="E6" s="326"/>
      <c r="F6" s="5"/>
      <c r="G6" s="5"/>
      <c r="H6" s="326"/>
      <c r="I6" s="326"/>
      <c r="J6" s="15"/>
      <c r="K6" s="15"/>
      <c r="L6" s="5"/>
      <c r="M6" s="326"/>
      <c r="N6" s="326"/>
      <c r="O6" s="326"/>
      <c r="P6" s="326"/>
      <c r="Q6" s="5"/>
      <c r="R6" s="5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5"/>
      <c r="AH6" s="5"/>
      <c r="AI6" s="87"/>
      <c r="AJ6" s="5"/>
    </row>
    <row r="7" spans="1:36" ht="15.75" thickBot="1" x14ac:dyDescent="0.3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4">
      <c r="A8" s="5"/>
      <c r="B8" s="5"/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5"/>
      <c r="AH8" s="5"/>
      <c r="AI8" s="87"/>
      <c r="AJ8" s="5"/>
    </row>
    <row r="9" spans="1:36" ht="21.75" thickBot="1" x14ac:dyDescent="0.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75" x14ac:dyDescent="0.3">
      <c r="A10" s="5"/>
      <c r="B10" s="5"/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84"/>
      <c r="W10" s="138"/>
      <c r="X10" s="83"/>
      <c r="Y10" s="139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.5" thickBot="1" x14ac:dyDescent="0.35">
      <c r="A11" s="5"/>
      <c r="B11" s="5"/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214" t="s">
        <v>191</v>
      </c>
      <c r="K11" s="5"/>
      <c r="L11" s="5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75" x14ac:dyDescent="0.3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/>
      <c r="J12" s="214" t="str">
        <f>J15</f>
        <v>t/h</v>
      </c>
      <c r="K12" s="5"/>
      <c r="L12" s="5"/>
      <c r="M12" s="248" t="s">
        <v>77</v>
      </c>
      <c r="N12" s="256"/>
      <c r="O12" s="179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75" x14ac:dyDescent="0.3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75" x14ac:dyDescent="0.3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.5" thickBot="1" x14ac:dyDescent="0.3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.5" thickBot="1" x14ac:dyDescent="0.3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75" x14ac:dyDescent="0.3">
      <c r="A17" s="5"/>
      <c r="B17" s="5"/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75" x14ac:dyDescent="0.3">
      <c r="A18" s="5"/>
      <c r="B18" s="5"/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75" x14ac:dyDescent="0.3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75" x14ac:dyDescent="0.3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75" x14ac:dyDescent="0.3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75" x14ac:dyDescent="0.3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75" x14ac:dyDescent="0.3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75" x14ac:dyDescent="0.3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75" x14ac:dyDescent="0.3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.5" thickBot="1" x14ac:dyDescent="0.3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.5" thickBot="1" x14ac:dyDescent="0.3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2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2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2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2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2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2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2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2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2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2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2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2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2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2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2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2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2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2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2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75" x14ac:dyDescent="0.25">
      <c r="A47" s="5"/>
      <c r="B47" s="5"/>
      <c r="C47" s="86"/>
      <c r="D47" s="325"/>
      <c r="E47" s="325"/>
      <c r="F47" s="325"/>
      <c r="G47" s="325"/>
      <c r="H47" s="325"/>
      <c r="I47" s="325"/>
      <c r="J47" s="325"/>
      <c r="K47" s="325"/>
      <c r="L47" s="32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75" x14ac:dyDescent="0.2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75" x14ac:dyDescent="0.2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75" x14ac:dyDescent="0.2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75" x14ac:dyDescent="0.2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75" x14ac:dyDescent="0.2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75" x14ac:dyDescent="0.2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75" x14ac:dyDescent="0.2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2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2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2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2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2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2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2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2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2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2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2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2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2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2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.75" thickBot="1" x14ac:dyDescent="0.3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2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23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K16:K17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AE10:AE27 AC10:AC27 T10:T27 N14:Q27 N12:Q12 N13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7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2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2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2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25">
      <c r="C6" s="86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.75" thickBot="1" x14ac:dyDescent="0.3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4"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11"/>
      <c r="AH8" s="343" t="s">
        <v>5</v>
      </c>
      <c r="AI8" s="344"/>
      <c r="AJ8" s="345"/>
      <c r="AK8" s="98"/>
      <c r="AL8" s="343" t="s">
        <v>6</v>
      </c>
      <c r="AM8" s="344"/>
      <c r="AN8" s="345"/>
      <c r="AO8" s="87"/>
    </row>
    <row r="9" spans="3:41" ht="21.75" thickBot="1" x14ac:dyDescent="0.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4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75" x14ac:dyDescent="0.3">
      <c r="C10" s="86"/>
      <c r="D10" s="67" t="s">
        <v>1</v>
      </c>
      <c r="E10" s="68"/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254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.5" thickBot="1" x14ac:dyDescent="0.3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214" t="s">
        <v>191</v>
      </c>
      <c r="K11" s="79"/>
      <c r="L11" s="79"/>
      <c r="M11" s="255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75" x14ac:dyDescent="0.3">
      <c r="C12" s="86"/>
      <c r="D12" s="69" t="s">
        <v>42</v>
      </c>
      <c r="E12" s="205" t="s">
        <v>229</v>
      </c>
      <c r="F12" s="214" t="s">
        <v>182</v>
      </c>
      <c r="G12" s="5"/>
      <c r="H12" s="69" t="s">
        <v>68</v>
      </c>
      <c r="I12" s="105"/>
      <c r="J12" s="214" t="str">
        <f>J15</f>
        <v>t/h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75" x14ac:dyDescent="0.3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214" t="s">
        <v>182</v>
      </c>
      <c r="K13" s="79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75" x14ac:dyDescent="0.3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214" t="s">
        <v>194</v>
      </c>
      <c r="K14" s="79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.5" thickBot="1" x14ac:dyDescent="0.3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214" t="s">
        <v>192</v>
      </c>
      <c r="K15" s="79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.5" thickBot="1" x14ac:dyDescent="0.3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75" x14ac:dyDescent="0.3">
      <c r="C17" s="86"/>
      <c r="D17" s="69" t="s">
        <v>60</v>
      </c>
      <c r="E17" s="70"/>
      <c r="F17" s="214" t="s">
        <v>186</v>
      </c>
      <c r="G17" s="5"/>
      <c r="H17" s="76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75" x14ac:dyDescent="0.3">
      <c r="C18" s="86"/>
      <c r="D18" s="71" t="s">
        <v>61</v>
      </c>
      <c r="E18" s="70"/>
      <c r="F18" s="214" t="s">
        <v>186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75" x14ac:dyDescent="0.3">
      <c r="C19" s="86"/>
      <c r="D19" s="69" t="s">
        <v>62</v>
      </c>
      <c r="E19" s="70"/>
      <c r="F19" s="214" t="s">
        <v>186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75" x14ac:dyDescent="0.3"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75" x14ac:dyDescent="0.3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75" x14ac:dyDescent="0.3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75" x14ac:dyDescent="0.3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75" x14ac:dyDescent="0.3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75" x14ac:dyDescent="0.3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.5" thickBot="1" x14ac:dyDescent="0.3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.5" thickBot="1" x14ac:dyDescent="0.3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75" x14ac:dyDescent="0.2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75" x14ac:dyDescent="0.2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75" x14ac:dyDescent="0.2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2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2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2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2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2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2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2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2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2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2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2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2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2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2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2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2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75" x14ac:dyDescent="0.2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2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2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2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2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2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2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2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2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2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2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2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2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2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2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2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2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2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2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2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2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2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2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.75" thickBot="1" x14ac:dyDescent="0.3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25">
      <c r="R130" s="3" t="s">
        <v>23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AE10:AE27 AC10:AC27 AH10:AH27 T10:T27 I16:I27 N14:Q27 N12:Q12 N13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F17" sqref="F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2.140625" style="3" customWidth="1"/>
    <col min="5" max="5" width="18.28515625" style="3" customWidth="1"/>
    <col min="6" max="6" width="15.28515625" style="3" customWidth="1"/>
    <col min="7" max="7" width="6.28515625" style="3" customWidth="1"/>
    <col min="8" max="8" width="21.42578125" style="3" customWidth="1"/>
    <col min="9" max="11" width="15.28515625" style="3" customWidth="1"/>
    <col min="12" max="12" width="4.28515625" style="3" customWidth="1"/>
    <col min="13" max="13" width="29.42578125" style="3" customWidth="1"/>
    <col min="14" max="14" width="21.140625" style="3" customWidth="1"/>
    <col min="15" max="15" width="32.7109375" style="3" customWidth="1"/>
    <col min="16" max="16" width="27.7109375" style="3" customWidth="1"/>
    <col min="17" max="18" width="15.28515625" style="3" customWidth="1"/>
    <col min="19" max="19" width="22.85546875" style="3" customWidth="1"/>
    <col min="20" max="20" width="26.28515625" style="3" customWidth="1"/>
    <col min="21" max="22" width="10.85546875" style="3"/>
    <col min="23" max="23" width="14.7109375" style="3" customWidth="1"/>
    <col min="24" max="25" width="18.140625" style="3" bestFit="1" customWidth="1"/>
    <col min="26" max="26" width="21.85546875" style="3" customWidth="1"/>
    <col min="27" max="27" width="10.85546875" style="3"/>
    <col min="28" max="28" width="15.28515625" style="3" customWidth="1"/>
    <col min="29" max="29" width="17.85546875" style="3" customWidth="1"/>
    <col min="30" max="30" width="10.85546875" style="3"/>
    <col min="31" max="31" width="13.85546875" style="3" customWidth="1"/>
    <col min="32" max="32" width="70.85546875" style="3" customWidth="1"/>
    <col min="33" max="33" width="10.85546875" style="3"/>
    <col min="34" max="34" width="14.85546875" style="3" customWidth="1"/>
    <col min="35" max="35" width="10.85546875" style="3"/>
    <col min="36" max="36" width="21" style="3" bestFit="1" customWidth="1"/>
    <col min="37" max="16384" width="10.85546875" style="3"/>
  </cols>
  <sheetData>
    <row r="1" spans="1:41" ht="10.5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6.95" customHeight="1" thickBot="1" x14ac:dyDescent="0.3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25">
      <c r="A3" s="5"/>
      <c r="B3" s="5"/>
      <c r="C3" s="90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6"/>
      <c r="AL3" s="5"/>
      <c r="AM3" s="5"/>
      <c r="AN3" s="5"/>
      <c r="AO3" s="5"/>
    </row>
    <row r="4" spans="1:41" x14ac:dyDescent="0.2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7"/>
      <c r="AL4" s="5"/>
      <c r="AM4" s="5"/>
      <c r="AN4" s="5"/>
      <c r="AO4" s="5"/>
    </row>
    <row r="5" spans="1:41" x14ac:dyDescent="0.2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7"/>
      <c r="AL5" s="5"/>
      <c r="AM5" s="5"/>
      <c r="AN5" s="5"/>
      <c r="AO5" s="5"/>
    </row>
    <row r="6" spans="1:41" ht="15.75" thickBot="1" x14ac:dyDescent="0.3">
      <c r="A6" s="5"/>
      <c r="B6" s="5"/>
      <c r="C6" s="86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11"/>
      <c r="AH6" s="11"/>
      <c r="AI6" s="11"/>
      <c r="AJ6" s="11"/>
      <c r="AK6" s="87"/>
      <c r="AL6" s="5"/>
      <c r="AM6" s="5"/>
      <c r="AN6" s="5"/>
      <c r="AO6" s="5"/>
    </row>
    <row r="7" spans="1:41" ht="24" thickBot="1" x14ac:dyDescent="0.4">
      <c r="A7" s="5"/>
      <c r="B7" s="5"/>
      <c r="C7" s="86"/>
      <c r="D7" s="327" t="s">
        <v>52</v>
      </c>
      <c r="E7" s="328"/>
      <c r="F7" s="329"/>
      <c r="G7" s="5"/>
      <c r="H7" s="330" t="s">
        <v>53</v>
      </c>
      <c r="I7" s="331"/>
      <c r="J7" s="332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7"/>
      <c r="AL7" s="5"/>
      <c r="AM7" s="5"/>
      <c r="AN7" s="5"/>
      <c r="AO7" s="5"/>
    </row>
    <row r="8" spans="1:41" ht="24" thickBot="1" x14ac:dyDescent="0.4">
      <c r="A8" s="5"/>
      <c r="B8" s="5"/>
      <c r="C8" s="86"/>
      <c r="D8" s="73" t="s">
        <v>32</v>
      </c>
      <c r="E8" s="213" t="s">
        <v>0</v>
      </c>
      <c r="F8" s="216" t="s">
        <v>181</v>
      </c>
      <c r="G8" s="5"/>
      <c r="H8" s="99" t="s">
        <v>32</v>
      </c>
      <c r="I8" s="99" t="s">
        <v>54</v>
      </c>
      <c r="J8" s="74" t="s">
        <v>181</v>
      </c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11"/>
      <c r="AH8" s="337" t="s">
        <v>7</v>
      </c>
      <c r="AI8" s="338"/>
      <c r="AJ8" s="339"/>
      <c r="AK8" s="87"/>
      <c r="AL8" s="5"/>
      <c r="AM8" s="5"/>
      <c r="AN8" s="5"/>
      <c r="AO8" s="5"/>
    </row>
    <row r="9" spans="1:41" ht="21.75" thickBot="1" x14ac:dyDescent="0.4">
      <c r="A9" s="5"/>
      <c r="B9" s="5"/>
      <c r="C9" s="86"/>
      <c r="D9" s="67" t="s">
        <v>1</v>
      </c>
      <c r="E9" s="68"/>
      <c r="F9" s="214" t="s">
        <v>182</v>
      </c>
      <c r="G9" s="5"/>
      <c r="H9" s="67" t="s">
        <v>2</v>
      </c>
      <c r="I9" s="68"/>
      <c r="J9" s="96" t="s">
        <v>182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159</v>
      </c>
      <c r="Y9" s="200" t="s">
        <v>160</v>
      </c>
      <c r="Z9" s="201" t="s">
        <v>161</v>
      </c>
      <c r="AA9" s="11"/>
      <c r="AB9" s="85" t="s">
        <v>82</v>
      </c>
      <c r="AC9" s="85" t="s">
        <v>81</v>
      </c>
      <c r="AD9" s="85" t="s">
        <v>83</v>
      </c>
      <c r="AE9" s="85" t="s">
        <v>35</v>
      </c>
      <c r="AF9" s="85" t="s">
        <v>84</v>
      </c>
      <c r="AG9" s="11"/>
      <c r="AH9" s="178" t="s">
        <v>35</v>
      </c>
      <c r="AI9" s="178" t="s">
        <v>0</v>
      </c>
      <c r="AJ9" s="178" t="s">
        <v>125</v>
      </c>
      <c r="AK9" s="87"/>
      <c r="AL9" s="5"/>
      <c r="AM9" s="5"/>
      <c r="AN9" s="5"/>
      <c r="AO9" s="5"/>
    </row>
    <row r="10" spans="1:41" ht="18.75" x14ac:dyDescent="0.3">
      <c r="A10" s="5"/>
      <c r="B10" s="5"/>
      <c r="C10" s="86"/>
      <c r="D10" s="69" t="s">
        <v>3</v>
      </c>
      <c r="E10" s="70"/>
      <c r="F10" s="214" t="s">
        <v>182</v>
      </c>
      <c r="G10" s="5"/>
      <c r="H10" s="69" t="s">
        <v>67</v>
      </c>
      <c r="I10" s="105"/>
      <c r="J10" s="87" t="s">
        <v>191</v>
      </c>
      <c r="K10" s="79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03"/>
      <c r="AC10" s="104"/>
      <c r="AD10" s="104"/>
      <c r="AE10" s="104"/>
      <c r="AF10" s="70"/>
      <c r="AG10" s="120"/>
      <c r="AH10" s="140"/>
      <c r="AI10" s="83"/>
      <c r="AJ10" s="164"/>
      <c r="AK10" s="87"/>
      <c r="AL10" s="5"/>
      <c r="AM10" s="5"/>
      <c r="AN10" s="5"/>
      <c r="AO10" s="5"/>
    </row>
    <row r="11" spans="1:41" ht="19.5" thickBot="1" x14ac:dyDescent="0.35">
      <c r="A11" s="5"/>
      <c r="B11" s="5"/>
      <c r="C11" s="86"/>
      <c r="D11" s="69" t="s">
        <v>42</v>
      </c>
      <c r="E11" s="261" t="s">
        <v>230</v>
      </c>
      <c r="F11" s="214" t="s">
        <v>182</v>
      </c>
      <c r="G11" s="5"/>
      <c r="H11" s="69" t="s">
        <v>68</v>
      </c>
      <c r="I11" s="105"/>
      <c r="J11" s="87" t="str">
        <f>J14</f>
        <v>t/h</v>
      </c>
      <c r="K11" s="79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03"/>
      <c r="AI11" s="75"/>
      <c r="AJ11" s="92"/>
      <c r="AK11" s="87"/>
      <c r="AL11" s="5"/>
      <c r="AM11" s="5"/>
      <c r="AN11" s="5"/>
      <c r="AO11" s="5"/>
    </row>
    <row r="12" spans="1:41" ht="18.75" x14ac:dyDescent="0.3">
      <c r="A12" s="5"/>
      <c r="B12" s="5"/>
      <c r="C12" s="86"/>
      <c r="D12" s="69" t="s">
        <v>56</v>
      </c>
      <c r="F12" s="214" t="s">
        <v>182</v>
      </c>
      <c r="G12" s="5"/>
      <c r="H12" s="69" t="s">
        <v>69</v>
      </c>
      <c r="I12" s="105"/>
      <c r="J12" s="87" t="s">
        <v>182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09"/>
      <c r="T12" s="125"/>
      <c r="U12" s="70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3"/>
      <c r="AI12" s="75"/>
      <c r="AJ12" s="92"/>
      <c r="AK12" s="87"/>
      <c r="AL12" s="5"/>
      <c r="AM12" s="5"/>
      <c r="AN12" s="5"/>
      <c r="AO12" s="5"/>
    </row>
    <row r="13" spans="1:41" ht="18.75" x14ac:dyDescent="0.3">
      <c r="A13" s="5"/>
      <c r="B13" s="5"/>
      <c r="C13" s="86"/>
      <c r="D13" s="69" t="s">
        <v>57</v>
      </c>
      <c r="E13" s="70">
        <v>25</v>
      </c>
      <c r="F13" s="214" t="s">
        <v>182</v>
      </c>
      <c r="G13" s="5"/>
      <c r="H13" s="69" t="s">
        <v>70</v>
      </c>
      <c r="I13" s="105"/>
      <c r="J13" s="87" t="s">
        <v>194</v>
      </c>
      <c r="K13" s="79"/>
      <c r="L13" s="79"/>
      <c r="M13" s="249"/>
      <c r="N13" s="126"/>
      <c r="O13" s="75"/>
      <c r="P13" s="75"/>
      <c r="Q13" s="70"/>
      <c r="R13" s="114"/>
      <c r="S13" s="109"/>
      <c r="T13" s="120"/>
      <c r="U13" s="70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3"/>
      <c r="AI13" s="75"/>
      <c r="AJ13" s="92"/>
      <c r="AK13" s="87"/>
      <c r="AL13" s="5"/>
      <c r="AM13" s="5"/>
      <c r="AN13" s="5"/>
      <c r="AO13" s="5"/>
    </row>
    <row r="14" spans="1:41" ht="19.5" thickBot="1" x14ac:dyDescent="0.35">
      <c r="A14" s="5"/>
      <c r="B14" s="5"/>
      <c r="C14" s="86"/>
      <c r="D14" s="69" t="s">
        <v>58</v>
      </c>
      <c r="E14" s="70">
        <v>2.6</v>
      </c>
      <c r="F14" s="214" t="s">
        <v>182</v>
      </c>
      <c r="G14" s="5"/>
      <c r="H14" s="76" t="s">
        <v>71</v>
      </c>
      <c r="I14" s="70"/>
      <c r="J14" s="87" t="s">
        <v>192</v>
      </c>
      <c r="K14" s="79"/>
      <c r="L14" s="79"/>
      <c r="M14" s="250"/>
      <c r="N14" s="110"/>
      <c r="O14" s="79"/>
      <c r="P14" s="79"/>
      <c r="Q14" s="82"/>
      <c r="R14" s="114"/>
      <c r="S14" s="109"/>
      <c r="T14" s="75"/>
      <c r="U14" s="7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3"/>
      <c r="AI14" s="75"/>
      <c r="AJ14" s="92"/>
      <c r="AK14" s="87"/>
      <c r="AL14" s="5"/>
      <c r="AM14" s="5"/>
      <c r="AN14" s="5"/>
      <c r="AO14" s="5"/>
    </row>
    <row r="15" spans="1:41" ht="19.5" thickBot="1" x14ac:dyDescent="0.35">
      <c r="A15" s="5"/>
      <c r="B15" s="5"/>
      <c r="C15" s="86"/>
      <c r="D15" s="69" t="s">
        <v>59</v>
      </c>
      <c r="E15" s="70">
        <v>1.44</v>
      </c>
      <c r="F15" s="214" t="s">
        <v>182</v>
      </c>
      <c r="G15" s="5"/>
      <c r="H15" s="242" t="s">
        <v>55</v>
      </c>
      <c r="I15" s="243"/>
      <c r="J15" s="217" t="s">
        <v>182</v>
      </c>
      <c r="K15" s="79"/>
      <c r="L15" s="79"/>
      <c r="M15" s="250"/>
      <c r="N15" s="110"/>
      <c r="O15" s="79"/>
      <c r="P15" s="79"/>
      <c r="Q15" s="82"/>
      <c r="R15" s="114"/>
      <c r="S15" s="109"/>
      <c r="T15" s="75"/>
      <c r="U15" s="7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3"/>
      <c r="AI15" s="75"/>
      <c r="AJ15" s="92"/>
      <c r="AK15" s="87"/>
      <c r="AL15" s="5"/>
      <c r="AM15" s="5"/>
      <c r="AN15" s="5"/>
      <c r="AO15" s="5"/>
    </row>
    <row r="16" spans="1:41" ht="18.75" x14ac:dyDescent="0.3">
      <c r="A16" s="5"/>
      <c r="B16" s="5"/>
      <c r="C16" s="86"/>
      <c r="D16" s="69" t="s">
        <v>60</v>
      </c>
      <c r="E16" s="70"/>
      <c r="F16" s="214" t="s">
        <v>186</v>
      </c>
      <c r="G16" s="5"/>
      <c r="H16" s="76"/>
      <c r="I16" s="244"/>
      <c r="J16" s="214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9"/>
      <c r="AI16" s="75"/>
      <c r="AJ16" s="92"/>
      <c r="AK16" s="87"/>
      <c r="AL16" s="5"/>
      <c r="AM16" s="5"/>
      <c r="AN16" s="5"/>
      <c r="AO16" s="5"/>
    </row>
    <row r="17" spans="1:41" ht="18.75" x14ac:dyDescent="0.3">
      <c r="A17" s="5"/>
      <c r="B17" s="5"/>
      <c r="C17" s="86"/>
      <c r="D17" s="71" t="s">
        <v>61</v>
      </c>
      <c r="E17" s="70"/>
      <c r="F17" s="214" t="s">
        <v>186</v>
      </c>
      <c r="G17" s="5"/>
      <c r="H17" s="77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9"/>
      <c r="AI17" s="75"/>
      <c r="AJ17" s="92"/>
      <c r="AK17" s="87"/>
      <c r="AL17" s="5"/>
      <c r="AM17" s="5"/>
      <c r="AN17" s="5"/>
      <c r="AO17" s="5"/>
    </row>
    <row r="18" spans="1:41" ht="18.75" x14ac:dyDescent="0.3">
      <c r="A18" s="5"/>
      <c r="B18" s="5"/>
      <c r="C18" s="86"/>
      <c r="D18" s="69" t="s">
        <v>62</v>
      </c>
      <c r="E18" s="70"/>
      <c r="F18" s="214" t="s">
        <v>186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9"/>
      <c r="AI18" s="75"/>
      <c r="AJ18" s="92"/>
      <c r="AK18" s="87"/>
      <c r="AL18" s="5"/>
      <c r="AM18" s="5"/>
      <c r="AN18" s="5"/>
      <c r="AO18" s="5"/>
    </row>
    <row r="19" spans="1:41" ht="18.75" x14ac:dyDescent="0.3">
      <c r="A19" s="5"/>
      <c r="B19" s="5"/>
      <c r="C19" s="86"/>
      <c r="D19" s="71" t="s">
        <v>63</v>
      </c>
      <c r="E19" s="70"/>
      <c r="F19" s="214" t="s">
        <v>186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9"/>
      <c r="AI19" s="75"/>
      <c r="AJ19" s="92"/>
      <c r="AK19" s="87"/>
      <c r="AL19" s="5"/>
      <c r="AM19" s="5"/>
      <c r="AN19" s="5"/>
      <c r="AO19" s="5"/>
    </row>
    <row r="20" spans="1:41" ht="18.75" x14ac:dyDescent="0.3">
      <c r="A20" s="5"/>
      <c r="B20" s="5"/>
      <c r="C20" s="86"/>
      <c r="D20" s="71" t="s">
        <v>64</v>
      </c>
      <c r="E20" s="143" t="s">
        <v>94</v>
      </c>
      <c r="F20" s="214" t="s">
        <v>182</v>
      </c>
      <c r="G20" s="5"/>
      <c r="H20" s="110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9"/>
      <c r="AI20" s="75"/>
      <c r="AJ20" s="92"/>
      <c r="AK20" s="87"/>
      <c r="AL20" s="5"/>
      <c r="AM20" s="5"/>
      <c r="AN20" s="5"/>
      <c r="AO20" s="5"/>
    </row>
    <row r="21" spans="1:41" ht="18.75" x14ac:dyDescent="0.3">
      <c r="A21" s="5"/>
      <c r="B21" s="5"/>
      <c r="C21" s="86"/>
      <c r="D21" s="71" t="s">
        <v>65</v>
      </c>
      <c r="E21" s="70"/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9"/>
      <c r="AI21" s="75"/>
      <c r="AJ21" s="92"/>
      <c r="AK21" s="87"/>
      <c r="AL21" s="5"/>
      <c r="AM21" s="5"/>
      <c r="AN21" s="5"/>
      <c r="AO21" s="5"/>
    </row>
    <row r="22" spans="1:41" ht="18.75" x14ac:dyDescent="0.3">
      <c r="A22" s="5"/>
      <c r="B22" s="5"/>
      <c r="C22" s="86"/>
      <c r="D22" s="71" t="s">
        <v>66</v>
      </c>
      <c r="E22" s="70"/>
      <c r="F22" s="214" t="s">
        <v>182</v>
      </c>
      <c r="G22" s="5"/>
      <c r="H22" s="110"/>
      <c r="I22" s="245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9"/>
      <c r="AI22" s="75"/>
      <c r="AJ22" s="92"/>
      <c r="AK22" s="87"/>
      <c r="AL22" s="5"/>
      <c r="AM22" s="5"/>
      <c r="AN22" s="5"/>
      <c r="AO22" s="5"/>
    </row>
    <row r="23" spans="1:41" ht="18.75" x14ac:dyDescent="0.3">
      <c r="A23" s="5"/>
      <c r="B23" s="5"/>
      <c r="C23" s="86"/>
      <c r="D23" s="132" t="s">
        <v>86</v>
      </c>
      <c r="E23" s="92"/>
      <c r="F23" s="214" t="s">
        <v>182</v>
      </c>
      <c r="G23" s="11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9"/>
      <c r="AI23" s="75"/>
      <c r="AJ23" s="92"/>
      <c r="AK23" s="87"/>
      <c r="AL23" s="5"/>
      <c r="AM23" s="5"/>
      <c r="AN23" s="5"/>
      <c r="AO23" s="5"/>
    </row>
    <row r="24" spans="1:41" ht="18.75" x14ac:dyDescent="0.3">
      <c r="A24" s="5"/>
      <c r="B24" s="5"/>
      <c r="C24" s="86"/>
      <c r="D24" s="132" t="s">
        <v>87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9"/>
      <c r="AI24" s="75"/>
      <c r="AJ24" s="92"/>
      <c r="AK24" s="87"/>
      <c r="AL24" s="5"/>
      <c r="AM24" s="5"/>
      <c r="AN24" s="5"/>
      <c r="AO24" s="5"/>
    </row>
    <row r="25" spans="1:41" ht="19.5" thickBot="1" x14ac:dyDescent="0.35">
      <c r="A25" s="5"/>
      <c r="B25" s="5"/>
      <c r="C25" s="86"/>
      <c r="D25" s="133" t="s">
        <v>88</v>
      </c>
      <c r="E25" s="65"/>
      <c r="F25" s="215" t="s">
        <v>182</v>
      </c>
      <c r="G25" s="5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9"/>
      <c r="AI25" s="75"/>
      <c r="AJ25" s="92"/>
      <c r="AK25" s="87"/>
      <c r="AL25" s="5"/>
      <c r="AM25" s="5"/>
      <c r="AN25" s="5"/>
      <c r="AO25" s="5"/>
    </row>
    <row r="26" spans="1:41" ht="19.5" thickBot="1" x14ac:dyDescent="0.35">
      <c r="A26" s="5"/>
      <c r="B26" s="5"/>
      <c r="C26" s="86"/>
      <c r="D26" s="133" t="s">
        <v>109</v>
      </c>
      <c r="E26" s="72">
        <f>Systemblatt!C11</f>
        <v>8000</v>
      </c>
      <c r="F26" s="215" t="s">
        <v>184</v>
      </c>
      <c r="G26" s="5"/>
      <c r="H26" s="111"/>
      <c r="I26" s="246"/>
      <c r="J26" s="215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9"/>
      <c r="AI26" s="75"/>
      <c r="AJ26" s="92"/>
      <c r="AK26" s="87"/>
      <c r="AL26" s="5"/>
      <c r="AM26" s="5"/>
      <c r="AN26" s="5"/>
      <c r="AO26" s="5"/>
    </row>
    <row r="27" spans="1:41" ht="19.5" thickBot="1" x14ac:dyDescent="0.35">
      <c r="A27" s="5"/>
      <c r="B27" s="5"/>
      <c r="C27" s="86"/>
      <c r="D27" s="79"/>
      <c r="E27" s="79"/>
      <c r="F27" s="79"/>
      <c r="G27" s="79"/>
      <c r="H27" s="79"/>
      <c r="I27" s="79"/>
      <c r="J27" s="79"/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12"/>
      <c r="AI27" s="113"/>
      <c r="AJ27" s="146"/>
      <c r="AK27" s="87"/>
      <c r="AL27" s="5"/>
      <c r="AM27" s="5"/>
      <c r="AN27" s="5"/>
      <c r="AO27" s="5"/>
    </row>
    <row r="28" spans="1:41" x14ac:dyDescent="0.25">
      <c r="A28" s="5"/>
      <c r="B28" s="5"/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7"/>
      <c r="AL28" s="5"/>
      <c r="AM28" s="5"/>
      <c r="AN28" s="5"/>
      <c r="AO28" s="5"/>
    </row>
    <row r="29" spans="1:41" x14ac:dyDescent="0.25">
      <c r="A29" s="5"/>
      <c r="B29" s="5"/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7"/>
      <c r="AL29" s="5"/>
      <c r="AM29" s="5"/>
      <c r="AN29" s="5"/>
      <c r="AO29" s="5"/>
    </row>
    <row r="30" spans="1:41" x14ac:dyDescent="0.2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7"/>
      <c r="AL30" s="5"/>
      <c r="AM30" s="5"/>
      <c r="AN30" s="5"/>
      <c r="AO30" s="5"/>
    </row>
    <row r="31" spans="1:41" x14ac:dyDescent="0.2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7"/>
      <c r="AL31" s="5"/>
      <c r="AM31" s="5"/>
      <c r="AN31" s="5"/>
      <c r="AO31" s="5"/>
    </row>
    <row r="32" spans="1:41" x14ac:dyDescent="0.2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7"/>
      <c r="AL32" s="5"/>
      <c r="AM32" s="5"/>
      <c r="AN32" s="5"/>
      <c r="AO32" s="5"/>
    </row>
    <row r="33" spans="1:41" x14ac:dyDescent="0.2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7"/>
      <c r="AL33" s="5"/>
      <c r="AM33" s="5"/>
      <c r="AN33" s="5"/>
      <c r="AO33" s="5"/>
    </row>
    <row r="34" spans="1:41" x14ac:dyDescent="0.2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7"/>
      <c r="AL34" s="5"/>
      <c r="AM34" s="5"/>
      <c r="AN34" s="5"/>
      <c r="AO34" s="5"/>
    </row>
    <row r="35" spans="1:41" x14ac:dyDescent="0.2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7"/>
      <c r="AL35" s="5"/>
      <c r="AM35" s="5"/>
      <c r="AN35" s="5"/>
      <c r="AO35" s="5"/>
    </row>
    <row r="36" spans="1:41" x14ac:dyDescent="0.2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7"/>
      <c r="AL36" s="5"/>
      <c r="AM36" s="5"/>
      <c r="AN36" s="5"/>
      <c r="AO36" s="5"/>
    </row>
    <row r="37" spans="1:41" x14ac:dyDescent="0.2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7"/>
      <c r="AL37" s="5"/>
      <c r="AM37" s="5"/>
      <c r="AN37" s="5"/>
      <c r="AO37" s="5"/>
    </row>
    <row r="38" spans="1:41" x14ac:dyDescent="0.2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7"/>
      <c r="AL38" s="5"/>
      <c r="AM38" s="5"/>
      <c r="AN38" s="5"/>
      <c r="AO38" s="5"/>
    </row>
    <row r="39" spans="1:41" x14ac:dyDescent="0.2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7"/>
      <c r="AL39" s="5"/>
      <c r="AM39" s="5"/>
      <c r="AN39" s="5"/>
      <c r="AO39" s="5"/>
    </row>
    <row r="40" spans="1:41" x14ac:dyDescent="0.2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7"/>
      <c r="AL40" s="5"/>
      <c r="AM40" s="5"/>
      <c r="AN40" s="5"/>
      <c r="AO40" s="5"/>
    </row>
    <row r="41" spans="1:41" x14ac:dyDescent="0.2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7"/>
      <c r="AL41" s="5"/>
      <c r="AM41" s="5"/>
      <c r="AN41" s="5"/>
      <c r="AO41" s="5"/>
    </row>
    <row r="42" spans="1:41" x14ac:dyDescent="0.2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7"/>
      <c r="AL42" s="5"/>
      <c r="AM42" s="5"/>
      <c r="AN42" s="5"/>
      <c r="AO42" s="5"/>
    </row>
    <row r="43" spans="1:41" x14ac:dyDescent="0.2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7"/>
      <c r="AL43" s="5"/>
      <c r="AM43" s="5"/>
      <c r="AN43" s="5"/>
      <c r="AO43" s="5"/>
    </row>
    <row r="44" spans="1:41" x14ac:dyDescent="0.2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7"/>
      <c r="AL44" s="5"/>
      <c r="AM44" s="5"/>
      <c r="AN44" s="5"/>
      <c r="AO44" s="5"/>
    </row>
    <row r="45" spans="1:41" x14ac:dyDescent="0.2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7"/>
      <c r="AL45" s="5"/>
      <c r="AM45" s="5"/>
      <c r="AN45" s="5"/>
      <c r="AO45" s="5"/>
    </row>
    <row r="46" spans="1:41" x14ac:dyDescent="0.2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7"/>
      <c r="AL46" s="5"/>
      <c r="AM46" s="5"/>
      <c r="AN46" s="5"/>
      <c r="AO46" s="5"/>
    </row>
    <row r="47" spans="1:41" ht="18.75" x14ac:dyDescent="0.25">
      <c r="A47" s="5"/>
      <c r="B47" s="5"/>
      <c r="C47" s="86"/>
      <c r="D47" s="5"/>
      <c r="E47" s="5"/>
      <c r="F47" s="5"/>
      <c r="G47" s="5"/>
      <c r="H47" s="5"/>
      <c r="I47" s="5"/>
      <c r="J47" s="5"/>
      <c r="K47" s="98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7"/>
      <c r="AL47" s="5"/>
      <c r="AM47" s="5"/>
      <c r="AN47" s="5"/>
      <c r="AO47" s="5"/>
    </row>
    <row r="48" spans="1:41" ht="15.75" x14ac:dyDescent="0.25">
      <c r="A48" s="5"/>
      <c r="B48" s="5"/>
      <c r="C48" s="86"/>
      <c r="D48" s="5"/>
      <c r="E48" s="5"/>
      <c r="F48" s="5"/>
      <c r="G48" s="5"/>
      <c r="H48" s="5"/>
      <c r="I48" s="5"/>
      <c r="J48" s="5"/>
      <c r="K48" s="9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7"/>
      <c r="AL48" s="5"/>
      <c r="AM48" s="5"/>
      <c r="AN48" s="5"/>
      <c r="AO48" s="5"/>
    </row>
    <row r="49" spans="1:41" ht="15.75" x14ac:dyDescent="0.25">
      <c r="A49" s="5"/>
      <c r="B49" s="5"/>
      <c r="C49" s="86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7"/>
      <c r="AL49" s="5"/>
      <c r="AM49" s="5"/>
      <c r="AN49" s="5"/>
      <c r="AO49" s="5"/>
    </row>
    <row r="50" spans="1:41" ht="15.75" x14ac:dyDescent="0.25">
      <c r="A50" s="5"/>
      <c r="B50" s="5"/>
      <c r="C50" s="86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7"/>
      <c r="AL50" s="5"/>
      <c r="AM50" s="5"/>
      <c r="AN50" s="5"/>
      <c r="AO50" s="5"/>
    </row>
    <row r="51" spans="1:41" ht="15.75" x14ac:dyDescent="0.25">
      <c r="A51" s="5"/>
      <c r="B51" s="5"/>
      <c r="C51" s="86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7"/>
      <c r="AL51" s="5"/>
      <c r="AM51" s="5"/>
      <c r="AN51" s="5"/>
      <c r="AO51" s="5"/>
    </row>
    <row r="52" spans="1:41" ht="15.75" x14ac:dyDescent="0.25">
      <c r="A52" s="5"/>
      <c r="B52" s="5"/>
      <c r="C52" s="86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7"/>
      <c r="AL52" s="5"/>
      <c r="AM52" s="5"/>
      <c r="AN52" s="5"/>
      <c r="AO52" s="5"/>
    </row>
    <row r="53" spans="1:41" ht="15.75" x14ac:dyDescent="0.25">
      <c r="A53" s="5"/>
      <c r="B53" s="5"/>
      <c r="C53" s="86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7"/>
      <c r="AL53" s="5"/>
      <c r="AM53" s="5"/>
      <c r="AN53" s="5"/>
      <c r="AO53" s="5"/>
    </row>
    <row r="54" spans="1:41" ht="15.75" x14ac:dyDescent="0.25">
      <c r="A54" s="5"/>
      <c r="B54" s="5"/>
      <c r="C54" s="86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7"/>
      <c r="AL54" s="5"/>
      <c r="AM54" s="5"/>
      <c r="AN54" s="5"/>
      <c r="AO54" s="5"/>
    </row>
    <row r="55" spans="1:41" x14ac:dyDescent="0.2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7"/>
      <c r="AL55" s="5"/>
      <c r="AM55" s="5"/>
      <c r="AN55" s="5"/>
      <c r="AO55" s="5"/>
    </row>
    <row r="56" spans="1:41" x14ac:dyDescent="0.2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7"/>
      <c r="AL56" s="5"/>
      <c r="AM56" s="5"/>
      <c r="AN56" s="5"/>
      <c r="AO56" s="5"/>
    </row>
    <row r="57" spans="1:41" x14ac:dyDescent="0.2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7"/>
      <c r="AL57" s="5"/>
      <c r="AM57" s="5"/>
      <c r="AN57" s="5"/>
      <c r="AO57" s="5"/>
    </row>
    <row r="58" spans="1:41" x14ac:dyDescent="0.2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7"/>
      <c r="AL58" s="5"/>
      <c r="AM58" s="5"/>
      <c r="AN58" s="5"/>
      <c r="AO58" s="5"/>
    </row>
    <row r="59" spans="1:41" x14ac:dyDescent="0.2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7"/>
      <c r="AL59" s="5"/>
      <c r="AM59" s="5"/>
      <c r="AN59" s="5"/>
      <c r="AO59" s="5"/>
    </row>
    <row r="60" spans="1:41" x14ac:dyDescent="0.2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7"/>
      <c r="AL60" s="5"/>
      <c r="AM60" s="5"/>
      <c r="AN60" s="5"/>
      <c r="AO60" s="5"/>
    </row>
    <row r="61" spans="1:41" x14ac:dyDescent="0.2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7"/>
      <c r="AL61" s="5"/>
      <c r="AM61" s="5"/>
      <c r="AN61" s="5"/>
      <c r="AO61" s="5"/>
    </row>
    <row r="62" spans="1:41" x14ac:dyDescent="0.2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7"/>
      <c r="AL62" s="5"/>
      <c r="AM62" s="5"/>
      <c r="AN62" s="5"/>
      <c r="AO62" s="5"/>
    </row>
    <row r="63" spans="1:41" x14ac:dyDescent="0.2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7"/>
      <c r="AL63" s="5"/>
      <c r="AM63" s="5"/>
      <c r="AN63" s="5"/>
      <c r="AO63" s="5"/>
    </row>
    <row r="64" spans="1:41" x14ac:dyDescent="0.2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7"/>
      <c r="AL64" s="5"/>
      <c r="AM64" s="5"/>
      <c r="AN64" s="5"/>
      <c r="AO64" s="5"/>
    </row>
    <row r="65" spans="1:41" x14ac:dyDescent="0.2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7"/>
      <c r="AL65" s="5"/>
      <c r="AM65" s="5"/>
      <c r="AN65" s="5"/>
      <c r="AO65" s="5"/>
    </row>
    <row r="66" spans="1:41" x14ac:dyDescent="0.2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7"/>
      <c r="AL66" s="5"/>
      <c r="AM66" s="5"/>
      <c r="AN66" s="5"/>
      <c r="AO66" s="5"/>
    </row>
    <row r="67" spans="1:41" x14ac:dyDescent="0.2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7"/>
      <c r="AL67" s="5"/>
      <c r="AM67" s="5"/>
      <c r="AN67" s="5"/>
      <c r="AO67" s="5"/>
    </row>
    <row r="68" spans="1:41" x14ac:dyDescent="0.2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7"/>
      <c r="AL68" s="5"/>
      <c r="AM68" s="5"/>
      <c r="AN68" s="5"/>
      <c r="AO68" s="5"/>
    </row>
    <row r="69" spans="1:41" x14ac:dyDescent="0.25">
      <c r="A69" s="5"/>
      <c r="B69" s="5"/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7"/>
      <c r="AL69" s="5"/>
      <c r="AM69" s="5"/>
      <c r="AN69" s="5"/>
      <c r="AO69" s="5"/>
    </row>
    <row r="70" spans="1:41" ht="15.75" thickBot="1" x14ac:dyDescent="0.3">
      <c r="A70" s="5"/>
      <c r="B70" s="5"/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65"/>
      <c r="AL70" s="5"/>
      <c r="AM70" s="5"/>
      <c r="AN70" s="5"/>
      <c r="AO70" s="5"/>
    </row>
    <row r="71" spans="1:4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25">
      <c r="Q119" s="3" t="s">
        <v>23</v>
      </c>
    </row>
    <row r="137" spans="18:18" x14ac:dyDescent="0.25">
      <c r="R137" s="3" t="s">
        <v>23</v>
      </c>
    </row>
  </sheetData>
  <mergeCells count="11">
    <mergeCell ref="D7:F7"/>
    <mergeCell ref="H7:J7"/>
    <mergeCell ref="AH8:AJ8"/>
    <mergeCell ref="M8:Q8"/>
    <mergeCell ref="D6:E6"/>
    <mergeCell ref="H6:I6"/>
    <mergeCell ref="M6:P6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E18:E19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E25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AJ10:AJ27 T10:T27 AE10:AE27 AC10:AC27 I15:I27 N14:Q27 N12:Q12 N13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I14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J14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2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2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2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25">
      <c r="C6" s="86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.75" thickBot="1" x14ac:dyDescent="0.3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4"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11"/>
      <c r="AH8" s="343" t="s">
        <v>5</v>
      </c>
      <c r="AI8" s="344"/>
      <c r="AJ8" s="345"/>
      <c r="AK8" s="98"/>
      <c r="AL8" s="343" t="s">
        <v>6</v>
      </c>
      <c r="AM8" s="344"/>
      <c r="AN8" s="345"/>
      <c r="AO8" s="87"/>
    </row>
    <row r="9" spans="3:41" ht="21.75" thickBot="1" x14ac:dyDescent="0.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75" x14ac:dyDescent="0.3"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96" t="s">
        <v>182</v>
      </c>
      <c r="K10" s="79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.5" thickBot="1" x14ac:dyDescent="0.3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87" t="s">
        <v>191</v>
      </c>
      <c r="K11" s="79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75" x14ac:dyDescent="0.3">
      <c r="C12" s="86"/>
      <c r="D12" s="69" t="s">
        <v>42</v>
      </c>
      <c r="E12" s="205" t="s">
        <v>165</v>
      </c>
      <c r="F12" s="214" t="s">
        <v>182</v>
      </c>
      <c r="G12" s="5"/>
      <c r="H12" s="69" t="s">
        <v>68</v>
      </c>
      <c r="I12" s="105"/>
      <c r="J12" s="87" t="str">
        <f>J15</f>
        <v>t/h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75" x14ac:dyDescent="0.3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87" t="s">
        <v>182</v>
      </c>
      <c r="K13" s="79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75" x14ac:dyDescent="0.3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87" t="s">
        <v>194</v>
      </c>
      <c r="K14" s="79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.5" thickBot="1" x14ac:dyDescent="0.3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87" t="s">
        <v>192</v>
      </c>
      <c r="K15" s="79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.5" thickBot="1" x14ac:dyDescent="0.3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75" x14ac:dyDescent="0.3"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75" x14ac:dyDescent="0.3"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75" x14ac:dyDescent="0.3"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75" x14ac:dyDescent="0.3"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75" x14ac:dyDescent="0.3">
      <c r="C21" s="86"/>
      <c r="D21" s="71" t="s">
        <v>64</v>
      </c>
      <c r="E21" s="143">
        <v>0.57999999999999996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75" x14ac:dyDescent="0.3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75" x14ac:dyDescent="0.3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75" x14ac:dyDescent="0.3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75" x14ac:dyDescent="0.3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.5" thickBot="1" x14ac:dyDescent="0.3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.5" thickBot="1" x14ac:dyDescent="0.3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75" x14ac:dyDescent="0.2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75" x14ac:dyDescent="0.2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75" x14ac:dyDescent="0.2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2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2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2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2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2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2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2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2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2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2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2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2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2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2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2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2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75" x14ac:dyDescent="0.2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2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2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2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2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2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2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2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2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2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2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2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2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2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2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2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2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2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2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2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2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2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2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.75" thickBot="1" x14ac:dyDescent="0.3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25">
      <c r="R130" s="3" t="s">
        <v>23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AC10:AC27 AE10:AE27 AH10:AH27 T10:T27 I16:I27 N14:Q27 N12:Q12 N13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2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2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2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25">
      <c r="C6" s="86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.75" thickBot="1" x14ac:dyDescent="0.3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4"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5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11"/>
      <c r="AH8" s="343" t="s">
        <v>5</v>
      </c>
      <c r="AI8" s="344"/>
      <c r="AJ8" s="345"/>
      <c r="AK8" s="98"/>
      <c r="AL8" s="343" t="s">
        <v>6</v>
      </c>
      <c r="AM8" s="344"/>
      <c r="AN8" s="345"/>
      <c r="AO8" s="87"/>
    </row>
    <row r="9" spans="3:41" ht="21.75" thickBot="1" x14ac:dyDescent="0.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5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75" x14ac:dyDescent="0.3"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96" t="s">
        <v>182</v>
      </c>
      <c r="K10" s="5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.5" thickBot="1" x14ac:dyDescent="0.3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87" t="s">
        <v>191</v>
      </c>
      <c r="K11" s="5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75" x14ac:dyDescent="0.3">
      <c r="C12" s="86"/>
      <c r="D12" s="69" t="s">
        <v>42</v>
      </c>
      <c r="E12" s="205" t="s">
        <v>24</v>
      </c>
      <c r="F12" s="214" t="s">
        <v>182</v>
      </c>
      <c r="G12" s="5"/>
      <c r="H12" s="69" t="s">
        <v>68</v>
      </c>
      <c r="I12" s="105"/>
      <c r="J12" s="87" t="str">
        <f>J15</f>
        <v>t/h</v>
      </c>
      <c r="K12" s="5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75" x14ac:dyDescent="0.3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87" t="s">
        <v>182</v>
      </c>
      <c r="K13" s="5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75" x14ac:dyDescent="0.3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87" t="s">
        <v>194</v>
      </c>
      <c r="K14" s="5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.5" thickBot="1" x14ac:dyDescent="0.3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87" t="s">
        <v>192</v>
      </c>
      <c r="K15" s="5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.5" thickBot="1" x14ac:dyDescent="0.3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5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75" x14ac:dyDescent="0.3">
      <c r="C17" s="86"/>
      <c r="D17" s="69" t="s">
        <v>60</v>
      </c>
      <c r="E17" s="70"/>
      <c r="F17" s="214" t="s">
        <v>197</v>
      </c>
      <c r="G17" s="5"/>
      <c r="H17" s="76"/>
      <c r="I17" s="244"/>
      <c r="J17" s="214" t="s">
        <v>182</v>
      </c>
      <c r="K17" s="5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75" x14ac:dyDescent="0.3">
      <c r="C18" s="86"/>
      <c r="D18" s="71" t="s">
        <v>61</v>
      </c>
      <c r="E18" s="70"/>
      <c r="F18" s="214" t="s">
        <v>197</v>
      </c>
      <c r="G18" s="5"/>
      <c r="H18" s="77"/>
      <c r="I18" s="244"/>
      <c r="J18" s="214" t="s">
        <v>182</v>
      </c>
      <c r="K18" s="5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75" x14ac:dyDescent="0.3"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75" x14ac:dyDescent="0.3"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75" x14ac:dyDescent="0.3">
      <c r="C21" s="86"/>
      <c r="D21" s="71" t="s">
        <v>64</v>
      </c>
      <c r="E21" s="143">
        <v>0.83</v>
      </c>
      <c r="F21" s="214" t="s">
        <v>182</v>
      </c>
      <c r="G21" s="5"/>
      <c r="H21" s="110"/>
      <c r="I21" s="244"/>
      <c r="J21" s="214" t="s">
        <v>182</v>
      </c>
      <c r="K21" s="5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75" x14ac:dyDescent="0.3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75" x14ac:dyDescent="0.3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75" x14ac:dyDescent="0.3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5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75" x14ac:dyDescent="0.3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5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.5" thickBot="1" x14ac:dyDescent="0.3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.5" thickBot="1" x14ac:dyDescent="0.3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75" x14ac:dyDescent="0.2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75" x14ac:dyDescent="0.2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75" x14ac:dyDescent="0.2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2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2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2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2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2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2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2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2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2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2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2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2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2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2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2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2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75" x14ac:dyDescent="0.2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2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2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2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2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2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2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2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2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2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2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2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2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2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2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2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2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2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2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2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2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2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2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.75" thickBot="1" x14ac:dyDescent="0.3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25">
      <c r="R130" s="3" t="s">
        <v>23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AC10:AC27 AH10:AH27 T10:T27 AE10:AE27 N14:Q27 N12:Q12 N13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U35"/>
  <sheetViews>
    <sheetView workbookViewId="0">
      <selection activeCell="Q28" sqref="Q28"/>
    </sheetView>
  </sheetViews>
  <sheetFormatPr baseColWidth="10" defaultRowHeight="15" x14ac:dyDescent="0.25"/>
  <sheetData>
    <row r="1" spans="1:21" ht="15.75" x14ac:dyDescent="0.25">
      <c r="A1" t="s">
        <v>28</v>
      </c>
      <c r="B1" t="s">
        <v>193</v>
      </c>
      <c r="F1" s="1" t="s">
        <v>16</v>
      </c>
      <c r="I1" t="s">
        <v>131</v>
      </c>
      <c r="L1" t="s">
        <v>142</v>
      </c>
    </row>
    <row r="2" spans="1:21" ht="15.75" x14ac:dyDescent="0.25">
      <c r="A2" t="s">
        <v>26</v>
      </c>
      <c r="B2" t="s">
        <v>193</v>
      </c>
      <c r="C2" t="s">
        <v>26</v>
      </c>
      <c r="F2" s="184" t="s">
        <v>120</v>
      </c>
      <c r="I2" t="s">
        <v>132</v>
      </c>
      <c r="L2" t="s">
        <v>126</v>
      </c>
    </row>
    <row r="3" spans="1:21" ht="15.75" x14ac:dyDescent="0.25">
      <c r="A3" t="s">
        <v>12</v>
      </c>
      <c r="B3" t="s">
        <v>192</v>
      </c>
      <c r="C3" t="s">
        <v>12</v>
      </c>
      <c r="F3" s="232" t="s">
        <v>222</v>
      </c>
      <c r="I3" t="s">
        <v>151</v>
      </c>
      <c r="L3" t="s">
        <v>143</v>
      </c>
    </row>
    <row r="4" spans="1:21" ht="15.75" x14ac:dyDescent="0.25">
      <c r="A4" t="s">
        <v>13</v>
      </c>
      <c r="B4" t="s">
        <v>192</v>
      </c>
      <c r="C4" t="s">
        <v>13</v>
      </c>
      <c r="F4" s="232" t="s">
        <v>223</v>
      </c>
      <c r="I4" t="s">
        <v>150</v>
      </c>
      <c r="L4" t="s">
        <v>130</v>
      </c>
    </row>
    <row r="5" spans="1:21" ht="15.75" x14ac:dyDescent="0.25">
      <c r="A5" t="s">
        <v>21</v>
      </c>
      <c r="C5" t="s">
        <v>21</v>
      </c>
      <c r="F5" s="232" t="s">
        <v>224</v>
      </c>
      <c r="I5" t="s">
        <v>133</v>
      </c>
      <c r="L5" t="s">
        <v>128</v>
      </c>
    </row>
    <row r="6" spans="1:21" x14ac:dyDescent="0.25">
      <c r="A6" t="s">
        <v>25</v>
      </c>
      <c r="C6" t="s">
        <v>25</v>
      </c>
      <c r="I6" t="s">
        <v>239</v>
      </c>
      <c r="L6" t="s">
        <v>129</v>
      </c>
    </row>
    <row r="7" spans="1:21" x14ac:dyDescent="0.25">
      <c r="A7" t="s">
        <v>111</v>
      </c>
      <c r="L7" t="s">
        <v>127</v>
      </c>
    </row>
    <row r="8" spans="1:21" x14ac:dyDescent="0.25">
      <c r="A8" t="s">
        <v>112</v>
      </c>
      <c r="I8" t="s">
        <v>153</v>
      </c>
      <c r="L8" t="s">
        <v>166</v>
      </c>
    </row>
    <row r="9" spans="1:21" x14ac:dyDescent="0.25">
      <c r="A9" t="s">
        <v>123</v>
      </c>
      <c r="I9" t="s">
        <v>171</v>
      </c>
      <c r="L9" t="s">
        <v>167</v>
      </c>
    </row>
    <row r="10" spans="1:21" x14ac:dyDescent="0.25">
      <c r="A10" t="s">
        <v>124</v>
      </c>
      <c r="I10" t="s">
        <v>90</v>
      </c>
      <c r="L10" t="s">
        <v>168</v>
      </c>
    </row>
    <row r="11" spans="1:21" x14ac:dyDescent="0.25">
      <c r="I11" t="s">
        <v>152</v>
      </c>
    </row>
    <row r="12" spans="1:21" x14ac:dyDescent="0.25">
      <c r="I12" t="s">
        <v>141</v>
      </c>
    </row>
    <row r="14" spans="1:21" x14ac:dyDescent="0.25">
      <c r="A14" t="s">
        <v>227</v>
      </c>
    </row>
    <row r="15" spans="1:21" x14ac:dyDescent="0.25">
      <c r="A15" t="s">
        <v>225</v>
      </c>
    </row>
    <row r="16" spans="1:21" x14ac:dyDescent="0.25">
      <c r="I16" t="s">
        <v>154</v>
      </c>
      <c r="J16" t="s">
        <v>156</v>
      </c>
      <c r="K16" t="s">
        <v>157</v>
      </c>
      <c r="M16" t="s">
        <v>260</v>
      </c>
      <c r="O16" t="s">
        <v>267</v>
      </c>
      <c r="R16" t="s">
        <v>271</v>
      </c>
      <c r="U16" t="s">
        <v>270</v>
      </c>
    </row>
    <row r="17" spans="9:21" x14ac:dyDescent="0.25">
      <c r="I17" t="s">
        <v>96</v>
      </c>
      <c r="J17" t="s">
        <v>11</v>
      </c>
      <c r="K17" t="s">
        <v>158</v>
      </c>
      <c r="M17" t="s">
        <v>258</v>
      </c>
      <c r="O17" t="s">
        <v>268</v>
      </c>
      <c r="R17" t="s">
        <v>254</v>
      </c>
      <c r="U17" t="s">
        <v>293</v>
      </c>
    </row>
    <row r="18" spans="9:21" x14ac:dyDescent="0.25">
      <c r="I18" t="s">
        <v>155</v>
      </c>
      <c r="J18" t="s">
        <v>8</v>
      </c>
      <c r="K18" t="s">
        <v>89</v>
      </c>
      <c r="M18" t="s">
        <v>259</v>
      </c>
      <c r="O18" t="s">
        <v>269</v>
      </c>
      <c r="R18" t="s">
        <v>261</v>
      </c>
      <c r="U18" t="s">
        <v>295</v>
      </c>
    </row>
    <row r="19" spans="9:21" x14ac:dyDescent="0.25">
      <c r="R19" t="s">
        <v>262</v>
      </c>
      <c r="U19" t="s">
        <v>294</v>
      </c>
    </row>
    <row r="20" spans="9:21" x14ac:dyDescent="0.25">
      <c r="R20" t="s">
        <v>263</v>
      </c>
    </row>
    <row r="35" spans="2:2" x14ac:dyDescent="0.25">
      <c r="B35" t="s">
        <v>228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J12" sqref="J12"/>
    </sheetView>
  </sheetViews>
  <sheetFormatPr baseColWidth="10" defaultRowHeight="15" x14ac:dyDescent="0.25"/>
  <cols>
    <col min="3" max="3" width="16.42578125" bestFit="1" customWidth="1"/>
    <col min="4" max="4" width="13.28515625" bestFit="1" customWidth="1"/>
    <col min="5" max="5" width="14.5703125" bestFit="1" customWidth="1"/>
    <col min="6" max="6" width="13.7109375" bestFit="1" customWidth="1"/>
    <col min="7" max="7" width="14.140625" bestFit="1" customWidth="1"/>
  </cols>
  <sheetData>
    <row r="1" spans="2:18" x14ac:dyDescent="0.25">
      <c r="L1" s="11"/>
    </row>
    <row r="2" spans="2:18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2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.75" thickBot="1" x14ac:dyDescent="0.3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4">
      <c r="B5" s="11"/>
      <c r="C5" s="348" t="s">
        <v>101</v>
      </c>
      <c r="D5" s="349"/>
      <c r="E5" s="349"/>
      <c r="F5" s="349"/>
      <c r="G5" s="349"/>
      <c r="H5" s="349"/>
      <c r="I5" s="349"/>
      <c r="J5" s="349"/>
      <c r="K5" s="349"/>
      <c r="L5" s="349"/>
      <c r="M5" s="349"/>
      <c r="N5" s="349"/>
      <c r="O5" s="349"/>
      <c r="P5" s="349"/>
      <c r="Q5" s="350"/>
      <c r="R5" t="s">
        <v>23</v>
      </c>
    </row>
    <row r="6" spans="2:18" ht="18.75" x14ac:dyDescent="0.3">
      <c r="B6" s="11"/>
      <c r="C6" s="173" t="s">
        <v>1</v>
      </c>
      <c r="D6" s="169" t="s">
        <v>201</v>
      </c>
      <c r="E6" s="169" t="s">
        <v>196</v>
      </c>
      <c r="F6" s="169" t="s">
        <v>173</v>
      </c>
      <c r="G6" s="169" t="s">
        <v>232</v>
      </c>
      <c r="H6" s="95"/>
      <c r="I6" s="95"/>
      <c r="J6" s="95"/>
      <c r="K6" s="95"/>
      <c r="L6" s="95"/>
      <c r="M6" s="95"/>
      <c r="N6" s="95"/>
      <c r="O6" s="95"/>
      <c r="P6" s="95"/>
      <c r="Q6" s="164"/>
    </row>
    <row r="7" spans="2:18" ht="18.75" x14ac:dyDescent="0.3">
      <c r="B7" s="11"/>
      <c r="C7" s="170" t="s">
        <v>102</v>
      </c>
      <c r="D7" s="120">
        <v>1000</v>
      </c>
      <c r="E7" s="120">
        <v>2000</v>
      </c>
      <c r="F7" s="120">
        <v>3000</v>
      </c>
      <c r="G7" s="120">
        <v>1100</v>
      </c>
      <c r="H7" s="11"/>
      <c r="I7" s="11"/>
      <c r="J7" s="11"/>
      <c r="K7" s="11"/>
      <c r="L7" s="11"/>
      <c r="M7" s="11"/>
      <c r="N7" s="11"/>
      <c r="O7" s="11"/>
      <c r="P7" s="11"/>
      <c r="Q7" s="92"/>
    </row>
    <row r="8" spans="2:18" ht="18.75" x14ac:dyDescent="0.3">
      <c r="B8" s="11"/>
      <c r="C8" s="171" t="s">
        <v>42</v>
      </c>
      <c r="D8" s="120" t="s">
        <v>10</v>
      </c>
      <c r="E8" s="120" t="s">
        <v>10</v>
      </c>
      <c r="F8" s="120" t="s">
        <v>10</v>
      </c>
      <c r="G8" s="120" t="s">
        <v>10</v>
      </c>
      <c r="H8" s="11"/>
      <c r="I8" s="11"/>
      <c r="J8" s="11"/>
      <c r="K8" s="11"/>
      <c r="L8" s="11"/>
      <c r="M8" s="11"/>
      <c r="N8" s="11"/>
      <c r="O8" s="11"/>
      <c r="P8" s="11"/>
      <c r="Q8" s="92"/>
    </row>
    <row r="9" spans="2:18" ht="18.75" x14ac:dyDescent="0.3">
      <c r="B9" s="11"/>
      <c r="C9" s="172" t="s">
        <v>103</v>
      </c>
      <c r="D9" s="120"/>
      <c r="E9" s="120"/>
      <c r="F9" s="120"/>
      <c r="G9" s="208"/>
      <c r="H9" s="11"/>
      <c r="I9" s="11"/>
      <c r="J9" s="11"/>
      <c r="K9" s="11"/>
      <c r="L9" s="11"/>
      <c r="M9" s="11"/>
      <c r="N9" s="11"/>
      <c r="O9" s="11"/>
      <c r="P9" s="11"/>
      <c r="Q9" s="92"/>
    </row>
    <row r="10" spans="2:18" ht="18.75" x14ac:dyDescent="0.3">
      <c r="B10" s="11"/>
      <c r="C10" s="170" t="s">
        <v>210</v>
      </c>
      <c r="D10" s="120">
        <v>0</v>
      </c>
      <c r="E10" s="120">
        <v>200</v>
      </c>
      <c r="F10" s="120">
        <v>500</v>
      </c>
      <c r="G10" s="120">
        <v>25</v>
      </c>
      <c r="H10" s="11"/>
      <c r="I10" s="11"/>
      <c r="J10" s="11"/>
      <c r="K10" s="11"/>
      <c r="L10" s="11"/>
      <c r="M10" s="11"/>
      <c r="N10" s="11"/>
      <c r="O10" s="11"/>
      <c r="P10" s="11"/>
      <c r="Q10" s="92"/>
    </row>
    <row r="11" spans="2:18" ht="18.75" x14ac:dyDescent="0.3">
      <c r="B11" s="11"/>
      <c r="C11" s="170" t="s">
        <v>9</v>
      </c>
      <c r="D11" s="120" t="s">
        <v>8</v>
      </c>
      <c r="E11" s="120" t="s">
        <v>8</v>
      </c>
      <c r="F11" s="120" t="s">
        <v>8</v>
      </c>
      <c r="G11" s="120" t="s">
        <v>11</v>
      </c>
      <c r="H11" s="11"/>
      <c r="I11" s="11"/>
      <c r="J11" s="11"/>
      <c r="K11" s="11"/>
      <c r="L11" s="11"/>
      <c r="M11" s="11"/>
      <c r="N11" s="11"/>
      <c r="O11" s="11"/>
      <c r="P11" s="11"/>
      <c r="Q11" s="92"/>
    </row>
    <row r="12" spans="2:18" ht="18.75" x14ac:dyDescent="0.3">
      <c r="B12" s="11"/>
      <c r="C12" s="174" t="s">
        <v>121</v>
      </c>
      <c r="D12" s="120">
        <v>0.5</v>
      </c>
      <c r="E12" s="120">
        <v>0.58499999999999996</v>
      </c>
      <c r="F12" s="120">
        <v>0</v>
      </c>
      <c r="G12" s="120">
        <v>0</v>
      </c>
      <c r="H12" s="11"/>
      <c r="I12" s="11"/>
      <c r="J12" s="11"/>
      <c r="K12" s="11"/>
      <c r="L12" s="11"/>
      <c r="M12" s="11"/>
      <c r="N12" s="11"/>
      <c r="O12" s="11"/>
      <c r="P12" s="11"/>
      <c r="Q12" s="92"/>
    </row>
    <row r="13" spans="2:18" ht="18.75" x14ac:dyDescent="0.3">
      <c r="B13" s="11"/>
      <c r="C13" s="132" t="s">
        <v>122</v>
      </c>
      <c r="D13" s="11"/>
      <c r="E13" s="11"/>
      <c r="F13" s="11"/>
      <c r="G13" s="120"/>
      <c r="H13" s="11"/>
      <c r="I13" s="11"/>
      <c r="J13" s="11"/>
      <c r="K13" s="11"/>
      <c r="L13" s="11"/>
      <c r="M13" s="11"/>
      <c r="N13" s="11"/>
      <c r="O13" s="11"/>
      <c r="P13" s="11"/>
      <c r="Q13" s="92"/>
    </row>
    <row r="14" spans="2:18" ht="18.75" x14ac:dyDescent="0.3">
      <c r="B14" s="11"/>
      <c r="C14" s="132" t="s">
        <v>116</v>
      </c>
      <c r="D14" s="120"/>
      <c r="E14" s="120"/>
      <c r="F14" s="120">
        <v>1</v>
      </c>
      <c r="G14" s="120">
        <v>1</v>
      </c>
      <c r="H14" s="11"/>
      <c r="I14" s="11"/>
      <c r="J14" s="11"/>
      <c r="K14" s="11"/>
      <c r="L14" s="11"/>
      <c r="M14" s="11"/>
      <c r="N14" s="11"/>
      <c r="O14" s="11"/>
      <c r="P14" s="11"/>
      <c r="Q14" s="92"/>
    </row>
    <row r="15" spans="2:18" ht="19.5" thickBot="1" x14ac:dyDescent="0.35">
      <c r="B15" s="11"/>
      <c r="C15" s="175" t="s">
        <v>117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146"/>
    </row>
    <row r="16" spans="2:18" x14ac:dyDescent="0.25">
      <c r="I16" s="11"/>
      <c r="J16" s="11"/>
      <c r="K16" s="11"/>
      <c r="L16" s="11"/>
    </row>
    <row r="26" spans="11:11" x14ac:dyDescent="0.25">
      <c r="K26" t="s">
        <v>23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zoomScale="83" zoomScaleNormal="83" workbookViewId="0">
      <selection activeCell="H30" sqref="H30"/>
    </sheetView>
  </sheetViews>
  <sheetFormatPr baseColWidth="10" defaultRowHeight="15" x14ac:dyDescent="0.25"/>
  <cols>
    <col min="4" max="4" width="21.28515625" bestFit="1" customWidth="1"/>
    <col min="5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221" t="s">
        <v>211</v>
      </c>
      <c r="D5" s="351" t="s">
        <v>104</v>
      </c>
      <c r="E5" s="352"/>
      <c r="F5" s="352"/>
      <c r="G5" s="352"/>
      <c r="H5" s="352"/>
      <c r="I5" s="352"/>
      <c r="J5" s="352"/>
      <c r="K5" s="352"/>
      <c r="L5" s="352"/>
      <c r="M5" s="352"/>
      <c r="N5" s="352"/>
      <c r="O5" s="353"/>
      <c r="P5" s="11"/>
      <c r="Q5" s="11"/>
    </row>
    <row r="6" spans="3:17" ht="18.75" x14ac:dyDescent="0.3">
      <c r="C6" s="222" t="s">
        <v>182</v>
      </c>
      <c r="D6" s="147" t="s">
        <v>1</v>
      </c>
      <c r="E6" s="210" t="s">
        <v>174</v>
      </c>
      <c r="F6" s="211" t="s">
        <v>178</v>
      </c>
      <c r="G6" s="211" t="s">
        <v>110</v>
      </c>
      <c r="H6" s="211" t="s">
        <v>233</v>
      </c>
      <c r="I6" s="148"/>
      <c r="J6" s="148"/>
      <c r="K6" s="148"/>
      <c r="L6" s="148"/>
      <c r="M6" s="148"/>
      <c r="N6" s="148"/>
      <c r="O6" s="149"/>
      <c r="P6" s="11"/>
      <c r="Q6" s="11"/>
    </row>
    <row r="7" spans="3:17" ht="18.75" x14ac:dyDescent="0.3">
      <c r="C7" s="223" t="s">
        <v>182</v>
      </c>
      <c r="D7" s="147" t="s">
        <v>102</v>
      </c>
      <c r="E7" s="161">
        <v>11</v>
      </c>
      <c r="F7" s="150">
        <v>22</v>
      </c>
      <c r="G7" s="150">
        <v>33</v>
      </c>
      <c r="H7" s="150">
        <v>44</v>
      </c>
      <c r="I7" s="150"/>
      <c r="J7" s="150"/>
      <c r="K7" s="150"/>
      <c r="L7" s="150"/>
      <c r="M7" s="150"/>
      <c r="N7" s="150"/>
      <c r="O7" s="151"/>
      <c r="P7" s="11"/>
      <c r="Q7" s="11"/>
    </row>
    <row r="8" spans="3:17" ht="18.75" x14ac:dyDescent="0.3">
      <c r="C8" s="224" t="s">
        <v>212</v>
      </c>
      <c r="D8" s="147" t="s">
        <v>105</v>
      </c>
      <c r="E8" s="161">
        <v>200</v>
      </c>
      <c r="F8" s="150">
        <v>0</v>
      </c>
      <c r="G8" s="150">
        <v>0</v>
      </c>
      <c r="H8" s="150">
        <v>200</v>
      </c>
      <c r="I8" s="150"/>
      <c r="J8" s="150"/>
      <c r="K8" s="150"/>
      <c r="L8" s="150"/>
      <c r="M8" s="150"/>
      <c r="N8" s="150"/>
      <c r="O8" s="151"/>
      <c r="P8" s="11"/>
      <c r="Q8" s="11"/>
    </row>
    <row r="9" spans="3:17" ht="18.75" x14ac:dyDescent="0.3">
      <c r="C9" s="224" t="s">
        <v>192</v>
      </c>
      <c r="D9" s="147" t="s">
        <v>214</v>
      </c>
      <c r="E9" s="161">
        <v>1000</v>
      </c>
      <c r="F9" s="150"/>
      <c r="G9" s="150"/>
      <c r="H9" s="150"/>
      <c r="I9" s="150"/>
      <c r="J9" s="150"/>
      <c r="K9" s="150"/>
      <c r="L9" s="150"/>
      <c r="M9" s="150"/>
      <c r="N9" s="150"/>
      <c r="O9" s="151"/>
      <c r="P9" s="11"/>
      <c r="Q9" s="11"/>
    </row>
    <row r="10" spans="3:17" ht="18.75" x14ac:dyDescent="0.3">
      <c r="C10" s="224" t="s">
        <v>192</v>
      </c>
      <c r="D10" s="147" t="s">
        <v>215</v>
      </c>
      <c r="E10" s="161">
        <v>1000</v>
      </c>
      <c r="F10" s="150"/>
      <c r="G10" s="150"/>
      <c r="H10" s="150"/>
      <c r="I10" s="150"/>
      <c r="J10" s="150"/>
      <c r="K10" s="150"/>
      <c r="L10" s="150"/>
      <c r="M10" s="150"/>
      <c r="N10" s="150"/>
      <c r="O10" s="151"/>
      <c r="P10" s="11"/>
      <c r="Q10" s="11"/>
    </row>
    <row r="11" spans="3:17" ht="18.75" x14ac:dyDescent="0.3">
      <c r="C11" s="223" t="s">
        <v>182</v>
      </c>
      <c r="D11" s="147" t="s">
        <v>106</v>
      </c>
      <c r="E11" s="161"/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P11" s="11"/>
      <c r="Q11" s="11"/>
    </row>
    <row r="12" spans="3:17" ht="18.75" x14ac:dyDescent="0.3">
      <c r="C12" s="223" t="s">
        <v>182</v>
      </c>
      <c r="D12" s="147" t="s">
        <v>213</v>
      </c>
      <c r="E12" s="182">
        <v>0</v>
      </c>
      <c r="F12" s="208">
        <v>1</v>
      </c>
      <c r="G12" s="208">
        <v>0</v>
      </c>
      <c r="H12" s="11"/>
      <c r="I12" s="11"/>
      <c r="J12" s="11"/>
      <c r="K12" s="11"/>
      <c r="L12" s="11"/>
      <c r="M12" s="11"/>
      <c r="N12" s="11"/>
      <c r="O12" s="92"/>
      <c r="P12" s="11"/>
      <c r="Q12" s="11"/>
    </row>
    <row r="13" spans="3:17" ht="19.5" thickBot="1" x14ac:dyDescent="0.35">
      <c r="C13" s="225" t="s">
        <v>182</v>
      </c>
      <c r="D13" s="147" t="s">
        <v>107</v>
      </c>
      <c r="E13" s="162">
        <f>SUM(E14:E37)</f>
        <v>1</v>
      </c>
      <c r="F13" s="158">
        <f t="shared" ref="F13:O13" si="0">SUM(F14:F37)</f>
        <v>1</v>
      </c>
      <c r="G13" s="158">
        <f t="shared" si="0"/>
        <v>1</v>
      </c>
      <c r="H13" s="158">
        <f t="shared" si="0"/>
        <v>1</v>
      </c>
      <c r="I13" s="158">
        <f t="shared" si="0"/>
        <v>0</v>
      </c>
      <c r="J13" s="158">
        <f t="shared" si="0"/>
        <v>0</v>
      </c>
      <c r="K13" s="158">
        <f t="shared" si="0"/>
        <v>0</v>
      </c>
      <c r="L13" s="158">
        <f t="shared" si="0"/>
        <v>0</v>
      </c>
      <c r="M13" s="158">
        <f t="shared" si="0"/>
        <v>0</v>
      </c>
      <c r="N13" s="158">
        <f t="shared" si="0"/>
        <v>0</v>
      </c>
      <c r="O13" s="159">
        <f t="shared" si="0"/>
        <v>0</v>
      </c>
      <c r="P13" s="11"/>
      <c r="Q13" s="11"/>
    </row>
    <row r="14" spans="3:17" ht="18.75" x14ac:dyDescent="0.3">
      <c r="C14" s="226"/>
      <c r="D14" s="152" t="s">
        <v>175</v>
      </c>
      <c r="E14" s="211">
        <v>0.25</v>
      </c>
      <c r="F14" s="148">
        <v>0</v>
      </c>
      <c r="G14" s="148"/>
      <c r="H14" s="148"/>
      <c r="I14" s="148"/>
      <c r="J14" s="148"/>
      <c r="K14" s="148"/>
      <c r="L14" s="148"/>
      <c r="M14" s="148"/>
      <c r="N14" s="148"/>
      <c r="O14" s="149"/>
      <c r="P14" s="11"/>
      <c r="Q14" s="11"/>
    </row>
    <row r="15" spans="3:17" ht="18.75" x14ac:dyDescent="0.3">
      <c r="C15" s="176"/>
      <c r="D15" s="153" t="s">
        <v>176</v>
      </c>
      <c r="E15" s="212">
        <v>0.13</v>
      </c>
      <c r="F15" s="150">
        <v>0</v>
      </c>
      <c r="G15" s="150"/>
      <c r="H15" s="154"/>
      <c r="I15" s="150"/>
      <c r="J15" s="150"/>
      <c r="K15" s="150"/>
      <c r="L15" s="150"/>
      <c r="M15" s="150"/>
      <c r="N15" s="150"/>
      <c r="O15" s="151"/>
      <c r="P15" s="11"/>
      <c r="Q15" s="11"/>
    </row>
    <row r="16" spans="3:17" ht="18.75" x14ac:dyDescent="0.3">
      <c r="C16" s="176"/>
      <c r="D16" s="153" t="s">
        <v>177</v>
      </c>
      <c r="E16" s="212">
        <v>0.55000000000000004</v>
      </c>
      <c r="F16" s="150">
        <v>0</v>
      </c>
      <c r="G16" s="150"/>
      <c r="H16" s="150"/>
      <c r="I16" s="150"/>
      <c r="J16" s="150"/>
      <c r="K16" s="155"/>
      <c r="L16" s="150"/>
      <c r="M16" s="150"/>
      <c r="N16" s="150"/>
      <c r="O16" s="151"/>
      <c r="P16" s="11"/>
      <c r="Q16" s="11"/>
    </row>
    <row r="17" spans="3:22" ht="18.75" x14ac:dyDescent="0.3">
      <c r="C17" s="176"/>
      <c r="D17" s="153" t="s">
        <v>173</v>
      </c>
      <c r="E17" s="212">
        <v>7.0000000000000007E-2</v>
      </c>
      <c r="F17" s="150">
        <v>0</v>
      </c>
      <c r="G17" s="150"/>
      <c r="H17" s="154"/>
      <c r="I17" s="150"/>
      <c r="J17" s="150"/>
      <c r="K17" s="155"/>
      <c r="L17" s="150"/>
      <c r="M17" s="150"/>
      <c r="N17" s="150"/>
      <c r="O17" s="151"/>
      <c r="P17" s="11"/>
      <c r="Q17" s="11"/>
    </row>
    <row r="18" spans="3:22" ht="18.75" x14ac:dyDescent="0.3">
      <c r="C18" s="176"/>
      <c r="D18" s="153" t="s">
        <v>14</v>
      </c>
      <c r="E18" s="212"/>
      <c r="F18" s="150">
        <v>1</v>
      </c>
      <c r="G18" s="150"/>
      <c r="H18" s="150"/>
      <c r="I18" s="150"/>
      <c r="J18" s="150"/>
      <c r="K18" s="155"/>
      <c r="L18" s="150"/>
      <c r="M18" s="150"/>
      <c r="N18" s="150"/>
      <c r="O18" s="151"/>
      <c r="P18" s="11"/>
      <c r="Q18" s="11"/>
    </row>
    <row r="19" spans="3:22" ht="18.75" x14ac:dyDescent="0.3">
      <c r="C19" s="176"/>
      <c r="D19" s="153" t="s">
        <v>4</v>
      </c>
      <c r="E19" s="212"/>
      <c r="F19" s="150">
        <v>0</v>
      </c>
      <c r="G19" s="150">
        <v>0.22</v>
      </c>
      <c r="H19" s="150"/>
      <c r="I19" s="150"/>
      <c r="J19" s="150"/>
      <c r="K19" s="155"/>
      <c r="L19" s="150"/>
      <c r="M19" s="150"/>
      <c r="N19" s="150"/>
      <c r="O19" s="151"/>
      <c r="P19" s="11"/>
      <c r="Q19" s="11"/>
    </row>
    <row r="20" spans="3:22" ht="18.75" x14ac:dyDescent="0.3">
      <c r="C20" s="176"/>
      <c r="D20" s="153" t="s">
        <v>17</v>
      </c>
      <c r="E20" s="212"/>
      <c r="F20" s="212">
        <v>0</v>
      </c>
      <c r="G20" s="150">
        <v>0.78</v>
      </c>
      <c r="H20" s="156"/>
      <c r="I20" s="150"/>
      <c r="J20" s="150"/>
      <c r="K20" s="155"/>
      <c r="L20" s="150"/>
      <c r="M20" s="150"/>
      <c r="N20" s="150"/>
      <c r="O20" s="151"/>
      <c r="P20" s="11"/>
      <c r="Q20" s="11"/>
    </row>
    <row r="21" spans="3:22" ht="18.75" x14ac:dyDescent="0.3">
      <c r="C21" s="176"/>
      <c r="D21" s="153" t="s">
        <v>234</v>
      </c>
      <c r="E21" s="150"/>
      <c r="F21" s="150"/>
      <c r="G21" s="150"/>
      <c r="H21" s="156">
        <v>1</v>
      </c>
      <c r="I21" s="150"/>
      <c r="J21" s="150"/>
      <c r="K21" s="150"/>
      <c r="L21" s="150"/>
      <c r="M21" s="150"/>
      <c r="N21" s="150"/>
      <c r="O21" s="151"/>
      <c r="P21" s="11"/>
      <c r="Q21" s="11"/>
    </row>
    <row r="22" spans="3:22" ht="18.75" x14ac:dyDescent="0.3">
      <c r="C22" s="176"/>
      <c r="D22" s="153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1"/>
      <c r="P22" s="11"/>
      <c r="Q22" s="11"/>
    </row>
    <row r="23" spans="3:22" ht="18.75" x14ac:dyDescent="0.3">
      <c r="C23" s="176"/>
      <c r="D23" s="153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1"/>
      <c r="P23" s="11"/>
      <c r="Q23" s="11"/>
    </row>
    <row r="24" spans="3:22" ht="18.75" x14ac:dyDescent="0.3">
      <c r="C24" s="176"/>
      <c r="D24" s="153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1"/>
      <c r="P24" s="11"/>
      <c r="V24" s="11" t="s">
        <v>23</v>
      </c>
    </row>
    <row r="25" spans="3:22" ht="18.75" x14ac:dyDescent="0.3">
      <c r="C25" s="176"/>
      <c r="D25" s="153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1"/>
      <c r="P25" s="11"/>
      <c r="Q25" s="11"/>
    </row>
    <row r="26" spans="3:22" x14ac:dyDescent="0.25">
      <c r="C26" s="176"/>
      <c r="D26" s="176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2"/>
      <c r="P26" s="11"/>
      <c r="Q26" s="11"/>
    </row>
    <row r="27" spans="3:22" x14ac:dyDescent="0.25">
      <c r="C27" s="176"/>
      <c r="D27" s="176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2"/>
      <c r="P27" s="11"/>
      <c r="Q27" s="11"/>
    </row>
    <row r="28" spans="3:22" x14ac:dyDescent="0.25">
      <c r="C28" s="227"/>
      <c r="D28" s="176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2"/>
    </row>
    <row r="29" spans="3:22" x14ac:dyDescent="0.25">
      <c r="C29" s="227"/>
      <c r="D29" s="176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2"/>
    </row>
    <row r="30" spans="3:22" x14ac:dyDescent="0.25">
      <c r="C30" s="227"/>
      <c r="D30" s="176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2"/>
    </row>
    <row r="31" spans="3:22" x14ac:dyDescent="0.25">
      <c r="C31" s="227"/>
      <c r="D31" s="176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2"/>
    </row>
    <row r="32" spans="3:22" x14ac:dyDescent="0.25">
      <c r="C32" s="227"/>
      <c r="D32" s="176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2"/>
    </row>
    <row r="33" spans="3:15" x14ac:dyDescent="0.25">
      <c r="C33" s="227"/>
      <c r="D33" s="176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2"/>
    </row>
    <row r="34" spans="3:15" x14ac:dyDescent="0.25">
      <c r="C34" s="227"/>
      <c r="D34" s="176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2"/>
    </row>
    <row r="35" spans="3:15" x14ac:dyDescent="0.25">
      <c r="C35" s="227"/>
      <c r="D35" s="176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2"/>
    </row>
    <row r="36" spans="3:15" x14ac:dyDescent="0.25">
      <c r="C36" s="227"/>
      <c r="D36" s="176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2"/>
    </row>
    <row r="37" spans="3:15" ht="15.75" thickBot="1" x14ac:dyDescent="0.3">
      <c r="C37" s="228"/>
      <c r="D37" s="177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146"/>
    </row>
    <row r="45" spans="3:15" x14ac:dyDescent="0.25">
      <c r="N45" s="11" t="s">
        <v>23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>
    <tabColor rgb="FFFF0000"/>
  </sheetPr>
  <dimension ref="C3:T36"/>
  <sheetViews>
    <sheetView workbookViewId="0">
      <selection activeCell="D25" sqref="D25"/>
    </sheetView>
  </sheetViews>
  <sheetFormatPr baseColWidth="10" defaultRowHeight="15" x14ac:dyDescent="0.25"/>
  <cols>
    <col min="4" max="4" width="21.5703125" bestFit="1" customWidth="1"/>
    <col min="5" max="5" width="11.85546875" bestFit="1" customWidth="1"/>
    <col min="6" max="7" width="23" bestFit="1" customWidth="1"/>
    <col min="8" max="8" width="11.85546875" bestFit="1" customWidth="1"/>
    <col min="9" max="9" width="8.42578125" customWidth="1"/>
    <col min="10" max="10" width="11.85546875" bestFit="1" customWidth="1"/>
    <col min="11" max="11" width="23" bestFit="1" customWidth="1"/>
    <col min="12" max="12" width="11" bestFit="1" customWidth="1"/>
    <col min="14" max="14" width="11.85546875" bestFit="1" customWidth="1"/>
    <col min="15" max="15" width="22.140625" bestFit="1" customWidth="1"/>
    <col min="16" max="16" width="11" bestFit="1" customWidth="1"/>
  </cols>
  <sheetData>
    <row r="3" spans="3:20" x14ac:dyDescent="0.25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25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.75" thickBot="1" x14ac:dyDescent="0.3">
      <c r="C5" s="11"/>
      <c r="D5" s="11"/>
      <c r="E5" s="11"/>
      <c r="F5" s="208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.75" thickBot="1" x14ac:dyDescent="0.3">
      <c r="C6" s="270" t="s">
        <v>248</v>
      </c>
      <c r="D6" s="273" t="s">
        <v>252</v>
      </c>
      <c r="E6" s="208"/>
      <c r="F6" s="278" t="s">
        <v>249</v>
      </c>
      <c r="G6" s="278" t="s">
        <v>253</v>
      </c>
      <c r="H6" s="278" t="s">
        <v>251</v>
      </c>
      <c r="I6" s="208"/>
      <c r="J6" s="268" t="s">
        <v>249</v>
      </c>
      <c r="K6" s="268" t="s">
        <v>253</v>
      </c>
      <c r="L6" s="268" t="s">
        <v>251</v>
      </c>
      <c r="M6" s="264"/>
      <c r="N6" s="268" t="s">
        <v>249</v>
      </c>
      <c r="O6" s="272" t="s">
        <v>250</v>
      </c>
      <c r="P6" s="268" t="s">
        <v>251</v>
      </c>
      <c r="Q6" s="208"/>
      <c r="R6" s="11"/>
      <c r="S6" s="11"/>
      <c r="T6" s="11"/>
    </row>
    <row r="7" spans="3:20" x14ac:dyDescent="0.25">
      <c r="C7" s="282" t="s">
        <v>240</v>
      </c>
      <c r="D7" s="283">
        <f>1/8</f>
        <v>0.125</v>
      </c>
      <c r="E7" s="208"/>
      <c r="F7" s="284">
        <v>11</v>
      </c>
      <c r="G7" s="279">
        <v>0.15</v>
      </c>
      <c r="H7" s="285" t="s">
        <v>177</v>
      </c>
      <c r="I7" s="208"/>
      <c r="J7" s="282">
        <v>11</v>
      </c>
      <c r="K7" s="293"/>
      <c r="L7" s="297" t="s">
        <v>173</v>
      </c>
      <c r="M7" s="208"/>
      <c r="N7" s="208"/>
      <c r="O7" s="208"/>
      <c r="P7" s="208"/>
      <c r="Q7" s="208"/>
      <c r="R7" s="11"/>
      <c r="S7" s="11"/>
      <c r="T7" s="11"/>
    </row>
    <row r="8" spans="3:20" x14ac:dyDescent="0.25">
      <c r="C8" s="182" t="s">
        <v>241</v>
      </c>
      <c r="D8" s="286">
        <f t="shared" ref="D8:D14" si="0">1/8</f>
        <v>0.125</v>
      </c>
      <c r="E8" s="208"/>
      <c r="F8" s="287">
        <v>11</v>
      </c>
      <c r="G8" s="280">
        <v>0.15</v>
      </c>
      <c r="H8" s="288" t="s">
        <v>177</v>
      </c>
      <c r="I8" s="208"/>
      <c r="J8" s="182">
        <v>11</v>
      </c>
      <c r="K8" s="208"/>
      <c r="L8" s="295"/>
      <c r="M8" s="208"/>
      <c r="N8" s="208"/>
      <c r="O8" s="208"/>
      <c r="P8" s="208"/>
      <c r="Q8" s="208"/>
      <c r="R8" s="11"/>
      <c r="S8" s="11"/>
      <c r="T8" s="11"/>
    </row>
    <row r="9" spans="3:20" x14ac:dyDescent="0.25">
      <c r="C9" s="182" t="s">
        <v>242</v>
      </c>
      <c r="D9" s="286">
        <f t="shared" si="0"/>
        <v>0.125</v>
      </c>
      <c r="E9" s="208"/>
      <c r="F9" s="287">
        <v>11</v>
      </c>
      <c r="G9" s="280">
        <v>-0.15</v>
      </c>
      <c r="H9" s="288" t="s">
        <v>177</v>
      </c>
      <c r="I9" s="208"/>
      <c r="J9" s="182">
        <v>11</v>
      </c>
      <c r="K9" s="208"/>
      <c r="L9" s="295"/>
      <c r="M9" s="208"/>
      <c r="N9" s="208"/>
      <c r="O9" s="208"/>
      <c r="P9" s="208"/>
      <c r="Q9" s="208"/>
      <c r="R9" s="11"/>
      <c r="S9" s="11"/>
      <c r="T9" s="11"/>
    </row>
    <row r="10" spans="3:20" x14ac:dyDescent="0.25">
      <c r="C10" s="182" t="s">
        <v>243</v>
      </c>
      <c r="D10" s="286">
        <f t="shared" si="0"/>
        <v>0.125</v>
      </c>
      <c r="E10" s="208"/>
      <c r="F10" s="287">
        <v>11</v>
      </c>
      <c r="G10" s="280">
        <v>-0.15</v>
      </c>
      <c r="H10" s="288" t="s">
        <v>177</v>
      </c>
      <c r="I10" s="208"/>
      <c r="J10" s="182">
        <v>11</v>
      </c>
      <c r="K10" s="208"/>
      <c r="L10" s="295"/>
      <c r="M10" s="208"/>
      <c r="N10" s="208"/>
      <c r="O10" s="208"/>
      <c r="P10" s="208"/>
      <c r="Q10" s="208"/>
      <c r="R10" s="11"/>
      <c r="S10" s="11"/>
      <c r="T10" s="11"/>
    </row>
    <row r="11" spans="3:20" x14ac:dyDescent="0.25">
      <c r="C11" s="182" t="s">
        <v>244</v>
      </c>
      <c r="D11" s="286">
        <f t="shared" si="0"/>
        <v>0.125</v>
      </c>
      <c r="E11" s="208"/>
      <c r="F11" s="287">
        <v>11</v>
      </c>
      <c r="G11" s="280">
        <v>0.15</v>
      </c>
      <c r="H11" s="288" t="s">
        <v>177</v>
      </c>
      <c r="I11" s="208"/>
      <c r="J11" s="182">
        <v>11</v>
      </c>
      <c r="K11" s="208"/>
      <c r="L11" s="295"/>
      <c r="M11" s="208"/>
      <c r="N11" s="208"/>
      <c r="O11" s="208"/>
      <c r="P11" s="208"/>
      <c r="Q11" s="208"/>
      <c r="R11" s="11"/>
      <c r="S11" s="11"/>
      <c r="T11" s="11"/>
    </row>
    <row r="12" spans="3:20" x14ac:dyDescent="0.25">
      <c r="C12" s="182" t="s">
        <v>245</v>
      </c>
      <c r="D12" s="286">
        <f>1/8</f>
        <v>0.125</v>
      </c>
      <c r="E12" s="208"/>
      <c r="F12" s="287">
        <v>11</v>
      </c>
      <c r="G12" s="280">
        <v>0.15</v>
      </c>
      <c r="H12" s="288" t="s">
        <v>177</v>
      </c>
      <c r="I12" s="208"/>
      <c r="J12" s="182">
        <v>11</v>
      </c>
      <c r="K12" s="208"/>
      <c r="L12" s="295"/>
      <c r="M12" s="208"/>
      <c r="N12" s="208"/>
      <c r="O12" s="208"/>
      <c r="P12" s="208"/>
      <c r="Q12" s="208"/>
      <c r="R12" s="11"/>
      <c r="S12" s="11"/>
      <c r="T12" s="11"/>
    </row>
    <row r="13" spans="3:20" x14ac:dyDescent="0.25">
      <c r="C13" s="182" t="s">
        <v>246</v>
      </c>
      <c r="D13" s="286">
        <f t="shared" si="0"/>
        <v>0.125</v>
      </c>
      <c r="E13" s="208"/>
      <c r="F13" s="287">
        <v>11</v>
      </c>
      <c r="G13" s="280">
        <v>-0.15</v>
      </c>
      <c r="H13" s="288" t="s">
        <v>177</v>
      </c>
      <c r="I13" s="208"/>
      <c r="J13" s="182">
        <v>11</v>
      </c>
      <c r="K13" s="208"/>
      <c r="L13" s="295"/>
      <c r="M13" s="208"/>
      <c r="N13" s="208"/>
      <c r="O13" s="208"/>
      <c r="P13" s="208"/>
      <c r="Q13" s="208"/>
      <c r="R13" s="11"/>
      <c r="S13" s="11"/>
      <c r="T13" s="11"/>
    </row>
    <row r="14" spans="3:20" ht="15.75" thickBot="1" x14ac:dyDescent="0.3">
      <c r="C14" s="289" t="s">
        <v>247</v>
      </c>
      <c r="D14" s="290">
        <f t="shared" si="0"/>
        <v>0.125</v>
      </c>
      <c r="E14" s="208"/>
      <c r="F14" s="291">
        <v>11</v>
      </c>
      <c r="G14" s="281">
        <v>-0.15</v>
      </c>
      <c r="H14" s="292" t="s">
        <v>177</v>
      </c>
      <c r="I14" s="208"/>
      <c r="J14" s="289">
        <v>11</v>
      </c>
      <c r="K14" s="163"/>
      <c r="L14" s="296"/>
      <c r="M14" s="208"/>
      <c r="N14" s="208"/>
      <c r="O14" s="208"/>
      <c r="P14" s="208"/>
      <c r="Q14" s="208"/>
      <c r="R14" s="11"/>
      <c r="S14" s="11"/>
      <c r="T14" s="11"/>
    </row>
    <row r="15" spans="3:20" x14ac:dyDescent="0.25"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11"/>
      <c r="S15" s="11"/>
      <c r="T15" s="11"/>
    </row>
    <row r="16" spans="3:20" x14ac:dyDescent="0.25"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11"/>
      <c r="S16" s="11"/>
      <c r="T16" s="11"/>
    </row>
    <row r="17" spans="3:20" x14ac:dyDescent="0.25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25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25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25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.75" thickBot="1" x14ac:dyDescent="0.3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.75" thickBot="1" x14ac:dyDescent="0.3">
      <c r="C22" s="354" t="s">
        <v>254</v>
      </c>
      <c r="D22" s="355"/>
      <c r="E22" s="355"/>
      <c r="F22" s="356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.75" thickBot="1" x14ac:dyDescent="0.3">
      <c r="C23" s="274" t="s">
        <v>255</v>
      </c>
      <c r="D23" s="275" t="s">
        <v>256</v>
      </c>
      <c r="E23" s="274" t="s">
        <v>257</v>
      </c>
      <c r="F23" s="267" t="s">
        <v>252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25">
      <c r="C24" s="298">
        <v>11</v>
      </c>
      <c r="D24" s="299" t="s">
        <v>177</v>
      </c>
      <c r="E24" s="299">
        <v>0.15</v>
      </c>
      <c r="F24" s="16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25">
      <c r="C25" s="93"/>
      <c r="D25" s="276" t="s">
        <v>173</v>
      </c>
      <c r="E25" s="208">
        <v>0.1</v>
      </c>
      <c r="F25" s="92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25">
      <c r="C26" s="93"/>
      <c r="D26" s="276"/>
      <c r="E26" s="11"/>
      <c r="F26" s="92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25">
      <c r="C27" s="93"/>
      <c r="D27" s="276"/>
      <c r="E27" s="11"/>
      <c r="F27" s="92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25">
      <c r="C28" s="93"/>
      <c r="D28" s="276"/>
      <c r="E28" s="11"/>
      <c r="F28" s="92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25">
      <c r="C29" s="93"/>
      <c r="D29" s="276"/>
      <c r="E29" s="11"/>
      <c r="F29" s="92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25">
      <c r="C30" s="93"/>
      <c r="D30" s="276"/>
      <c r="E30" s="11"/>
      <c r="F30" s="92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25">
      <c r="C31" s="93"/>
      <c r="D31" s="276"/>
      <c r="E31" s="11"/>
      <c r="F31" s="92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25">
      <c r="C32" s="93"/>
      <c r="D32" s="276"/>
      <c r="E32" s="11"/>
      <c r="F32" s="92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25">
      <c r="C33" s="93"/>
      <c r="D33" s="11"/>
      <c r="E33" s="11"/>
      <c r="F33" s="92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25">
      <c r="C34" s="93"/>
      <c r="D34" s="11"/>
      <c r="E34" s="11"/>
      <c r="F34" s="92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25">
      <c r="C35" s="93"/>
      <c r="D35" s="11"/>
      <c r="E35" s="11"/>
      <c r="F35" s="92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.75" thickBot="1" x14ac:dyDescent="0.3">
      <c r="C36" s="269"/>
      <c r="D36" s="94"/>
      <c r="E36" s="94"/>
      <c r="F36" s="146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Sources!$D$14:$D$21</xm:f>
          </x14:formula1>
          <xm:sqref>H7:H14 D24:D32 L7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topLeftCell="A4" workbookViewId="0">
      <selection activeCell="H13" sqref="H13"/>
    </sheetView>
  </sheetViews>
  <sheetFormatPr baseColWidth="10" defaultRowHeight="15" x14ac:dyDescent="0.25"/>
  <cols>
    <col min="4" max="4" width="17.7109375" bestFit="1" customWidth="1"/>
    <col min="5" max="5" width="17" bestFit="1" customWidth="1"/>
    <col min="6" max="6" width="13" bestFit="1" customWidth="1"/>
    <col min="9" max="9" width="8.7109375" bestFit="1" customWidth="1"/>
  </cols>
  <sheetData>
    <row r="4" spans="3:17" ht="15.75" thickBot="1" x14ac:dyDescent="0.3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4">
      <c r="C5" s="11"/>
      <c r="D5" s="357" t="s">
        <v>113</v>
      </c>
      <c r="E5" s="358"/>
      <c r="F5" s="358"/>
      <c r="G5" s="358"/>
      <c r="H5" s="358"/>
      <c r="I5" s="358"/>
      <c r="J5" s="358"/>
      <c r="K5" s="358"/>
      <c r="L5" s="358"/>
      <c r="M5" s="358"/>
      <c r="N5" s="358"/>
      <c r="O5" s="359"/>
      <c r="P5" s="11"/>
      <c r="Q5" s="11"/>
    </row>
    <row r="6" spans="3:17" ht="18.75" x14ac:dyDescent="0.3">
      <c r="C6" s="11"/>
      <c r="D6" s="220" t="s">
        <v>1</v>
      </c>
      <c r="E6" s="211" t="s">
        <v>220</v>
      </c>
      <c r="F6" s="211" t="s">
        <v>236</v>
      </c>
      <c r="G6" s="160"/>
      <c r="H6" s="148"/>
      <c r="I6" s="148"/>
      <c r="J6" s="148"/>
      <c r="K6" s="148"/>
      <c r="L6" s="148"/>
      <c r="M6" s="148"/>
      <c r="N6" s="148"/>
      <c r="O6" s="149"/>
      <c r="P6" s="11"/>
      <c r="Q6" s="11"/>
    </row>
    <row r="7" spans="3:17" ht="18.75" x14ac:dyDescent="0.3">
      <c r="C7" s="11"/>
      <c r="D7" s="147" t="s">
        <v>102</v>
      </c>
      <c r="E7" s="150">
        <v>888</v>
      </c>
      <c r="F7" s="150">
        <v>777</v>
      </c>
      <c r="G7" s="150"/>
      <c r="H7" s="150"/>
      <c r="I7" s="150"/>
      <c r="J7" s="150"/>
      <c r="K7" s="150"/>
      <c r="L7" s="150"/>
      <c r="M7" s="150"/>
      <c r="N7" s="150"/>
      <c r="O7" s="151"/>
      <c r="P7" s="11"/>
      <c r="Q7" s="11"/>
    </row>
    <row r="8" spans="3:17" ht="15.75" thickBot="1" x14ac:dyDescent="0.3">
      <c r="C8" s="11"/>
      <c r="D8" s="177" t="s">
        <v>115</v>
      </c>
      <c r="E8" s="163">
        <v>5</v>
      </c>
      <c r="F8" s="163">
        <v>5</v>
      </c>
      <c r="G8" s="94"/>
      <c r="H8" s="94"/>
      <c r="I8" s="94"/>
      <c r="J8" s="94"/>
      <c r="K8" s="94"/>
      <c r="L8" s="94"/>
      <c r="M8" s="94"/>
      <c r="N8" s="94"/>
      <c r="O8" s="146"/>
      <c r="P8" s="11"/>
      <c r="Q8" s="11"/>
    </row>
    <row r="9" spans="3:17" ht="18.75" x14ac:dyDescent="0.3">
      <c r="C9" s="11"/>
      <c r="D9" s="147" t="s">
        <v>114</v>
      </c>
      <c r="E9" s="161">
        <v>200</v>
      </c>
      <c r="F9" s="150">
        <v>300</v>
      </c>
      <c r="G9" s="150"/>
      <c r="H9" s="150"/>
      <c r="I9" s="150"/>
      <c r="J9" s="150"/>
      <c r="K9" s="150"/>
      <c r="L9" s="150"/>
      <c r="M9" s="150"/>
      <c r="N9" s="150"/>
      <c r="O9" s="151"/>
      <c r="P9" s="11"/>
      <c r="Q9" s="11"/>
    </row>
    <row r="10" spans="3:17" ht="18.75" x14ac:dyDescent="0.3">
      <c r="C10" s="11"/>
      <c r="D10" s="147"/>
      <c r="E10" s="266">
        <v>210</v>
      </c>
      <c r="F10" s="150">
        <v>310</v>
      </c>
      <c r="G10" s="150"/>
      <c r="H10" s="150"/>
      <c r="I10" s="150"/>
      <c r="J10" s="150"/>
      <c r="K10" s="150"/>
      <c r="L10" s="150"/>
      <c r="M10" s="150"/>
      <c r="N10" s="150"/>
      <c r="O10" s="151"/>
      <c r="P10" s="11"/>
      <c r="Q10" s="11"/>
    </row>
    <row r="11" spans="3:17" ht="18.75" x14ac:dyDescent="0.3">
      <c r="C11" s="11"/>
      <c r="D11" s="147"/>
      <c r="E11" s="161">
        <v>999</v>
      </c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P11" s="11"/>
      <c r="Q11" s="11"/>
    </row>
    <row r="12" spans="3:17" ht="18.75" x14ac:dyDescent="0.3">
      <c r="C12" s="11"/>
      <c r="D12" s="147"/>
      <c r="E12" s="161"/>
      <c r="F12" s="150"/>
      <c r="G12" s="150"/>
      <c r="H12" s="150"/>
      <c r="I12" s="150"/>
      <c r="J12" s="150"/>
      <c r="K12" s="150"/>
      <c r="L12" s="150"/>
      <c r="M12" s="150"/>
      <c r="N12" s="150"/>
      <c r="O12" s="151"/>
      <c r="P12" s="11"/>
      <c r="Q12" s="11"/>
    </row>
    <row r="13" spans="3:17" ht="18.75" x14ac:dyDescent="0.3">
      <c r="C13" s="11"/>
      <c r="D13" s="153"/>
      <c r="E13" s="93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P13" s="11"/>
      <c r="Q13" s="11"/>
    </row>
    <row r="14" spans="3:17" ht="18.75" x14ac:dyDescent="0.3">
      <c r="C14" s="11"/>
      <c r="D14" s="153"/>
      <c r="E14" s="161"/>
      <c r="F14" s="150"/>
      <c r="G14" s="150"/>
      <c r="H14" s="150"/>
      <c r="I14" s="150"/>
      <c r="J14" s="150"/>
      <c r="K14" s="155"/>
      <c r="L14" s="150"/>
      <c r="M14" s="150"/>
      <c r="N14" s="150"/>
      <c r="O14" s="151"/>
      <c r="P14" s="11"/>
      <c r="Q14" s="11"/>
    </row>
    <row r="15" spans="3:17" ht="18.75" x14ac:dyDescent="0.3">
      <c r="C15" s="11"/>
      <c r="D15" s="153"/>
      <c r="E15" s="161"/>
      <c r="F15" s="150"/>
      <c r="G15" s="150"/>
      <c r="H15" s="154"/>
      <c r="I15" s="150"/>
      <c r="J15" s="150"/>
      <c r="K15" s="155"/>
      <c r="L15" s="150"/>
      <c r="M15" s="150"/>
      <c r="N15" s="150"/>
      <c r="O15" s="151"/>
      <c r="P15" s="11"/>
      <c r="Q15" s="11"/>
    </row>
    <row r="16" spans="3:17" ht="18.75" x14ac:dyDescent="0.3">
      <c r="C16" s="11"/>
      <c r="D16" s="153"/>
      <c r="E16" s="161"/>
      <c r="F16" s="150"/>
      <c r="G16" s="150"/>
      <c r="H16" s="150"/>
      <c r="I16" s="150"/>
      <c r="J16" s="150"/>
      <c r="K16" s="155"/>
      <c r="L16" s="150"/>
      <c r="M16" s="150"/>
      <c r="N16" s="150"/>
      <c r="O16" s="151"/>
      <c r="P16" s="11"/>
      <c r="Q16" s="11"/>
    </row>
    <row r="17" spans="3:17" ht="18.75" x14ac:dyDescent="0.3">
      <c r="C17" s="11"/>
      <c r="D17" s="153"/>
      <c r="E17" s="161"/>
      <c r="F17" s="150"/>
      <c r="G17" s="150"/>
      <c r="H17" s="150"/>
      <c r="I17" s="150"/>
      <c r="J17" s="150"/>
      <c r="K17" s="155"/>
      <c r="L17" s="150"/>
      <c r="M17" s="150"/>
      <c r="N17" s="150"/>
      <c r="O17" s="151"/>
      <c r="P17" s="11"/>
      <c r="Q17" s="11"/>
    </row>
    <row r="18" spans="3:17" ht="18.75" x14ac:dyDescent="0.3">
      <c r="C18" s="11"/>
      <c r="D18" s="153"/>
      <c r="E18" s="161"/>
      <c r="F18" s="150"/>
      <c r="G18" s="150"/>
      <c r="H18" s="156"/>
      <c r="I18" s="150"/>
      <c r="J18" s="150"/>
      <c r="K18" s="155"/>
      <c r="L18" s="150"/>
      <c r="M18" s="150"/>
      <c r="N18" s="150"/>
      <c r="O18" s="151"/>
      <c r="P18" s="11"/>
      <c r="Q18" s="11"/>
    </row>
    <row r="19" spans="3:17" ht="18.75" x14ac:dyDescent="0.3">
      <c r="C19" s="11"/>
      <c r="D19" s="153"/>
      <c r="E19" s="161"/>
      <c r="F19" s="150"/>
      <c r="G19" s="150"/>
      <c r="H19" s="156"/>
      <c r="I19" s="150"/>
      <c r="J19" s="150"/>
      <c r="K19" s="150"/>
      <c r="L19" s="150"/>
      <c r="M19" s="150"/>
      <c r="N19" s="150"/>
      <c r="O19" s="151"/>
      <c r="P19" s="11"/>
      <c r="Q19" s="11"/>
    </row>
    <row r="20" spans="3:17" ht="18.75" x14ac:dyDescent="0.3">
      <c r="C20" s="11"/>
      <c r="D20" s="153"/>
      <c r="E20" s="161"/>
      <c r="F20" s="150"/>
      <c r="G20" s="150"/>
      <c r="H20" s="150"/>
      <c r="I20" s="150"/>
      <c r="J20" s="150"/>
      <c r="K20" s="150"/>
      <c r="L20" s="150"/>
      <c r="M20" s="150"/>
      <c r="N20" s="150"/>
      <c r="O20" s="151"/>
      <c r="P20" s="11"/>
      <c r="Q20" s="11"/>
    </row>
    <row r="21" spans="3:17" ht="18.75" x14ac:dyDescent="0.3">
      <c r="C21" s="11"/>
      <c r="D21" s="153"/>
      <c r="E21" s="161"/>
      <c r="F21" s="150"/>
      <c r="G21" s="150"/>
      <c r="H21" s="150"/>
      <c r="I21" s="150"/>
      <c r="J21" s="150"/>
      <c r="K21" s="150"/>
      <c r="L21" s="150"/>
      <c r="M21" s="150"/>
      <c r="N21" s="150"/>
      <c r="O21" s="151"/>
      <c r="P21" s="11"/>
      <c r="Q21" s="11"/>
    </row>
    <row r="22" spans="3:17" ht="18.75" x14ac:dyDescent="0.3">
      <c r="C22" s="11"/>
      <c r="D22" s="153"/>
      <c r="E22" s="161"/>
      <c r="F22" s="150"/>
      <c r="G22" s="150"/>
      <c r="H22" s="150"/>
      <c r="I22" s="150"/>
      <c r="J22" s="150"/>
      <c r="K22" s="150"/>
      <c r="L22" s="150"/>
      <c r="M22" s="150"/>
      <c r="N22" s="150"/>
      <c r="O22" s="151"/>
      <c r="P22" s="11"/>
      <c r="Q22" s="11"/>
    </row>
    <row r="23" spans="3:17" ht="19.5" thickBot="1" x14ac:dyDescent="0.35">
      <c r="C23" s="11"/>
      <c r="D23" s="157"/>
      <c r="E23" s="162"/>
      <c r="F23" s="158"/>
      <c r="G23" s="158"/>
      <c r="H23" s="158"/>
      <c r="I23" s="158"/>
      <c r="J23" s="158"/>
      <c r="K23" s="158"/>
      <c r="L23" s="158"/>
      <c r="M23" s="158"/>
      <c r="N23" s="158"/>
      <c r="O23" s="159"/>
      <c r="P23" s="11"/>
      <c r="Q23" s="11" t="s">
        <v>23</v>
      </c>
    </row>
    <row r="24" spans="3:17" x14ac:dyDescent="0.2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2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2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23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>
    <tabColor rgb="FFFF0000"/>
  </sheetPr>
  <dimension ref="A2:AI67"/>
  <sheetViews>
    <sheetView tabSelected="1" zoomScale="90" zoomScaleNormal="90" workbookViewId="0">
      <selection activeCell="E21" sqref="E21"/>
    </sheetView>
  </sheetViews>
  <sheetFormatPr baseColWidth="10" defaultRowHeight="15" x14ac:dyDescent="0.25"/>
  <cols>
    <col min="2" max="2" width="21.140625" bestFit="1" customWidth="1"/>
    <col min="3" max="3" width="14" bestFit="1" customWidth="1"/>
    <col min="4" max="4" width="16.5703125" bestFit="1" customWidth="1"/>
    <col min="5" max="5" width="15.7109375" customWidth="1"/>
    <col min="6" max="6" width="11.85546875" bestFit="1" customWidth="1"/>
    <col min="7" max="7" width="11.140625" bestFit="1" customWidth="1"/>
    <col min="8" max="8" width="10.28515625" customWidth="1"/>
    <col min="9" max="9" width="23.7109375" bestFit="1" customWidth="1"/>
    <col min="10" max="11" width="16.5703125" bestFit="1" customWidth="1"/>
    <col min="12" max="12" width="12.28515625" bestFit="1" customWidth="1"/>
    <col min="13" max="13" width="12.7109375" bestFit="1" customWidth="1"/>
    <col min="14" max="14" width="11.140625" bestFit="1" customWidth="1"/>
    <col min="15" max="15" width="16.5703125" bestFit="1" customWidth="1"/>
    <col min="16" max="17" width="12.28515625" bestFit="1" customWidth="1"/>
    <col min="18" max="18" width="17.28515625" bestFit="1" customWidth="1"/>
    <col min="19" max="19" width="12.7109375" bestFit="1" customWidth="1"/>
    <col min="20" max="20" width="12.28515625" bestFit="1" customWidth="1"/>
    <col min="21" max="21" width="16.5703125" bestFit="1" customWidth="1"/>
    <col min="24" max="24" width="16.5703125" bestFit="1" customWidth="1"/>
  </cols>
  <sheetData>
    <row r="2" spans="1:35" ht="15.75" thickBot="1" x14ac:dyDescent="0.3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thickBot="1" x14ac:dyDescent="0.3">
      <c r="A3" s="11"/>
      <c r="B3" s="354" t="s">
        <v>264</v>
      </c>
      <c r="C3" s="356"/>
      <c r="D3" s="11"/>
      <c r="E3" s="267" t="s">
        <v>273</v>
      </c>
      <c r="F3" s="360" t="s">
        <v>272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.75" thickBot="1" x14ac:dyDescent="0.3">
      <c r="A4" s="11"/>
      <c r="B4" s="277" t="s">
        <v>265</v>
      </c>
      <c r="C4" s="164">
        <v>3</v>
      </c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285</v>
      </c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.75" thickBot="1" x14ac:dyDescent="0.3">
      <c r="A5" s="11"/>
      <c r="B5" s="93" t="s">
        <v>266</v>
      </c>
      <c r="C5" s="371" t="s">
        <v>268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P5" s="270" t="s">
        <v>277</v>
      </c>
      <c r="Q5" s="271"/>
      <c r="R5" s="364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.75" thickBot="1" x14ac:dyDescent="0.3">
      <c r="A6" s="11"/>
      <c r="B6" s="269"/>
      <c r="C6" s="146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82">
        <v>2</v>
      </c>
      <c r="Q6" s="372" t="s">
        <v>281</v>
      </c>
      <c r="R6" s="92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5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P7" s="182">
        <v>3</v>
      </c>
      <c r="Q7" s="372" t="s">
        <v>282</v>
      </c>
      <c r="R7" s="92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.75" thickBot="1" x14ac:dyDescent="0.3">
      <c r="A8" s="11"/>
      <c r="B8" s="379" t="s">
        <v>290</v>
      </c>
      <c r="C8" s="11"/>
      <c r="D8" s="11"/>
      <c r="E8" s="11"/>
      <c r="F8" s="11"/>
      <c r="G8" s="11"/>
      <c r="H8" s="11"/>
      <c r="I8" s="380" t="s">
        <v>292</v>
      </c>
      <c r="J8" s="11"/>
      <c r="K8" s="11"/>
      <c r="L8" s="11"/>
      <c r="M8" s="11"/>
      <c r="N8" s="11"/>
      <c r="O8" s="11"/>
      <c r="P8" s="182">
        <v>4</v>
      </c>
      <c r="Q8" s="372" t="s">
        <v>283</v>
      </c>
      <c r="R8" s="92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.75" thickBot="1" x14ac:dyDescent="0.3">
      <c r="A9" s="11"/>
      <c r="B9" s="373" t="s">
        <v>288</v>
      </c>
      <c r="C9" s="374"/>
      <c r="D9" s="374"/>
      <c r="E9" s="374"/>
      <c r="F9" s="375"/>
      <c r="G9" s="208"/>
      <c r="H9" s="11"/>
      <c r="I9" s="300" t="s">
        <v>279</v>
      </c>
      <c r="J9" s="301"/>
      <c r="K9" s="301"/>
      <c r="L9" s="301"/>
      <c r="M9" s="302"/>
      <c r="N9" s="268"/>
      <c r="O9" s="208"/>
      <c r="P9" s="269"/>
      <c r="Q9" s="94" t="s">
        <v>284</v>
      </c>
      <c r="R9" s="146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.75" thickBot="1" x14ac:dyDescent="0.3">
      <c r="A10" s="11"/>
      <c r="B10" s="363" t="s">
        <v>275</v>
      </c>
      <c r="C10" s="365" t="s">
        <v>35</v>
      </c>
      <c r="D10" s="366" t="s">
        <v>278</v>
      </c>
      <c r="E10" s="273" t="s">
        <v>276</v>
      </c>
      <c r="F10" s="304" t="s">
        <v>286</v>
      </c>
      <c r="G10" s="208"/>
      <c r="H10" s="11"/>
      <c r="I10" s="363" t="s">
        <v>275</v>
      </c>
      <c r="J10" s="363" t="s">
        <v>35</v>
      </c>
      <c r="K10" s="370" t="s">
        <v>274</v>
      </c>
      <c r="L10" s="363" t="s">
        <v>278</v>
      </c>
      <c r="M10" s="363" t="s">
        <v>276</v>
      </c>
      <c r="N10" s="268" t="s">
        <v>286</v>
      </c>
      <c r="O10" s="208"/>
      <c r="P10" s="11"/>
      <c r="Q10" s="11"/>
      <c r="R10" s="11"/>
      <c r="S10" s="367"/>
      <c r="T10" s="367"/>
      <c r="U10" s="367"/>
      <c r="V10" s="367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x14ac:dyDescent="0.25">
      <c r="A11" s="11"/>
      <c r="B11" s="298">
        <v>11</v>
      </c>
      <c r="C11" s="299" t="s">
        <v>177</v>
      </c>
      <c r="D11" s="293">
        <v>0.1</v>
      </c>
      <c r="E11" s="299">
        <v>1</v>
      </c>
      <c r="F11" s="304" t="s">
        <v>294</v>
      </c>
      <c r="G11" s="208"/>
      <c r="H11" s="11"/>
      <c r="I11" s="182">
        <v>200</v>
      </c>
      <c r="J11" s="368" t="s">
        <v>177</v>
      </c>
      <c r="K11" s="369">
        <v>1</v>
      </c>
      <c r="L11" s="369">
        <v>0.2</v>
      </c>
      <c r="M11" s="295"/>
      <c r="N11" s="362"/>
      <c r="O11" s="208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.75" thickBot="1" x14ac:dyDescent="0.3">
      <c r="A12" s="11"/>
      <c r="B12" s="182">
        <v>11</v>
      </c>
      <c r="C12" s="368" t="s">
        <v>173</v>
      </c>
      <c r="D12" s="369">
        <v>0.15</v>
      </c>
      <c r="E12" s="369">
        <v>1</v>
      </c>
      <c r="F12" s="362" t="s">
        <v>293</v>
      </c>
      <c r="G12" s="208"/>
      <c r="H12" s="11"/>
      <c r="I12" s="182">
        <v>210</v>
      </c>
      <c r="J12" s="368" t="s">
        <v>177</v>
      </c>
      <c r="K12" s="369">
        <v>1</v>
      </c>
      <c r="L12" s="369">
        <v>0.1</v>
      </c>
      <c r="M12" s="295"/>
      <c r="N12" s="362"/>
      <c r="O12" s="208"/>
      <c r="P12" s="11"/>
      <c r="Q12" s="11"/>
      <c r="R12" s="11"/>
      <c r="S12" s="367"/>
      <c r="T12" s="367"/>
      <c r="U12" s="367"/>
      <c r="V12" s="367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ht="15.75" thickBot="1" x14ac:dyDescent="0.3">
      <c r="A13" s="11"/>
      <c r="B13" s="182"/>
      <c r="C13" s="368"/>
      <c r="D13" s="369"/>
      <c r="E13" s="369"/>
      <c r="F13" s="362"/>
      <c r="G13" s="208"/>
      <c r="H13" s="11"/>
      <c r="I13" s="182"/>
      <c r="J13" s="368"/>
      <c r="K13" s="369"/>
      <c r="L13" s="369"/>
      <c r="M13" s="295"/>
      <c r="N13" s="362"/>
      <c r="O13" s="208"/>
      <c r="P13" s="226" t="s">
        <v>276</v>
      </c>
      <c r="Q13" s="304" t="s">
        <v>286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5">
      <c r="A14" s="11"/>
      <c r="B14" s="182"/>
      <c r="C14" s="368"/>
      <c r="D14" s="369"/>
      <c r="E14" s="369"/>
      <c r="F14" s="362"/>
      <c r="G14" s="208"/>
      <c r="H14" s="11"/>
      <c r="I14" s="182"/>
      <c r="J14" s="368"/>
      <c r="K14" s="369"/>
      <c r="L14" s="369"/>
      <c r="M14" s="295"/>
      <c r="N14" s="362"/>
      <c r="O14" s="208"/>
      <c r="P14" s="277">
        <v>1</v>
      </c>
      <c r="Q14" s="164"/>
      <c r="R14" s="11"/>
      <c r="S14" s="367"/>
      <c r="T14" s="367"/>
      <c r="U14" s="367"/>
      <c r="V14" s="367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5">
      <c r="A15" s="11"/>
      <c r="B15" s="182"/>
      <c r="C15" s="368"/>
      <c r="D15" s="369"/>
      <c r="E15" s="369"/>
      <c r="F15" s="362"/>
      <c r="G15" s="208"/>
      <c r="H15" s="11"/>
      <c r="I15" s="182"/>
      <c r="J15" s="368"/>
      <c r="K15" s="369"/>
      <c r="L15" s="369"/>
      <c r="M15" s="295"/>
      <c r="N15" s="362"/>
      <c r="O15" s="208"/>
      <c r="P15" s="93"/>
      <c r="Q15" s="92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5">
      <c r="A16" s="11"/>
      <c r="B16" s="182"/>
      <c r="C16" s="368"/>
      <c r="D16" s="369"/>
      <c r="E16" s="369"/>
      <c r="F16" s="362"/>
      <c r="G16" s="208"/>
      <c r="H16" s="11"/>
      <c r="I16" s="182"/>
      <c r="J16" s="368"/>
      <c r="K16" s="369"/>
      <c r="L16" s="369"/>
      <c r="M16" s="295"/>
      <c r="N16" s="362"/>
      <c r="O16" s="208"/>
      <c r="P16" s="93"/>
      <c r="Q16" s="92"/>
      <c r="R16" s="11"/>
      <c r="S16" s="367"/>
      <c r="T16" s="367"/>
      <c r="U16" s="367"/>
      <c r="V16" s="367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5">
      <c r="A17" s="11"/>
      <c r="B17" s="182"/>
      <c r="C17" s="368"/>
      <c r="D17" s="369"/>
      <c r="E17" s="369"/>
      <c r="F17" s="362"/>
      <c r="G17" s="208"/>
      <c r="H17" s="11"/>
      <c r="I17" s="182"/>
      <c r="J17" s="368"/>
      <c r="K17" s="369"/>
      <c r="L17" s="369"/>
      <c r="M17" s="295"/>
      <c r="N17" s="362"/>
      <c r="O17" s="208"/>
      <c r="P17" s="93"/>
      <c r="Q17" s="92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5">
      <c r="A18" s="11"/>
      <c r="B18" s="182"/>
      <c r="C18" s="368"/>
      <c r="D18" s="369"/>
      <c r="E18" s="369"/>
      <c r="F18" s="362"/>
      <c r="G18" s="208"/>
      <c r="H18" s="11"/>
      <c r="I18" s="182"/>
      <c r="J18" s="368"/>
      <c r="K18" s="369"/>
      <c r="L18" s="369"/>
      <c r="M18" s="295"/>
      <c r="N18" s="362"/>
      <c r="O18" s="208"/>
      <c r="P18" s="93"/>
      <c r="Q18" s="92"/>
      <c r="R18" s="11"/>
      <c r="S18" s="367"/>
      <c r="T18" s="367"/>
      <c r="U18" s="367"/>
      <c r="V18" s="367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5">
      <c r="A19" s="11"/>
      <c r="B19" s="182"/>
      <c r="C19" s="368"/>
      <c r="D19" s="369"/>
      <c r="E19" s="369"/>
      <c r="F19" s="362"/>
      <c r="G19" s="208"/>
      <c r="H19" s="11"/>
      <c r="I19" s="182"/>
      <c r="J19" s="368"/>
      <c r="K19" s="369"/>
      <c r="L19" s="369"/>
      <c r="M19" s="295"/>
      <c r="N19" s="362"/>
      <c r="O19" s="208"/>
      <c r="P19" s="93"/>
      <c r="Q19" s="92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x14ac:dyDescent="0.25">
      <c r="A20" s="11"/>
      <c r="B20" s="182"/>
      <c r="C20" s="368"/>
      <c r="D20" s="369"/>
      <c r="E20" s="369"/>
      <c r="F20" s="362"/>
      <c r="G20" s="208"/>
      <c r="H20" s="11"/>
      <c r="I20" s="182"/>
      <c r="J20" s="368"/>
      <c r="K20" s="369"/>
      <c r="L20" s="369"/>
      <c r="M20" s="295"/>
      <c r="N20" s="362"/>
      <c r="O20" s="208"/>
      <c r="P20" s="93"/>
      <c r="Q20" s="92"/>
      <c r="R20" s="11"/>
      <c r="S20" s="367"/>
      <c r="T20" s="367"/>
      <c r="U20" s="367"/>
      <c r="V20" s="367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ht="15.75" thickBot="1" x14ac:dyDescent="0.3">
      <c r="A21" s="11"/>
      <c r="B21" s="182"/>
      <c r="C21" s="368"/>
      <c r="D21" s="369"/>
      <c r="E21" s="369"/>
      <c r="F21" s="362"/>
      <c r="G21" s="208"/>
      <c r="H21" s="11"/>
      <c r="I21" s="182"/>
      <c r="J21" s="368"/>
      <c r="K21" s="369"/>
      <c r="L21" s="369"/>
      <c r="M21" s="295"/>
      <c r="N21" s="362"/>
      <c r="O21" s="208"/>
      <c r="P21" s="269"/>
      <c r="Q21" s="146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5">
      <c r="A22" s="11"/>
      <c r="B22" s="182"/>
      <c r="C22" s="368"/>
      <c r="D22" s="369"/>
      <c r="E22" s="369"/>
      <c r="F22" s="362"/>
      <c r="G22" s="208"/>
      <c r="H22" s="11"/>
      <c r="I22" s="182"/>
      <c r="J22" s="368"/>
      <c r="K22" s="369"/>
      <c r="L22" s="369"/>
      <c r="M22" s="295"/>
      <c r="N22" s="362"/>
      <c r="O22" s="208"/>
      <c r="P22" s="11"/>
      <c r="Q22" s="11"/>
      <c r="R22" s="11"/>
      <c r="S22" s="367"/>
      <c r="T22" s="367"/>
      <c r="U22" s="367"/>
      <c r="V22" s="367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.75" thickBot="1" x14ac:dyDescent="0.3">
      <c r="A23" s="11"/>
      <c r="B23" s="289"/>
      <c r="C23" s="303"/>
      <c r="D23" s="163"/>
      <c r="E23" s="163"/>
      <c r="F23" s="363"/>
      <c r="G23" s="208"/>
      <c r="H23" s="11"/>
      <c r="I23" s="289"/>
      <c r="J23" s="163"/>
      <c r="K23" s="163"/>
      <c r="L23" s="163"/>
      <c r="M23" s="296"/>
      <c r="N23" s="363"/>
      <c r="O23" s="208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5">
      <c r="A24" s="11"/>
      <c r="B24" s="208"/>
      <c r="C24" s="208"/>
      <c r="D24" s="208"/>
      <c r="E24" s="208"/>
      <c r="F24" s="208"/>
      <c r="G24" s="208"/>
      <c r="H24" s="11"/>
      <c r="I24" s="208"/>
      <c r="J24" s="208"/>
      <c r="K24" s="208"/>
      <c r="L24" s="208"/>
      <c r="M24" s="208"/>
      <c r="N24" s="208"/>
      <c r="O24" s="208"/>
      <c r="P24" s="11"/>
      <c r="Q24" s="11"/>
      <c r="R24" s="11"/>
      <c r="S24" s="367"/>
      <c r="T24" s="367"/>
      <c r="U24" s="367"/>
      <c r="V24" s="367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5">
      <c r="A25" s="11"/>
      <c r="B25" s="208"/>
      <c r="C25" s="208"/>
      <c r="D25" s="208"/>
      <c r="E25" s="208"/>
      <c r="F25" s="208"/>
      <c r="G25" s="208"/>
      <c r="H25" s="11"/>
      <c r="I25" s="208"/>
      <c r="J25" s="208"/>
      <c r="K25" s="208"/>
      <c r="L25" s="208"/>
      <c r="M25" s="208"/>
      <c r="N25" s="208"/>
      <c r="O25" s="208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.75" thickBot="1" x14ac:dyDescent="0.3">
      <c r="A26" s="11"/>
      <c r="B26" s="380" t="s">
        <v>296</v>
      </c>
      <c r="C26" s="208"/>
      <c r="D26" s="208"/>
      <c r="E26" s="208"/>
      <c r="F26" s="208"/>
      <c r="G26" s="208"/>
      <c r="H26" s="208"/>
      <c r="I26" s="380" t="s">
        <v>292</v>
      </c>
      <c r="J26" s="208"/>
      <c r="K26" s="208"/>
      <c r="L26" s="208"/>
      <c r="M26" s="208"/>
      <c r="N26" s="208"/>
      <c r="O26" s="208"/>
      <c r="P26" s="11"/>
      <c r="Q26" s="11"/>
      <c r="R26" s="11"/>
      <c r="S26" s="367"/>
      <c r="T26" s="367"/>
      <c r="U26" s="367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.75" thickBot="1" x14ac:dyDescent="0.3">
      <c r="A27" s="11"/>
      <c r="B27" s="270" t="s">
        <v>287</v>
      </c>
      <c r="C27" s="271"/>
      <c r="D27" s="271"/>
      <c r="E27" s="271"/>
      <c r="F27" s="272"/>
      <c r="G27" s="268"/>
      <c r="H27" s="208"/>
      <c r="I27" s="376" t="s">
        <v>280</v>
      </c>
      <c r="J27" s="377"/>
      <c r="K27" s="377"/>
      <c r="L27" s="377"/>
      <c r="M27" s="377"/>
      <c r="N27" s="378"/>
      <c r="O27" s="208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.75" thickBot="1" x14ac:dyDescent="0.3">
      <c r="A28" s="11"/>
      <c r="B28" s="268" t="s">
        <v>275</v>
      </c>
      <c r="C28" s="304" t="s">
        <v>35</v>
      </c>
      <c r="D28" s="273" t="s">
        <v>274</v>
      </c>
      <c r="E28" s="273" t="s">
        <v>278</v>
      </c>
      <c r="F28" s="268" t="s">
        <v>276</v>
      </c>
      <c r="G28" s="304" t="s">
        <v>286</v>
      </c>
      <c r="H28" s="208"/>
      <c r="I28" s="304" t="s">
        <v>275</v>
      </c>
      <c r="J28" s="304" t="s">
        <v>35</v>
      </c>
      <c r="K28" s="361" t="s">
        <v>274</v>
      </c>
      <c r="L28" s="294" t="s">
        <v>278</v>
      </c>
      <c r="M28" s="304" t="s">
        <v>276</v>
      </c>
      <c r="N28" s="304" t="s">
        <v>286</v>
      </c>
      <c r="O28" s="208"/>
      <c r="P28" s="11"/>
      <c r="Q28" s="11"/>
      <c r="R28" s="11"/>
      <c r="S28" s="367"/>
      <c r="T28" s="367"/>
      <c r="U28" s="367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5">
      <c r="A29" s="11"/>
      <c r="B29" s="282"/>
      <c r="C29" s="299"/>
      <c r="D29" s="293"/>
      <c r="E29" s="293"/>
      <c r="F29" s="294"/>
      <c r="G29" s="294"/>
      <c r="H29" s="208"/>
      <c r="I29" s="282"/>
      <c r="J29" s="299"/>
      <c r="K29" s="293"/>
      <c r="L29" s="293"/>
      <c r="M29" s="293"/>
      <c r="N29" s="294"/>
      <c r="O29" s="208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5">
      <c r="A30" s="11"/>
      <c r="B30" s="182"/>
      <c r="C30" s="368"/>
      <c r="D30" s="369"/>
      <c r="E30" s="369"/>
      <c r="F30" s="295"/>
      <c r="G30" s="295"/>
      <c r="H30" s="208"/>
      <c r="I30" s="182"/>
      <c r="J30" s="368"/>
      <c r="K30" s="369"/>
      <c r="L30" s="369"/>
      <c r="M30" s="369"/>
      <c r="N30" s="295"/>
      <c r="O30" s="208"/>
      <c r="P30" s="11"/>
      <c r="Q30" s="11"/>
      <c r="R30" s="11"/>
      <c r="S30" s="367"/>
      <c r="T30" s="367"/>
      <c r="U30" s="367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5">
      <c r="A31" s="11"/>
      <c r="B31" s="182"/>
      <c r="C31" s="368"/>
      <c r="D31" s="369"/>
      <c r="E31" s="369"/>
      <c r="F31" s="295"/>
      <c r="G31" s="295"/>
      <c r="H31" s="208"/>
      <c r="I31" s="182"/>
      <c r="J31" s="368"/>
      <c r="K31" s="369"/>
      <c r="L31" s="369"/>
      <c r="M31" s="369"/>
      <c r="N31" s="295"/>
      <c r="O31" s="208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5">
      <c r="A32" s="11"/>
      <c r="B32" s="182"/>
      <c r="C32" s="368"/>
      <c r="D32" s="369"/>
      <c r="E32" s="369"/>
      <c r="F32" s="295"/>
      <c r="G32" s="295"/>
      <c r="H32" s="208"/>
      <c r="I32" s="182"/>
      <c r="J32" s="368"/>
      <c r="K32" s="369"/>
      <c r="L32" s="369"/>
      <c r="M32" s="369"/>
      <c r="N32" s="295"/>
      <c r="O32" s="208"/>
      <c r="P32" s="11"/>
      <c r="Q32" s="11"/>
      <c r="R32" s="11"/>
      <c r="S32" s="367"/>
      <c r="T32" s="367"/>
      <c r="U32" s="367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5">
      <c r="A33" s="11"/>
      <c r="B33" s="182"/>
      <c r="C33" s="368"/>
      <c r="D33" s="369"/>
      <c r="E33" s="369"/>
      <c r="F33" s="295"/>
      <c r="G33" s="295"/>
      <c r="H33" s="208"/>
      <c r="I33" s="182"/>
      <c r="J33" s="368"/>
      <c r="K33" s="369"/>
      <c r="L33" s="369"/>
      <c r="M33" s="369"/>
      <c r="N33" s="295"/>
      <c r="O33" s="208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5">
      <c r="A34" s="11"/>
      <c r="B34" s="182"/>
      <c r="C34" s="368"/>
      <c r="D34" s="369"/>
      <c r="E34" s="369"/>
      <c r="F34" s="295"/>
      <c r="G34" s="295"/>
      <c r="H34" s="208"/>
      <c r="I34" s="182"/>
      <c r="J34" s="368"/>
      <c r="K34" s="369"/>
      <c r="L34" s="369"/>
      <c r="M34" s="369"/>
      <c r="N34" s="295"/>
      <c r="O34" s="208"/>
      <c r="P34" s="11"/>
      <c r="Q34" s="11"/>
      <c r="R34" s="11"/>
      <c r="S34" s="367"/>
      <c r="T34" s="367"/>
      <c r="U34" s="367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5">
      <c r="A35" s="11"/>
      <c r="B35" s="182"/>
      <c r="C35" s="368"/>
      <c r="D35" s="369"/>
      <c r="E35" s="369"/>
      <c r="F35" s="295"/>
      <c r="G35" s="295"/>
      <c r="H35" s="208"/>
      <c r="I35" s="182"/>
      <c r="J35" s="368"/>
      <c r="K35" s="369"/>
      <c r="L35" s="369"/>
      <c r="M35" s="369"/>
      <c r="N35" s="295"/>
      <c r="O35" s="208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5">
      <c r="A36" s="11"/>
      <c r="B36" s="182"/>
      <c r="C36" s="368"/>
      <c r="D36" s="369"/>
      <c r="E36" s="369"/>
      <c r="F36" s="295"/>
      <c r="G36" s="295"/>
      <c r="H36" s="208"/>
      <c r="I36" s="182"/>
      <c r="J36" s="368"/>
      <c r="K36" s="369"/>
      <c r="L36" s="369"/>
      <c r="M36" s="369"/>
      <c r="N36" s="295"/>
      <c r="O36" s="208"/>
      <c r="P36" s="11"/>
      <c r="Q36" s="11"/>
      <c r="R36" s="11"/>
      <c r="S36" s="367"/>
      <c r="T36" s="367"/>
      <c r="U36" s="367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5">
      <c r="A37" s="11"/>
      <c r="B37" s="182"/>
      <c r="C37" s="368"/>
      <c r="D37" s="369"/>
      <c r="E37" s="369"/>
      <c r="F37" s="295"/>
      <c r="G37" s="295"/>
      <c r="H37" s="208"/>
      <c r="I37" s="182"/>
      <c r="J37" s="368"/>
      <c r="K37" s="369"/>
      <c r="L37" s="369"/>
      <c r="M37" s="369"/>
      <c r="N37" s="295"/>
      <c r="O37" s="208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5">
      <c r="A38" s="11"/>
      <c r="B38" s="182"/>
      <c r="C38" s="368"/>
      <c r="D38" s="369"/>
      <c r="E38" s="369"/>
      <c r="F38" s="295"/>
      <c r="G38" s="295"/>
      <c r="H38" s="208"/>
      <c r="I38" s="182"/>
      <c r="J38" s="368"/>
      <c r="K38" s="369"/>
      <c r="L38" s="369"/>
      <c r="M38" s="369"/>
      <c r="N38" s="295"/>
      <c r="O38" s="208"/>
      <c r="P38" s="11"/>
      <c r="Q38" s="11"/>
      <c r="R38" s="11"/>
      <c r="S38" s="367"/>
      <c r="T38" s="367"/>
      <c r="U38" s="367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5">
      <c r="B39" s="182"/>
      <c r="C39" s="368"/>
      <c r="D39" s="369"/>
      <c r="E39" s="369"/>
      <c r="F39" s="295"/>
      <c r="G39" s="295"/>
      <c r="H39" s="208"/>
      <c r="I39" s="182"/>
      <c r="J39" s="368"/>
      <c r="K39" s="369"/>
      <c r="L39" s="369"/>
      <c r="M39" s="369"/>
      <c r="N39" s="295"/>
      <c r="O39" s="208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25">
      <c r="B40" s="182"/>
      <c r="C40" s="368"/>
      <c r="D40" s="369"/>
      <c r="E40" s="369"/>
      <c r="F40" s="295"/>
      <c r="G40" s="295"/>
      <c r="H40" s="208"/>
      <c r="I40" s="182"/>
      <c r="J40" s="368"/>
      <c r="K40" s="369"/>
      <c r="L40" s="369"/>
      <c r="M40" s="369"/>
      <c r="N40" s="295"/>
      <c r="O40" s="208"/>
      <c r="P40" s="11"/>
      <c r="Q40" s="11"/>
      <c r="R40" s="11"/>
      <c r="S40" s="367"/>
      <c r="T40" s="367"/>
      <c r="U40" s="367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.75" thickBot="1" x14ac:dyDescent="0.3">
      <c r="A41" s="11"/>
      <c r="B41" s="289"/>
      <c r="C41" s="163"/>
      <c r="D41" s="163"/>
      <c r="E41" s="163"/>
      <c r="F41" s="296"/>
      <c r="G41" s="296"/>
      <c r="H41" s="208"/>
      <c r="I41" s="289"/>
      <c r="J41" s="163"/>
      <c r="K41" s="163"/>
      <c r="L41" s="163"/>
      <c r="M41" s="163"/>
      <c r="N41" s="296"/>
      <c r="O41" s="208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367"/>
      <c r="T42" s="367"/>
      <c r="U42" s="367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.75" thickBot="1" x14ac:dyDescent="0.3">
      <c r="A45" s="11"/>
      <c r="B45" s="380" t="s">
        <v>291</v>
      </c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.75" thickBot="1" x14ac:dyDescent="0.3">
      <c r="A46" s="11"/>
      <c r="B46" s="376" t="s">
        <v>289</v>
      </c>
      <c r="C46" s="377"/>
      <c r="D46" s="377"/>
      <c r="E46" s="377"/>
      <c r="F46" s="377"/>
      <c r="G46" s="378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</row>
    <row r="47" spans="1:35" ht="15.75" thickBot="1" x14ac:dyDescent="0.3">
      <c r="A47" s="11"/>
      <c r="B47" s="304" t="s">
        <v>275</v>
      </c>
      <c r="C47" s="304" t="s">
        <v>35</v>
      </c>
      <c r="D47" s="273" t="s">
        <v>274</v>
      </c>
      <c r="E47" s="294" t="s">
        <v>278</v>
      </c>
      <c r="F47" s="304" t="s">
        <v>276</v>
      </c>
      <c r="G47" s="304" t="s">
        <v>286</v>
      </c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</row>
    <row r="48" spans="1:35" x14ac:dyDescent="0.25">
      <c r="A48" s="11"/>
      <c r="B48" s="282"/>
      <c r="C48" s="299"/>
      <c r="D48" s="369"/>
      <c r="E48" s="293"/>
      <c r="F48" s="293"/>
      <c r="G48" s="294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</row>
    <row r="49" spans="1:30" x14ac:dyDescent="0.25">
      <c r="A49" s="11"/>
      <c r="B49" s="182"/>
      <c r="C49" s="368"/>
      <c r="E49" s="369"/>
      <c r="F49" s="369"/>
      <c r="G49" s="295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</row>
    <row r="50" spans="1:30" x14ac:dyDescent="0.25">
      <c r="A50" s="11"/>
      <c r="B50" s="182"/>
      <c r="C50" s="368"/>
      <c r="D50" s="369"/>
      <c r="E50" s="369"/>
      <c r="F50" s="369"/>
      <c r="G50" s="295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</row>
    <row r="51" spans="1:30" x14ac:dyDescent="0.25">
      <c r="A51" s="11"/>
      <c r="B51" s="182"/>
      <c r="C51" s="368"/>
      <c r="D51" s="369"/>
      <c r="E51" s="369"/>
      <c r="F51" s="369"/>
      <c r="G51" s="295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</row>
    <row r="52" spans="1:30" x14ac:dyDescent="0.25">
      <c r="A52" s="11"/>
      <c r="B52" s="182"/>
      <c r="C52" s="368"/>
      <c r="D52" s="369"/>
      <c r="E52" s="369"/>
      <c r="F52" s="369"/>
      <c r="G52" s="295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</row>
    <row r="53" spans="1:30" x14ac:dyDescent="0.25">
      <c r="A53" s="11"/>
      <c r="B53" s="182"/>
      <c r="C53" s="368"/>
      <c r="D53" s="369"/>
      <c r="E53" s="369"/>
      <c r="F53" s="369"/>
      <c r="G53" s="295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</row>
    <row r="54" spans="1:30" x14ac:dyDescent="0.25">
      <c r="A54" s="11"/>
      <c r="B54" s="182"/>
      <c r="C54" s="368"/>
      <c r="D54" s="369"/>
      <c r="E54" s="369"/>
      <c r="F54" s="369"/>
      <c r="G54" s="295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</row>
    <row r="55" spans="1:30" x14ac:dyDescent="0.25">
      <c r="A55" s="11"/>
      <c r="B55" s="182"/>
      <c r="C55" s="368"/>
      <c r="D55" s="369"/>
      <c r="E55" s="369"/>
      <c r="F55" s="369"/>
      <c r="G55" s="295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</row>
    <row r="56" spans="1:30" x14ac:dyDescent="0.25">
      <c r="A56" s="11"/>
      <c r="B56" s="182"/>
      <c r="C56" s="368"/>
      <c r="D56" s="369"/>
      <c r="E56" s="369"/>
      <c r="F56" s="369"/>
      <c r="G56" s="295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</row>
    <row r="57" spans="1:30" x14ac:dyDescent="0.25">
      <c r="A57" s="11"/>
      <c r="B57" s="182"/>
      <c r="C57" s="368"/>
      <c r="D57" s="369"/>
      <c r="E57" s="369"/>
      <c r="F57" s="369"/>
      <c r="G57" s="295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</row>
    <row r="58" spans="1:30" x14ac:dyDescent="0.25">
      <c r="A58" s="11"/>
      <c r="B58" s="182"/>
      <c r="C58" s="368"/>
      <c r="D58" s="369"/>
      <c r="E58" s="369"/>
      <c r="F58" s="369"/>
      <c r="G58" s="295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</row>
    <row r="59" spans="1:30" x14ac:dyDescent="0.25">
      <c r="A59" s="11"/>
      <c r="B59" s="182"/>
      <c r="C59" s="368"/>
      <c r="D59" s="369"/>
      <c r="E59" s="369"/>
      <c r="F59" s="369"/>
      <c r="G59" s="295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</row>
    <row r="60" spans="1:30" ht="15.75" thickBot="1" x14ac:dyDescent="0.3">
      <c r="A60" s="11"/>
      <c r="B60" s="289"/>
      <c r="C60" s="163"/>
      <c r="D60" s="163"/>
      <c r="E60" s="163"/>
      <c r="F60" s="163"/>
      <c r="G60" s="29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</row>
    <row r="61" spans="1:30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25"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25"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25">
      <c r="B65" t="s">
        <v>23</v>
      </c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25"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x14ac:dyDescent="0.25"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</sheetData>
  <mergeCells count="4">
    <mergeCell ref="I27:N27"/>
    <mergeCell ref="B9:F9"/>
    <mergeCell ref="B46:G46"/>
    <mergeCell ref="B3:C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FADE1F-C18D-4177-9188-2E8A55B0CCD1}">
          <x14:formula1>
            <xm:f>Sources!$D$14:$D$21</xm:f>
          </x14:formula1>
          <xm:sqref>C11:C23 J29:J40 C29:C40 C48:C59 J11:J22</xm:sqref>
        </x14:dataValidation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N29:N41 G29:G41 G48:G60 N11:N23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75" zoomScaleNormal="47" workbookViewId="0">
      <selection activeCell="H39" sqref="H39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60.5703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2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2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2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25">
      <c r="A6" s="5"/>
      <c r="B6" s="5"/>
      <c r="C6" s="86"/>
      <c r="D6" s="326"/>
      <c r="E6" s="326"/>
      <c r="F6" s="5"/>
      <c r="G6" s="5"/>
      <c r="H6" s="326"/>
      <c r="I6" s="326"/>
      <c r="J6" s="15"/>
      <c r="K6" s="15"/>
      <c r="L6" s="5"/>
      <c r="M6" s="326"/>
      <c r="N6" s="326"/>
      <c r="O6" s="326"/>
      <c r="P6" s="326"/>
      <c r="Q6" s="5"/>
      <c r="R6" s="5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5"/>
      <c r="AH6" s="5"/>
      <c r="AI6" s="87"/>
      <c r="AJ6" s="5"/>
    </row>
    <row r="7" spans="1:36" ht="15.75" thickBot="1" x14ac:dyDescent="0.3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4">
      <c r="A8" s="5"/>
      <c r="B8" s="5"/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5"/>
      <c r="AH8" s="5"/>
      <c r="AI8" s="87"/>
      <c r="AJ8" s="5"/>
    </row>
    <row r="9" spans="1:36" ht="21.75" thickBot="1" x14ac:dyDescent="0.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101" t="s">
        <v>79</v>
      </c>
      <c r="T9" s="101" t="s">
        <v>35</v>
      </c>
      <c r="U9" s="101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75" x14ac:dyDescent="0.3">
      <c r="A10" s="5"/>
      <c r="B10" s="5"/>
      <c r="C10" s="86"/>
      <c r="D10" s="67" t="s">
        <v>1</v>
      </c>
      <c r="E10" s="68" t="s">
        <v>217</v>
      </c>
      <c r="F10" s="214" t="s">
        <v>182</v>
      </c>
      <c r="G10" s="5"/>
      <c r="H10" s="69" t="s">
        <v>2</v>
      </c>
      <c r="I10" s="70"/>
      <c r="J10" s="217" t="s">
        <v>182</v>
      </c>
      <c r="K10" s="5"/>
      <c r="L10" s="5"/>
      <c r="M10" s="67" t="s">
        <v>75</v>
      </c>
      <c r="N10" s="179">
        <v>0.5</v>
      </c>
      <c r="O10" s="179"/>
      <c r="P10" s="180"/>
      <c r="Q10" s="181"/>
      <c r="R10" s="5" t="s">
        <v>198</v>
      </c>
      <c r="S10" s="140">
        <v>888</v>
      </c>
      <c r="T10" s="141" t="s">
        <v>175</v>
      </c>
      <c r="U10" s="102">
        <v>1</v>
      </c>
      <c r="V10" s="84"/>
      <c r="W10" s="138">
        <v>11</v>
      </c>
      <c r="X10" s="83">
        <v>888</v>
      </c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8.75" x14ac:dyDescent="0.3">
      <c r="A11" s="5"/>
      <c r="B11" s="5"/>
      <c r="C11" s="86"/>
      <c r="D11" s="69" t="s">
        <v>3</v>
      </c>
      <c r="E11" s="70">
        <v>100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 t="s">
        <v>12</v>
      </c>
      <c r="O11" s="125"/>
      <c r="P11" s="79"/>
      <c r="Q11" s="127"/>
      <c r="R11" s="5" t="s">
        <v>192</v>
      </c>
      <c r="S11" s="103">
        <v>888</v>
      </c>
      <c r="T11" s="104" t="s">
        <v>176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75" x14ac:dyDescent="0.3">
      <c r="A12" s="5"/>
      <c r="B12" s="5"/>
      <c r="C12" s="86"/>
      <c r="D12" s="69" t="s">
        <v>42</v>
      </c>
      <c r="E12" s="26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76" t="s">
        <v>77</v>
      </c>
      <c r="N12" s="247" t="s">
        <v>177</v>
      </c>
      <c r="O12" s="125"/>
      <c r="P12" s="79"/>
      <c r="Q12" s="127"/>
      <c r="R12" s="5"/>
      <c r="S12" s="103">
        <v>888</v>
      </c>
      <c r="T12" s="125" t="s">
        <v>177</v>
      </c>
      <c r="U12" s="127">
        <v>1</v>
      </c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75" x14ac:dyDescent="0.3">
      <c r="A13" s="5"/>
      <c r="B13" s="5"/>
      <c r="C13" s="86"/>
      <c r="D13" s="69" t="s">
        <v>56</v>
      </c>
      <c r="E13" s="70"/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76"/>
      <c r="N13" s="247" t="s">
        <v>176</v>
      </c>
      <c r="O13" s="75"/>
      <c r="P13" s="75"/>
      <c r="Q13" s="70"/>
      <c r="R13" s="5"/>
      <c r="S13" s="103">
        <v>888</v>
      </c>
      <c r="T13" s="120" t="s">
        <v>173</v>
      </c>
      <c r="U13" s="121">
        <v>1</v>
      </c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75" x14ac:dyDescent="0.3">
      <c r="A14" s="5"/>
      <c r="B14" s="5"/>
      <c r="C14" s="86"/>
      <c r="D14" s="69" t="s">
        <v>57</v>
      </c>
      <c r="E14" s="70">
        <v>20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77"/>
      <c r="N14" s="79" t="s">
        <v>175</v>
      </c>
      <c r="O14" s="79"/>
      <c r="P14" s="79"/>
      <c r="Q14" s="82"/>
      <c r="R14" s="5"/>
      <c r="S14" s="103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.5" thickBot="1" x14ac:dyDescent="0.3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5"/>
      <c r="L15" s="5"/>
      <c r="M15" s="77"/>
      <c r="N15" s="79" t="s">
        <v>173</v>
      </c>
      <c r="O15" s="79"/>
      <c r="P15" s="79"/>
      <c r="Q15" s="82"/>
      <c r="R15" s="5"/>
      <c r="S15" s="51"/>
      <c r="T15" s="104"/>
      <c r="U15" s="105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.5" thickBot="1" x14ac:dyDescent="0.3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176</v>
      </c>
      <c r="J16" s="214" t="s">
        <v>182</v>
      </c>
      <c r="K16" s="5"/>
      <c r="L16" s="5"/>
      <c r="M16" s="77"/>
      <c r="N16" s="79"/>
      <c r="O16" s="79"/>
      <c r="P16" s="79"/>
      <c r="Q16" s="82"/>
      <c r="R16" s="5"/>
      <c r="S16" s="51"/>
      <c r="T16" s="104"/>
      <c r="U16" s="105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75" x14ac:dyDescent="0.3">
      <c r="A17" s="5"/>
      <c r="B17" s="5"/>
      <c r="C17" s="86"/>
      <c r="D17" s="69" t="s">
        <v>60</v>
      </c>
      <c r="E17" s="70">
        <v>25</v>
      </c>
      <c r="F17" s="214" t="s">
        <v>186</v>
      </c>
      <c r="G17" s="5"/>
      <c r="H17" s="218"/>
      <c r="I17" s="244" t="s">
        <v>177</v>
      </c>
      <c r="J17" s="214" t="s">
        <v>182</v>
      </c>
      <c r="K17" s="5"/>
      <c r="L17" s="5"/>
      <c r="M17" s="77"/>
      <c r="N17" s="79"/>
      <c r="O17" s="79"/>
      <c r="P17" s="79"/>
      <c r="Q17" s="82"/>
      <c r="R17" s="5"/>
      <c r="S17" s="51"/>
      <c r="T17" s="125"/>
      <c r="U17" s="127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75" x14ac:dyDescent="0.3">
      <c r="A18" s="5"/>
      <c r="B18" s="5"/>
      <c r="C18" s="86"/>
      <c r="D18" s="71" t="s">
        <v>61</v>
      </c>
      <c r="E18" s="70">
        <v>25</v>
      </c>
      <c r="F18" s="214" t="s">
        <v>186</v>
      </c>
      <c r="G18" s="5"/>
      <c r="H18" s="77"/>
      <c r="I18" s="244" t="s">
        <v>175</v>
      </c>
      <c r="J18" s="214" t="s">
        <v>182</v>
      </c>
      <c r="K18" s="5"/>
      <c r="L18" s="5"/>
      <c r="M18" s="77"/>
      <c r="N18" s="79"/>
      <c r="O18" s="79"/>
      <c r="P18" s="79"/>
      <c r="Q18" s="82"/>
      <c r="R18" s="5"/>
      <c r="S18" s="51"/>
      <c r="T18" s="120"/>
      <c r="U18" s="121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75" x14ac:dyDescent="0.3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244" t="s">
        <v>173</v>
      </c>
      <c r="J19" s="214" t="s">
        <v>182</v>
      </c>
      <c r="K19" s="5"/>
      <c r="L19" s="5"/>
      <c r="M19" s="77"/>
      <c r="N19" s="79"/>
      <c r="O19" s="79"/>
      <c r="P19" s="79"/>
      <c r="Q19" s="82"/>
      <c r="R19" s="5"/>
      <c r="S19" s="51"/>
      <c r="T19" s="75"/>
      <c r="U19" s="3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75" x14ac:dyDescent="0.3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5"/>
      <c r="L20" s="5"/>
      <c r="M20" s="110"/>
      <c r="N20" s="79"/>
      <c r="O20" s="79"/>
      <c r="P20" s="79"/>
      <c r="Q20" s="82"/>
      <c r="R20" s="5"/>
      <c r="S20" s="51"/>
      <c r="T20" s="104"/>
      <c r="U20" s="105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75" x14ac:dyDescent="0.3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110"/>
      <c r="N21" s="79"/>
      <c r="O21" s="79"/>
      <c r="P21" s="79"/>
      <c r="Q21" s="82"/>
      <c r="R21" s="5"/>
      <c r="S21" s="51"/>
      <c r="T21" s="104"/>
      <c r="U21" s="105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75" x14ac:dyDescent="0.3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110"/>
      <c r="N22" s="79"/>
      <c r="O22" s="79"/>
      <c r="P22" s="79"/>
      <c r="Q22" s="82"/>
      <c r="R22" s="5"/>
      <c r="S22" s="51"/>
      <c r="T22" s="125"/>
      <c r="U22" s="127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75" x14ac:dyDescent="0.3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110"/>
      <c r="N23" s="79"/>
      <c r="O23" s="79"/>
      <c r="P23" s="79"/>
      <c r="Q23" s="82"/>
      <c r="R23" s="5"/>
      <c r="S23" s="51"/>
      <c r="T23" s="120"/>
      <c r="U23" s="121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75" x14ac:dyDescent="0.3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110"/>
      <c r="N24" s="79"/>
      <c r="O24" s="79"/>
      <c r="P24" s="79"/>
      <c r="Q24" s="82"/>
      <c r="R24" s="5"/>
      <c r="S24" s="51"/>
      <c r="T24" s="75"/>
      <c r="U24" s="3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75" x14ac:dyDescent="0.3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110"/>
      <c r="N25" s="79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.5" thickBot="1" x14ac:dyDescent="0.3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110"/>
      <c r="N26" s="79"/>
      <c r="O26" s="79"/>
      <c r="P26" s="79"/>
      <c r="Q26" s="82"/>
      <c r="R26" s="5"/>
      <c r="S26" s="219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.5" thickBot="1" x14ac:dyDescent="0.3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246"/>
      <c r="J27" s="215" t="s">
        <v>182</v>
      </c>
      <c r="K27" s="5"/>
      <c r="L27" s="5"/>
      <c r="M27" s="111"/>
      <c r="N27" s="80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2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2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2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2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2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2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2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2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2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2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2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2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2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2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2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2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2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2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2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75" x14ac:dyDescent="0.25">
      <c r="A47" s="5"/>
      <c r="B47" s="5"/>
      <c r="C47" s="86"/>
      <c r="D47" s="325"/>
      <c r="E47" s="325"/>
      <c r="F47" s="325"/>
      <c r="G47" s="325"/>
      <c r="H47" s="325"/>
      <c r="I47" s="325"/>
      <c r="J47" s="325"/>
      <c r="K47" s="325"/>
      <c r="L47" s="32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75" x14ac:dyDescent="0.2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75" x14ac:dyDescent="0.2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75" x14ac:dyDescent="0.2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75" x14ac:dyDescent="0.2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75" x14ac:dyDescent="0.2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75" x14ac:dyDescent="0.2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75" x14ac:dyDescent="0.2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2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2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2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2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2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2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2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2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2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2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2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2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2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2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.75" thickBot="1" x14ac:dyDescent="0.3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2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250828D4-67AE-4114-86E0-EE5B4F37CA78}">
          <x14:formula1>
            <xm:f>Systemblatt!$E$5:$E$38</xm:f>
          </x14:formula1>
          <xm:sqref>AE10:AE27 AC10:AC27 N12:Q12 I16:I27 N14:Q27 T10:T25 T27 N13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03BAF7CB-441A-4B97-AD91-0B643B31DD16}">
          <x14:formula1>
            <xm:f>Systemblatt!$E$5:$E$11</xm:f>
          </x14:formula1>
          <xm:sqref>K16:K17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A4" zoomScale="75" zoomScaleNormal="47" workbookViewId="0">
      <selection activeCell="U22" sqref="U22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20.1406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2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2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2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25">
      <c r="A6" s="5"/>
      <c r="B6" s="5"/>
      <c r="C6" s="86"/>
      <c r="D6" s="326"/>
      <c r="E6" s="326"/>
      <c r="F6" s="5"/>
      <c r="G6" s="5"/>
      <c r="H6" s="326"/>
      <c r="I6" s="326"/>
      <c r="J6" s="15"/>
      <c r="K6" s="15"/>
      <c r="L6" s="5"/>
      <c r="M6" s="326"/>
      <c r="N6" s="326"/>
      <c r="O6" s="326"/>
      <c r="P6" s="326"/>
      <c r="Q6" s="5"/>
      <c r="R6" s="5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5"/>
      <c r="AH6" s="5"/>
      <c r="AI6" s="87"/>
      <c r="AJ6" s="5"/>
    </row>
    <row r="7" spans="1:36" ht="15.75" thickBot="1" x14ac:dyDescent="0.3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4">
      <c r="A8" s="5"/>
      <c r="B8" s="5"/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5"/>
      <c r="AH8" s="5"/>
      <c r="AI8" s="87"/>
      <c r="AJ8" s="5"/>
    </row>
    <row r="9" spans="1:36" ht="21.75" thickBot="1" x14ac:dyDescent="0.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75" x14ac:dyDescent="0.3">
      <c r="A10" s="5"/>
      <c r="B10" s="5"/>
      <c r="C10" s="86"/>
      <c r="D10" s="67" t="s">
        <v>1</v>
      </c>
      <c r="E10" s="68" t="s">
        <v>219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/>
      <c r="P10" s="180"/>
      <c r="Q10" s="181"/>
      <c r="R10" s="5"/>
      <c r="S10" s="51">
        <v>220</v>
      </c>
      <c r="T10" s="104" t="s">
        <v>175</v>
      </c>
      <c r="U10" s="105">
        <v>1</v>
      </c>
      <c r="V10" s="84"/>
      <c r="W10" s="138"/>
      <c r="X10" s="83">
        <v>220</v>
      </c>
      <c r="Y10" s="139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8.75" x14ac:dyDescent="0.3">
      <c r="A11" s="5"/>
      <c r="B11" s="5"/>
      <c r="C11" s="86"/>
      <c r="D11" s="69" t="s">
        <v>3</v>
      </c>
      <c r="E11" s="70">
        <v>999</v>
      </c>
      <c r="F11" s="214" t="s">
        <v>182</v>
      </c>
      <c r="G11" s="5"/>
      <c r="H11" s="69" t="s">
        <v>67</v>
      </c>
      <c r="I11" s="105">
        <v>1.0000000000000001E-9</v>
      </c>
      <c r="J11" s="214" t="s">
        <v>191</v>
      </c>
      <c r="K11" s="5"/>
      <c r="L11" s="5"/>
      <c r="M11" s="76" t="s">
        <v>76</v>
      </c>
      <c r="N11" s="125"/>
      <c r="O11" s="125"/>
      <c r="P11" s="79"/>
      <c r="Q11" s="127"/>
      <c r="R11" s="5"/>
      <c r="S11" s="51">
        <v>220</v>
      </c>
      <c r="T11" s="104" t="s">
        <v>176</v>
      </c>
      <c r="U11" s="105">
        <v>1</v>
      </c>
      <c r="V11" s="84"/>
      <c r="W11" s="109"/>
      <c r="X11" s="75">
        <v>230</v>
      </c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75" x14ac:dyDescent="0.3">
      <c r="A12" s="5"/>
      <c r="B12" s="5"/>
      <c r="C12" s="86"/>
      <c r="D12" s="69" t="s">
        <v>42</v>
      </c>
      <c r="E12" s="262"/>
      <c r="F12" s="214" t="s">
        <v>182</v>
      </c>
      <c r="G12" s="5"/>
      <c r="H12" s="69" t="s">
        <v>68</v>
      </c>
      <c r="I12" s="105">
        <v>1</v>
      </c>
      <c r="J12" s="214" t="str">
        <f>J15</f>
        <v>t/h</v>
      </c>
      <c r="K12" s="5"/>
      <c r="L12" s="5"/>
      <c r="M12" s="76" t="s">
        <v>77</v>
      </c>
      <c r="N12" s="125"/>
      <c r="O12" s="125"/>
      <c r="P12" s="79"/>
      <c r="Q12" s="127"/>
      <c r="R12" s="5"/>
      <c r="S12" s="109">
        <v>220</v>
      </c>
      <c r="T12" s="125" t="s">
        <v>177</v>
      </c>
      <c r="U12" s="127">
        <v>1</v>
      </c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75" x14ac:dyDescent="0.3">
      <c r="A13" s="5"/>
      <c r="B13" s="5"/>
      <c r="C13" s="86"/>
      <c r="D13" s="69" t="s">
        <v>56</v>
      </c>
      <c r="E13" s="70" t="s">
        <v>218</v>
      </c>
      <c r="F13" s="214" t="s">
        <v>182</v>
      </c>
      <c r="G13" s="5"/>
      <c r="H13" s="69" t="s">
        <v>69</v>
      </c>
      <c r="I13" s="105">
        <v>1</v>
      </c>
      <c r="J13" s="214" t="s">
        <v>182</v>
      </c>
      <c r="K13" s="5"/>
      <c r="L13" s="5"/>
      <c r="M13" s="76" t="s">
        <v>195</v>
      </c>
      <c r="N13" s="75"/>
      <c r="O13" s="75"/>
      <c r="P13" s="75"/>
      <c r="Q13" s="70"/>
      <c r="R13" s="5"/>
      <c r="S13" s="109">
        <v>220</v>
      </c>
      <c r="T13" s="120" t="s">
        <v>173</v>
      </c>
      <c r="U13" s="121">
        <v>1</v>
      </c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75" x14ac:dyDescent="0.3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77"/>
      <c r="N14" s="79"/>
      <c r="O14" s="79"/>
      <c r="P14" s="79"/>
      <c r="Q14" s="82"/>
      <c r="R14" s="5"/>
      <c r="S14" s="51">
        <v>230</v>
      </c>
      <c r="T14" s="75" t="s">
        <v>175</v>
      </c>
      <c r="U14" s="30">
        <v>1</v>
      </c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8.75" x14ac:dyDescent="0.3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18" t="s">
        <v>71</v>
      </c>
      <c r="I15" s="70" t="s">
        <v>12</v>
      </c>
      <c r="J15" s="214" t="s">
        <v>192</v>
      </c>
      <c r="K15" s="5"/>
      <c r="L15" s="5"/>
      <c r="M15" s="77"/>
      <c r="N15" s="79"/>
      <c r="O15" s="79"/>
      <c r="P15" s="79"/>
      <c r="Q15" s="82"/>
      <c r="R15" s="5"/>
      <c r="S15" s="51">
        <v>230</v>
      </c>
      <c r="T15" s="75" t="s">
        <v>176</v>
      </c>
      <c r="U15" s="30">
        <v>1</v>
      </c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8.75" x14ac:dyDescent="0.3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76" t="s">
        <v>55</v>
      </c>
      <c r="I16" s="70" t="s">
        <v>177</v>
      </c>
      <c r="J16" s="214" t="s">
        <v>182</v>
      </c>
      <c r="K16" s="5"/>
      <c r="L16" s="5"/>
      <c r="M16" s="77"/>
      <c r="N16" s="79"/>
      <c r="O16" s="79"/>
      <c r="P16" s="79"/>
      <c r="Q16" s="82"/>
      <c r="R16" s="5"/>
      <c r="S16" s="109">
        <v>230</v>
      </c>
      <c r="T16" s="75" t="s">
        <v>177</v>
      </c>
      <c r="U16" s="70">
        <v>1</v>
      </c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75" x14ac:dyDescent="0.3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218"/>
      <c r="I17" s="70" t="s">
        <v>175</v>
      </c>
      <c r="J17" s="214" t="s">
        <v>182</v>
      </c>
      <c r="K17" s="5"/>
      <c r="L17" s="5"/>
      <c r="M17" s="77"/>
      <c r="N17" s="79"/>
      <c r="O17" s="79"/>
      <c r="P17" s="79"/>
      <c r="Q17" s="82"/>
      <c r="R17" s="5"/>
      <c r="S17" s="109">
        <v>230</v>
      </c>
      <c r="T17" s="75" t="s">
        <v>173</v>
      </c>
      <c r="U17" s="70">
        <v>1</v>
      </c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75" x14ac:dyDescent="0.3">
      <c r="A18" s="5"/>
      <c r="B18" s="5"/>
      <c r="C18" s="86"/>
      <c r="D18" s="71" t="s">
        <v>61</v>
      </c>
      <c r="E18" s="70">
        <v>25</v>
      </c>
      <c r="F18" s="214" t="s">
        <v>197</v>
      </c>
      <c r="G18" s="5"/>
      <c r="H18" s="77"/>
      <c r="I18" s="70" t="s">
        <v>176</v>
      </c>
      <c r="J18" s="214"/>
      <c r="K18" s="5"/>
      <c r="L18" s="5"/>
      <c r="M18" s="77"/>
      <c r="N18" s="79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75" x14ac:dyDescent="0.3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70" t="s">
        <v>173</v>
      </c>
      <c r="J19" s="214"/>
      <c r="K19" s="5"/>
      <c r="L19" s="5"/>
      <c r="M19" s="77"/>
      <c r="N19" s="79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75" x14ac:dyDescent="0.3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70"/>
      <c r="J20" s="214"/>
      <c r="K20" s="5"/>
      <c r="L20" s="5"/>
      <c r="M20" s="110"/>
      <c r="N20" s="79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75" x14ac:dyDescent="0.3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5"/>
      <c r="L21" s="5"/>
      <c r="M21" s="110"/>
      <c r="N21" s="79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75" x14ac:dyDescent="0.3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5"/>
      <c r="L22" s="5"/>
      <c r="M22" s="110"/>
      <c r="N22" s="79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75" x14ac:dyDescent="0.3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5"/>
      <c r="L23" s="5"/>
      <c r="M23" s="110"/>
      <c r="N23" s="79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75" x14ac:dyDescent="0.3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82"/>
      <c r="J24" s="176"/>
      <c r="K24" s="11"/>
      <c r="L24" s="11"/>
      <c r="M24" s="110"/>
      <c r="N24" s="79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75" x14ac:dyDescent="0.3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82"/>
      <c r="J25" s="176"/>
      <c r="K25" s="11"/>
      <c r="L25" s="11"/>
      <c r="M25" s="110"/>
      <c r="N25" s="79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.5" thickBot="1" x14ac:dyDescent="0.3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82"/>
      <c r="J26" s="214"/>
      <c r="K26" s="5"/>
      <c r="L26" s="5"/>
      <c r="M26" s="110"/>
      <c r="N26" s="79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.5" thickBot="1" x14ac:dyDescent="0.3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5"/>
      <c r="L27" s="5"/>
      <c r="M27" s="111"/>
      <c r="N27" s="80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2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2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2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2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2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2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2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2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2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2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2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2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2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2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2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2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2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2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2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75" x14ac:dyDescent="0.25">
      <c r="A47" s="5"/>
      <c r="B47" s="5"/>
      <c r="C47" s="86"/>
      <c r="D47" s="325"/>
      <c r="E47" s="325"/>
      <c r="F47" s="325"/>
      <c r="G47" s="325"/>
      <c r="H47" s="325"/>
      <c r="I47" s="325"/>
      <c r="J47" s="325"/>
      <c r="K47" s="325"/>
      <c r="L47" s="32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75" x14ac:dyDescent="0.2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75" x14ac:dyDescent="0.2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75" x14ac:dyDescent="0.2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75" x14ac:dyDescent="0.2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75" x14ac:dyDescent="0.2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75" x14ac:dyDescent="0.2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75" x14ac:dyDescent="0.2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2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2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2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2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2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2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2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2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2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2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2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2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2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2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.75" thickBot="1" x14ac:dyDescent="0.3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2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5505360F-50B2-433C-BF30-2D43A8A8021A}">
          <x14:formula1>
            <xm:f>Systemblatt!$E$5:$E$38</xm:f>
          </x14:formula1>
          <xm:sqref>N14:Q27 AE10:AE27 AC10:AC27 T10:T27 N12:Q12 I16:I27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38276A7B-6382-48C6-9E88-16574325911D}">
          <x14:formula1>
            <xm:f>Systemblatt!$E$5:$E$11</xm:f>
          </x14:formula1>
          <xm:sqref>K16:K17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topLeftCell="A7" zoomScale="75" zoomScaleNormal="47" workbookViewId="0">
      <selection activeCell="R41" sqref="R41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7" style="3" bestFit="1" customWidth="1"/>
    <col min="14" max="14" width="15.28515625" style="3" customWidth="1"/>
    <col min="15" max="16" width="27.2851562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2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2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2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25">
      <c r="A6" s="5"/>
      <c r="B6" s="5"/>
      <c r="C6" s="86"/>
      <c r="D6" s="326"/>
      <c r="E6" s="326"/>
      <c r="F6" s="5"/>
      <c r="G6" s="5"/>
      <c r="H6" s="326"/>
      <c r="I6" s="326"/>
      <c r="J6" s="15"/>
      <c r="K6" s="15"/>
      <c r="L6" s="5"/>
      <c r="M6" s="326"/>
      <c r="N6" s="326"/>
      <c r="O6" s="326"/>
      <c r="P6" s="326"/>
      <c r="Q6" s="5"/>
      <c r="R6" s="5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5"/>
      <c r="AH6" s="5"/>
      <c r="AI6" s="87"/>
      <c r="AJ6" s="5"/>
    </row>
    <row r="7" spans="1:36" ht="15.75" thickBot="1" x14ac:dyDescent="0.3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4">
      <c r="A8" s="5"/>
      <c r="B8" s="5"/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5"/>
      <c r="AH8" s="5"/>
      <c r="AI8" s="87"/>
      <c r="AJ8" s="5"/>
    </row>
    <row r="9" spans="1:36" ht="21.75" thickBot="1" x14ac:dyDescent="0.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75" x14ac:dyDescent="0.3">
      <c r="A10" s="5"/>
      <c r="B10" s="5"/>
      <c r="C10" s="86"/>
      <c r="D10" s="67" t="s">
        <v>1</v>
      </c>
      <c r="E10" s="68" t="s">
        <v>216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251">
        <v>10</v>
      </c>
      <c r="O10" s="251"/>
      <c r="P10" s="180"/>
      <c r="Q10" s="181"/>
      <c r="R10" s="5"/>
      <c r="S10" s="103">
        <v>320</v>
      </c>
      <c r="T10" s="104" t="s">
        <v>173</v>
      </c>
      <c r="U10" s="105">
        <v>0.95</v>
      </c>
      <c r="V10" s="84"/>
      <c r="W10" s="138">
        <v>44</v>
      </c>
      <c r="X10" s="83">
        <v>320</v>
      </c>
      <c r="Y10" s="139"/>
      <c r="Z10" s="137"/>
      <c r="AA10" s="15"/>
      <c r="AB10" s="136" t="s">
        <v>12</v>
      </c>
      <c r="AC10" s="83" t="s">
        <v>176</v>
      </c>
      <c r="AD10" s="139" t="s">
        <v>12</v>
      </c>
      <c r="AE10" s="83" t="s">
        <v>234</v>
      </c>
      <c r="AF10" s="137">
        <v>10</v>
      </c>
      <c r="AG10" s="5"/>
      <c r="AH10" s="5"/>
      <c r="AI10" s="87"/>
      <c r="AJ10" s="5"/>
    </row>
    <row r="11" spans="1:36" ht="19.5" thickBot="1" x14ac:dyDescent="0.35">
      <c r="A11" s="5"/>
      <c r="B11" s="5"/>
      <c r="C11" s="86"/>
      <c r="D11" s="69" t="s">
        <v>3</v>
      </c>
      <c r="E11" s="70">
        <v>220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252" t="s">
        <v>12</v>
      </c>
      <c r="O11" s="252"/>
      <c r="P11" s="79"/>
      <c r="Q11" s="127"/>
      <c r="R11" s="5"/>
      <c r="S11" s="103">
        <v>320</v>
      </c>
      <c r="T11" s="104" t="s">
        <v>234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 t="s">
        <v>177</v>
      </c>
      <c r="AD11" s="106"/>
      <c r="AE11" s="75"/>
      <c r="AF11" s="108"/>
      <c r="AG11" s="5"/>
      <c r="AH11" s="5"/>
      <c r="AI11" s="87"/>
      <c r="AJ11" s="5"/>
    </row>
    <row r="12" spans="1:36" ht="18.75" x14ac:dyDescent="0.3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248" t="s">
        <v>77</v>
      </c>
      <c r="N12" s="251" t="s">
        <v>175</v>
      </c>
      <c r="O12" s="251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 t="s">
        <v>173</v>
      </c>
      <c r="AD12" s="44"/>
      <c r="AE12" s="75"/>
      <c r="AF12" s="108"/>
      <c r="AG12" s="5"/>
      <c r="AH12" s="5"/>
      <c r="AI12" s="87"/>
      <c r="AJ12" s="5"/>
    </row>
    <row r="13" spans="1:36" ht="18.75" x14ac:dyDescent="0.3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253" t="s">
        <v>176</v>
      </c>
      <c r="O13" s="244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 t="s">
        <v>175</v>
      </c>
      <c r="AD13" s="44"/>
      <c r="AE13" s="75"/>
      <c r="AF13" s="108"/>
      <c r="AG13" s="5"/>
      <c r="AH13" s="5"/>
      <c r="AI13" s="87"/>
      <c r="AJ13" s="5"/>
    </row>
    <row r="14" spans="1:36" ht="18.75" x14ac:dyDescent="0.3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253" t="s">
        <v>177</v>
      </c>
      <c r="O14" s="245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.5" thickBot="1" x14ac:dyDescent="0.3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18" t="s">
        <v>71</v>
      </c>
      <c r="I15" s="70" t="s">
        <v>12</v>
      </c>
      <c r="J15" s="214" t="s">
        <v>192</v>
      </c>
      <c r="K15" s="5"/>
      <c r="L15" s="5"/>
      <c r="M15" s="250"/>
      <c r="N15" s="244" t="s">
        <v>173</v>
      </c>
      <c r="O15" s="245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.5" thickBot="1" x14ac:dyDescent="0.3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5"/>
      <c r="L16" s="5"/>
      <c r="M16" s="250"/>
      <c r="N16" s="245"/>
      <c r="O16" s="245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75" x14ac:dyDescent="0.3">
      <c r="A17" s="5"/>
      <c r="B17" s="5"/>
      <c r="C17" s="86"/>
      <c r="D17" s="69" t="s">
        <v>60</v>
      </c>
      <c r="E17" s="70">
        <v>25</v>
      </c>
      <c r="F17" s="214" t="s">
        <v>186</v>
      </c>
      <c r="G17" s="5"/>
      <c r="H17" s="218"/>
      <c r="I17" s="70" t="s">
        <v>173</v>
      </c>
      <c r="J17" s="214" t="s">
        <v>182</v>
      </c>
      <c r="K17" s="5"/>
      <c r="L17" s="5"/>
      <c r="M17" s="250"/>
      <c r="N17" s="245"/>
      <c r="O17" s="245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75" x14ac:dyDescent="0.3">
      <c r="A18" s="5"/>
      <c r="B18" s="5"/>
      <c r="C18" s="86"/>
      <c r="D18" s="71" t="s">
        <v>61</v>
      </c>
      <c r="E18" s="70">
        <v>25</v>
      </c>
      <c r="F18" s="214" t="s">
        <v>186</v>
      </c>
      <c r="G18" s="5"/>
      <c r="H18" s="77"/>
      <c r="I18" s="70" t="s">
        <v>175</v>
      </c>
      <c r="J18" s="214"/>
      <c r="K18" s="5"/>
      <c r="L18" s="5"/>
      <c r="M18" s="250"/>
      <c r="N18" s="245"/>
      <c r="O18" s="245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75" x14ac:dyDescent="0.3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5"/>
      <c r="L19" s="5"/>
      <c r="M19" s="250"/>
      <c r="N19" s="245"/>
      <c r="O19" s="245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75" x14ac:dyDescent="0.3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5"/>
      <c r="L20" s="5"/>
      <c r="M20" s="245"/>
      <c r="N20" s="245"/>
      <c r="O20" s="245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75" x14ac:dyDescent="0.3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5"/>
      <c r="L21" s="5"/>
      <c r="M21" s="245"/>
      <c r="N21" s="245"/>
      <c r="O21" s="245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75" x14ac:dyDescent="0.3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5"/>
      <c r="L22" s="5"/>
      <c r="M22" s="245"/>
      <c r="N22" s="245"/>
      <c r="O22" s="245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75" x14ac:dyDescent="0.3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5"/>
      <c r="L23" s="5"/>
      <c r="M23" s="245"/>
      <c r="N23" s="245"/>
      <c r="O23" s="245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75" x14ac:dyDescent="0.3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82"/>
      <c r="J24" s="176"/>
      <c r="K24" s="11"/>
      <c r="L24" s="11"/>
      <c r="M24" s="245"/>
      <c r="N24" s="245"/>
      <c r="O24" s="245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75" x14ac:dyDescent="0.3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82"/>
      <c r="J25" s="176"/>
      <c r="K25" s="11"/>
      <c r="L25" s="11"/>
      <c r="M25" s="245"/>
      <c r="N25" s="245"/>
      <c r="O25" s="245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.5" thickBot="1" x14ac:dyDescent="0.3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82"/>
      <c r="J26" s="214"/>
      <c r="K26" s="5"/>
      <c r="L26" s="5"/>
      <c r="M26" s="245"/>
      <c r="N26" s="245"/>
      <c r="O26" s="245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.5" thickBot="1" x14ac:dyDescent="0.35">
      <c r="A27" s="5"/>
      <c r="B27" s="5"/>
      <c r="C27" s="93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5"/>
      <c r="L27" s="5"/>
      <c r="M27" s="246"/>
      <c r="N27" s="246"/>
      <c r="O27" s="246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2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2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2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2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2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2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2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2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2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2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2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2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2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2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2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2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2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2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2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75" x14ac:dyDescent="0.25">
      <c r="A47" s="5"/>
      <c r="B47" s="5"/>
      <c r="C47" s="86"/>
      <c r="D47" s="325"/>
      <c r="E47" s="325"/>
      <c r="F47" s="325"/>
      <c r="G47" s="325"/>
      <c r="H47" s="325"/>
      <c r="I47" s="325"/>
      <c r="J47" s="325"/>
      <c r="K47" s="325"/>
      <c r="L47" s="32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75" x14ac:dyDescent="0.2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75" x14ac:dyDescent="0.2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75" x14ac:dyDescent="0.2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75" x14ac:dyDescent="0.2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75" x14ac:dyDescent="0.2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75" x14ac:dyDescent="0.2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75" x14ac:dyDescent="0.2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2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2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2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2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2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2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2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2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2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2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2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2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2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2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.75" thickBot="1" x14ac:dyDescent="0.3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2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96B7106C-37DA-40B3-B0E3-B501A996D50A}">
          <x14:formula1>
            <xm:f>Systemblatt!$E$5:$E$38</xm:f>
          </x14:formula1>
          <xm:sqref>I16:I27 AE10:AE27 AC10:AC27 T10:T27 N12:Q12 O14:Q27 N13:N27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8303D604-CD4F-41ED-A7DF-DE57D81A386C}">
          <x14:formula1>
            <xm:f>Systemblatt!$E$5:$E$11</xm:f>
          </x14:formula1>
          <xm:sqref>K16:K17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7E887-721A-44BB-B338-0C043AAD7978}">
  <sheetPr codeName="Tabelle45"/>
  <dimension ref="A1:AJ144"/>
  <sheetViews>
    <sheetView zoomScale="75" zoomScaleNormal="47" workbookViewId="0">
      <selection activeCell="W33" sqref="W3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2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2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2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25">
      <c r="A6" s="5"/>
      <c r="B6" s="5"/>
      <c r="C6" s="86"/>
      <c r="D6" s="326"/>
      <c r="E6" s="326"/>
      <c r="F6" s="5"/>
      <c r="G6" s="5"/>
      <c r="H6" s="326"/>
      <c r="I6" s="326"/>
      <c r="J6" s="15"/>
      <c r="K6" s="15"/>
      <c r="L6" s="5"/>
      <c r="M6" s="326"/>
      <c r="N6" s="326"/>
      <c r="O6" s="326"/>
      <c r="P6" s="326"/>
      <c r="Q6" s="5"/>
      <c r="R6" s="5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5"/>
      <c r="AH6" s="5"/>
      <c r="AI6" s="87"/>
      <c r="AJ6" s="5"/>
    </row>
    <row r="7" spans="1:36" ht="15.75" thickBot="1" x14ac:dyDescent="0.3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4">
      <c r="A8" s="5"/>
      <c r="B8" s="5"/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5"/>
      <c r="AH8" s="5"/>
      <c r="AI8" s="87"/>
      <c r="AJ8" s="5"/>
    </row>
    <row r="9" spans="1:36" ht="21.75" thickBot="1" x14ac:dyDescent="0.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75" x14ac:dyDescent="0.3">
      <c r="A10" s="5"/>
      <c r="B10" s="5"/>
      <c r="C10" s="86"/>
      <c r="D10" s="67" t="s">
        <v>1</v>
      </c>
      <c r="E10" s="68" t="s">
        <v>235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>
        <v>5</v>
      </c>
      <c r="P10" s="180"/>
      <c r="Q10" s="181"/>
      <c r="R10" s="5" t="s">
        <v>198</v>
      </c>
      <c r="S10" s="103">
        <v>3000</v>
      </c>
      <c r="T10" s="104" t="s">
        <v>173</v>
      </c>
      <c r="U10" s="105">
        <v>0.95</v>
      </c>
      <c r="V10" s="84"/>
      <c r="W10" s="138"/>
      <c r="X10" s="83">
        <v>3000</v>
      </c>
      <c r="Y10" s="139">
        <v>220</v>
      </c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.5" thickBot="1" x14ac:dyDescent="0.35">
      <c r="A11" s="5"/>
      <c r="B11" s="5"/>
      <c r="C11" s="86"/>
      <c r="D11" s="69" t="s">
        <v>3</v>
      </c>
      <c r="E11" s="70">
        <v>320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/>
      <c r="O11" s="125" t="s">
        <v>12</v>
      </c>
      <c r="P11" s="79"/>
      <c r="Q11" s="127"/>
      <c r="R11" s="5" t="s">
        <v>192</v>
      </c>
      <c r="S11" s="103">
        <v>220</v>
      </c>
      <c r="T11" s="104" t="s">
        <v>234</v>
      </c>
      <c r="U11" s="105">
        <v>0.85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75" x14ac:dyDescent="0.3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265">
        <v>10</v>
      </c>
      <c r="J12" s="214" t="str">
        <f>J15</f>
        <v>t/h</v>
      </c>
      <c r="K12" s="5"/>
      <c r="L12" s="5"/>
      <c r="M12" s="248" t="s">
        <v>77</v>
      </c>
      <c r="N12" s="256"/>
      <c r="O12" s="179" t="s">
        <v>234</v>
      </c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75" x14ac:dyDescent="0.3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75" x14ac:dyDescent="0.3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.5" thickBot="1" x14ac:dyDescent="0.3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.5" thickBot="1" x14ac:dyDescent="0.3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234</v>
      </c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75" x14ac:dyDescent="0.3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76"/>
      <c r="I17" s="244" t="s">
        <v>173</v>
      </c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75" x14ac:dyDescent="0.3">
      <c r="A18" s="5"/>
      <c r="B18" s="5"/>
      <c r="C18" s="86"/>
      <c r="D18" s="71" t="s">
        <v>61</v>
      </c>
      <c r="E18" s="70">
        <v>60</v>
      </c>
      <c r="F18" s="214" t="s">
        <v>197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75" x14ac:dyDescent="0.3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75" x14ac:dyDescent="0.3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75" x14ac:dyDescent="0.3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75" x14ac:dyDescent="0.3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75" x14ac:dyDescent="0.3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75" x14ac:dyDescent="0.3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75" x14ac:dyDescent="0.3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.5" thickBot="1" x14ac:dyDescent="0.3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.5" thickBot="1" x14ac:dyDescent="0.3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2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2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2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2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2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2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2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2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2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2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2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2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2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2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2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2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2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2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2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75" x14ac:dyDescent="0.25">
      <c r="A47" s="5"/>
      <c r="B47" s="5"/>
      <c r="C47" s="86"/>
      <c r="D47" s="325"/>
      <c r="E47" s="325"/>
      <c r="F47" s="325"/>
      <c r="G47" s="325"/>
      <c r="H47" s="325"/>
      <c r="I47" s="325"/>
      <c r="J47" s="325"/>
      <c r="K47" s="325"/>
      <c r="L47" s="32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75" x14ac:dyDescent="0.2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75" x14ac:dyDescent="0.2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75" x14ac:dyDescent="0.2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75" x14ac:dyDescent="0.2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75" x14ac:dyDescent="0.2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75" x14ac:dyDescent="0.2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75" x14ac:dyDescent="0.2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2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2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2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2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2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2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2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2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2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2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2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2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2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2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.75" thickBot="1" x14ac:dyDescent="0.3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2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7FDB05E-6025-4323-AD47-0C28CB35F93F}">
          <x14:formula1>
            <xm:f>DataBank!$A$3:$A$11</xm:f>
          </x14:formula1>
          <xm:sqref>N11</xm:sqref>
        </x14:dataValidation>
        <x14:dataValidation type="list" allowBlank="1" showInputMessage="1" showErrorMessage="1" xr:uid="{40FE1E01-BDD8-42F4-B5D9-318FD2B20C4A}">
          <x14:formula1>
            <xm:f>Sources!$E$6:$O$6</xm:f>
          </x14:formula1>
          <xm:sqref>O13:Q13</xm:sqref>
        </x14:dataValidation>
        <x14:dataValidation type="list" allowBlank="1" showInputMessage="1" showErrorMessage="1" xr:uid="{70393C43-B48B-4B70-8AC4-C02D32383DD1}">
          <x14:formula1>
            <xm:f>DataBank!$B$2:$B$3</xm:f>
          </x14:formula1>
          <xm:sqref>J15</xm:sqref>
        </x14:dataValidation>
        <x14:dataValidation type="list" allowBlank="1" showInputMessage="1" showErrorMessage="1" xr:uid="{6D942508-FBAE-4A85-83B5-AC91BBE9E0A1}">
          <x14:formula1>
            <xm:f>Systemblatt!$E$5:$E$38</xm:f>
          </x14:formula1>
          <xm:sqref>I16:I27 AE10:AE27 AC10:AC27 T10:T27 N14:Q27 N12:Q12 N13</xm:sqref>
        </x14:dataValidation>
        <x14:dataValidation type="list" allowBlank="1" showInputMessage="1" showErrorMessage="1" xr:uid="{3FABA755-9980-44CD-8D94-7BD6FFAEC218}">
          <x14:formula1>
            <xm:f>Sources!$E$7:$O$7</xm:f>
          </x14:formula1>
          <xm:sqref>W10:W27</xm:sqref>
        </x14:dataValidation>
        <x14:dataValidation type="list" allowBlank="1" showInputMessage="1" showErrorMessage="1" xr:uid="{ABE00A58-CDB1-415A-BA0D-2CA56BC298C4}">
          <x14:formula1>
            <xm:f>DataBank!$K$17:$K$18</xm:f>
          </x14:formula1>
          <xm:sqref>E26</xm:sqref>
        </x14:dataValidation>
        <x14:dataValidation type="list" allowBlank="1" showInputMessage="1" showErrorMessage="1" xr:uid="{3E82DF60-A8D0-4414-AAF8-0FD998CDD874}">
          <x14:formula1>
            <xm:f>DataBank!$A$3:$A$10</xm:f>
          </x14:formula1>
          <xm:sqref>O11:Q11</xm:sqref>
        </x14:dataValidation>
        <x14:dataValidation type="list" allowBlank="1" showInputMessage="1" showErrorMessage="1" xr:uid="{D826664B-DE15-4F4F-A7D1-649389B8E410}">
          <x14:formula1>
            <xm:f>DataBank!$C$2:$C$7</xm:f>
          </x14:formula1>
          <xm:sqref>I15</xm:sqref>
        </x14:dataValidation>
        <x14:dataValidation type="list" allowBlank="1" showInputMessage="1" showErrorMessage="1" xr:uid="{766CC1A7-CD01-45DA-9028-50F24E5A5FDD}">
          <x14:formula1>
            <xm:f>Systemblatt!$E$5:$E$11</xm:f>
          </x14:formula1>
          <xm:sqref>K16:K17</xm:sqref>
        </x14:dataValidation>
        <x14:dataValidation type="list" allowBlank="1" showInputMessage="1" showErrorMessage="1" xr:uid="{7FEE0DEC-DC76-4753-B00F-E27F6697BB90}">
          <x14:formula1>
            <xm:f>DataBank!$A$3:$A$4</xm:f>
          </x14:formula1>
          <xm:sqref>AB10 AD10</xm:sqref>
        </x14:dataValidation>
        <x14:dataValidation type="list" allowBlank="1" showInputMessage="1" showErrorMessage="1" xr:uid="{5F945875-DABB-4E90-B8D6-91BF18DCC519}">
          <x14:formula1>
            <xm:f>DataBank!$A$3:$A$5</xm:f>
          </x14:formula1>
          <xm:sqref>K15</xm:sqref>
        </x14:dataValidation>
        <x14:dataValidation type="whole" allowBlank="1" showInputMessage="1" showErrorMessage="1" xr:uid="{35187BED-73E9-43B1-8D05-30ACB7802412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EB04D-A79F-4B3E-9A61-02713E3A348C}">
  <sheetPr codeName="Tabelle46"/>
  <dimension ref="A1:AJ144"/>
  <sheetViews>
    <sheetView zoomScale="75" zoomScaleNormal="47" workbookViewId="0">
      <selection activeCell="AE13" sqref="AE13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7" width="15.28515625" style="3" customWidth="1"/>
    <col min="18" max="18" width="18.140625" style="3" bestFit="1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2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2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2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25">
      <c r="A6" s="5"/>
      <c r="B6" s="5"/>
      <c r="C6" s="86"/>
      <c r="D6" s="326"/>
      <c r="E6" s="326"/>
      <c r="F6" s="5"/>
      <c r="G6" s="5"/>
      <c r="H6" s="326"/>
      <c r="I6" s="326"/>
      <c r="J6" s="15"/>
      <c r="K6" s="15"/>
      <c r="L6" s="5"/>
      <c r="M6" s="326"/>
      <c r="N6" s="326"/>
      <c r="O6" s="326"/>
      <c r="P6" s="326"/>
      <c r="Q6" s="5"/>
      <c r="R6" s="5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5"/>
      <c r="AH6" s="5"/>
      <c r="AI6" s="87"/>
      <c r="AJ6" s="5"/>
    </row>
    <row r="7" spans="1:36" ht="15.75" thickBot="1" x14ac:dyDescent="0.3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4">
      <c r="A8" s="5"/>
      <c r="B8" s="5"/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5"/>
      <c r="AH8" s="5"/>
      <c r="AI8" s="87"/>
      <c r="AJ8" s="5"/>
    </row>
    <row r="9" spans="1:36" ht="21.75" thickBot="1" x14ac:dyDescent="0.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75" x14ac:dyDescent="0.3">
      <c r="A10" s="5"/>
      <c r="B10" s="5"/>
      <c r="C10" s="86"/>
      <c r="D10" s="67" t="s">
        <v>1</v>
      </c>
      <c r="E10" s="68" t="s">
        <v>237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251">
        <v>7</v>
      </c>
      <c r="O10" s="179"/>
      <c r="P10" s="180"/>
      <c r="Q10" s="181"/>
      <c r="R10" s="5" t="s">
        <v>198</v>
      </c>
      <c r="S10" s="103">
        <v>330</v>
      </c>
      <c r="T10" s="104" t="s">
        <v>173</v>
      </c>
      <c r="U10" s="105">
        <v>1</v>
      </c>
      <c r="V10" s="84"/>
      <c r="W10" s="138">
        <v>44</v>
      </c>
      <c r="X10" s="83">
        <v>330</v>
      </c>
      <c r="Y10" s="139"/>
      <c r="Z10" s="137"/>
      <c r="AA10" s="15"/>
      <c r="AB10" s="136" t="s">
        <v>12</v>
      </c>
      <c r="AC10" s="83" t="s">
        <v>176</v>
      </c>
      <c r="AD10" s="139" t="s">
        <v>12</v>
      </c>
      <c r="AE10" s="83" t="s">
        <v>234</v>
      </c>
      <c r="AF10" s="137">
        <v>10</v>
      </c>
      <c r="AG10" s="5"/>
      <c r="AH10" s="5"/>
      <c r="AI10" s="87"/>
      <c r="AJ10" s="5"/>
    </row>
    <row r="11" spans="1:36" ht="19.5" thickBot="1" x14ac:dyDescent="0.35">
      <c r="A11" s="5"/>
      <c r="B11" s="5"/>
      <c r="C11" s="86"/>
      <c r="D11" s="69" t="s">
        <v>3</v>
      </c>
      <c r="E11" s="70">
        <v>230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252" t="s">
        <v>12</v>
      </c>
      <c r="O11" s="125"/>
      <c r="P11" s="79"/>
      <c r="Q11" s="127"/>
      <c r="R11" s="5" t="s">
        <v>192</v>
      </c>
      <c r="S11" s="103">
        <v>330</v>
      </c>
      <c r="T11" s="104" t="s">
        <v>234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 t="s">
        <v>177</v>
      </c>
      <c r="AD11" s="106"/>
      <c r="AE11" s="75"/>
      <c r="AF11" s="108"/>
      <c r="AG11" s="5"/>
      <c r="AH11" s="5"/>
      <c r="AI11" s="87"/>
      <c r="AJ11" s="5"/>
    </row>
    <row r="12" spans="1:36" ht="18.75" x14ac:dyDescent="0.3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248" t="s">
        <v>77</v>
      </c>
      <c r="N12" s="251" t="s">
        <v>175</v>
      </c>
      <c r="O12" s="179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 t="s">
        <v>173</v>
      </c>
      <c r="AD12" s="44"/>
      <c r="AE12" s="75"/>
      <c r="AF12" s="108"/>
      <c r="AG12" s="5"/>
      <c r="AH12" s="5"/>
      <c r="AI12" s="87"/>
      <c r="AJ12" s="5"/>
    </row>
    <row r="13" spans="1:36" ht="18.75" x14ac:dyDescent="0.3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253" t="s">
        <v>176</v>
      </c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 t="s">
        <v>175</v>
      </c>
      <c r="AD13" s="44"/>
      <c r="AE13" s="75"/>
      <c r="AF13" s="108"/>
      <c r="AG13" s="5"/>
      <c r="AH13" s="5"/>
      <c r="AI13" s="87"/>
      <c r="AJ13" s="5"/>
    </row>
    <row r="14" spans="1:36" ht="18.75" x14ac:dyDescent="0.3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253" t="s">
        <v>177</v>
      </c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.5" thickBot="1" x14ac:dyDescent="0.3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244" t="s">
        <v>173</v>
      </c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.5" thickBot="1" x14ac:dyDescent="0.3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75" x14ac:dyDescent="0.3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248"/>
      <c r="I17" s="70" t="s">
        <v>173</v>
      </c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75" x14ac:dyDescent="0.3">
      <c r="A18" s="5"/>
      <c r="B18" s="5"/>
      <c r="C18" s="86"/>
      <c r="D18" s="71" t="s">
        <v>61</v>
      </c>
      <c r="E18" s="70">
        <v>25</v>
      </c>
      <c r="F18" s="214" t="s">
        <v>197</v>
      </c>
      <c r="G18" s="5"/>
      <c r="H18" s="250"/>
      <c r="I18" s="70" t="s">
        <v>175</v>
      </c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75" x14ac:dyDescent="0.3">
      <c r="A19" s="5"/>
      <c r="B19" s="5"/>
      <c r="C19" s="86"/>
      <c r="D19" s="69" t="s">
        <v>62</v>
      </c>
      <c r="E19" s="70"/>
      <c r="F19" s="214" t="s">
        <v>197</v>
      </c>
      <c r="G19" s="5"/>
      <c r="H19" s="250"/>
      <c r="I19" s="70" t="s">
        <v>176</v>
      </c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75" x14ac:dyDescent="0.3">
      <c r="A20" s="5"/>
      <c r="B20" s="5"/>
      <c r="C20" s="86"/>
      <c r="D20" s="71" t="s">
        <v>63</v>
      </c>
      <c r="E20" s="70"/>
      <c r="F20" s="214" t="s">
        <v>197</v>
      </c>
      <c r="G20" s="5"/>
      <c r="H20" s="250"/>
      <c r="I20" s="70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75" x14ac:dyDescent="0.3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245"/>
      <c r="I21" s="70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75" x14ac:dyDescent="0.3">
      <c r="A22" s="5"/>
      <c r="B22" s="5"/>
      <c r="C22" s="86"/>
      <c r="D22" s="71" t="s">
        <v>65</v>
      </c>
      <c r="E22" s="70"/>
      <c r="F22" s="214" t="s">
        <v>182</v>
      </c>
      <c r="G22" s="5"/>
      <c r="H22" s="245"/>
      <c r="I22" s="70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75" x14ac:dyDescent="0.3">
      <c r="A23" s="5"/>
      <c r="B23" s="5"/>
      <c r="C23" s="86"/>
      <c r="D23" s="71" t="s">
        <v>66</v>
      </c>
      <c r="E23" s="70"/>
      <c r="F23" s="214" t="s">
        <v>182</v>
      </c>
      <c r="G23" s="5"/>
      <c r="H23" s="245"/>
      <c r="I23" s="82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75" x14ac:dyDescent="0.3">
      <c r="A24" s="5"/>
      <c r="B24" s="5"/>
      <c r="C24" s="93"/>
      <c r="D24" s="132" t="s">
        <v>86</v>
      </c>
      <c r="E24" s="92"/>
      <c r="F24" s="214" t="s">
        <v>182</v>
      </c>
      <c r="G24" s="11"/>
      <c r="H24" s="245"/>
      <c r="I24" s="82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75" x14ac:dyDescent="0.3">
      <c r="A25" s="5"/>
      <c r="B25" s="5"/>
      <c r="C25" s="93"/>
      <c r="D25" s="132" t="s">
        <v>87</v>
      </c>
      <c r="E25" s="92"/>
      <c r="F25" s="214" t="s">
        <v>182</v>
      </c>
      <c r="G25" s="11"/>
      <c r="H25" s="245"/>
      <c r="I25" s="82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.5" thickBot="1" x14ac:dyDescent="0.35">
      <c r="A26" s="5"/>
      <c r="B26" s="5"/>
      <c r="C26" s="93"/>
      <c r="D26" s="133" t="s">
        <v>88</v>
      </c>
      <c r="E26" s="65"/>
      <c r="F26" s="215" t="s">
        <v>182</v>
      </c>
      <c r="G26" s="5"/>
      <c r="H26" s="245"/>
      <c r="I26" s="82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.5" thickBot="1" x14ac:dyDescent="0.3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246"/>
      <c r="I27" s="81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2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2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2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2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2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2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2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2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2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2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2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2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2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2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2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2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2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2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2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75" x14ac:dyDescent="0.25">
      <c r="A47" s="5"/>
      <c r="B47" s="5"/>
      <c r="C47" s="86"/>
      <c r="D47" s="325"/>
      <c r="E47" s="325"/>
      <c r="F47" s="325"/>
      <c r="G47" s="325"/>
      <c r="H47" s="325"/>
      <c r="I47" s="325"/>
      <c r="J47" s="325"/>
      <c r="K47" s="325"/>
      <c r="L47" s="32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75" x14ac:dyDescent="0.2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75" x14ac:dyDescent="0.2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75" x14ac:dyDescent="0.2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75" x14ac:dyDescent="0.2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75" x14ac:dyDescent="0.2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75" x14ac:dyDescent="0.2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75" x14ac:dyDescent="0.2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2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2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2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2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2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2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2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2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2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2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2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2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2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2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.75" thickBot="1" x14ac:dyDescent="0.3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2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0098EB5-AE41-4C7B-AD87-033F9C59C1FE}">
          <x14:formula1>
            <xm:f>DataBank!$A$3:$A$11</xm:f>
          </x14:formula1>
          <xm:sqref>N11</xm:sqref>
        </x14:dataValidation>
        <x14:dataValidation type="list" allowBlank="1" showInputMessage="1" showErrorMessage="1" xr:uid="{35E5A50A-505A-4B7C-89CD-AC01AF1DE9E5}">
          <x14:formula1>
            <xm:f>Sources!$E$6:$O$6</xm:f>
          </x14:formula1>
          <xm:sqref>O13:Q13</xm:sqref>
        </x14:dataValidation>
        <x14:dataValidation type="list" allowBlank="1" showInputMessage="1" showErrorMessage="1" xr:uid="{64D7DD3C-F5D0-4384-92A4-4F8D2932DBB7}">
          <x14:formula1>
            <xm:f>DataBank!$B$2:$B$3</xm:f>
          </x14:formula1>
          <xm:sqref>J15</xm:sqref>
        </x14:dataValidation>
        <x14:dataValidation type="list" allowBlank="1" showInputMessage="1" showErrorMessage="1" xr:uid="{58717023-9A45-458B-A83B-5EB198048892}">
          <x14:formula1>
            <xm:f>Systemblatt!$E$5:$E$38</xm:f>
          </x14:formula1>
          <xm:sqref>N13:N27 AC10:AC27 O14:Q27 T10:T27 N12:Q12 I16:I27 AE10:AE27</xm:sqref>
        </x14:dataValidation>
        <x14:dataValidation type="list" allowBlank="1" showInputMessage="1" showErrorMessage="1" xr:uid="{60D5FE05-6E58-4AB9-A52D-00F1F10D2724}">
          <x14:formula1>
            <xm:f>Sources!$E$7:$O$7</xm:f>
          </x14:formula1>
          <xm:sqref>W10:W27</xm:sqref>
        </x14:dataValidation>
        <x14:dataValidation type="list" allowBlank="1" showInputMessage="1" showErrorMessage="1" xr:uid="{32930EDB-C386-4D36-958D-0D60E0FF837E}">
          <x14:formula1>
            <xm:f>DataBank!$K$17:$K$18</xm:f>
          </x14:formula1>
          <xm:sqref>E26</xm:sqref>
        </x14:dataValidation>
        <x14:dataValidation type="list" allowBlank="1" showInputMessage="1" showErrorMessage="1" xr:uid="{7B23CCDA-1424-48F9-B865-E243B6A50335}">
          <x14:formula1>
            <xm:f>DataBank!$A$3:$A$10</xm:f>
          </x14:formula1>
          <xm:sqref>O11:Q11</xm:sqref>
        </x14:dataValidation>
        <x14:dataValidation type="list" allowBlank="1" showInputMessage="1" showErrorMessage="1" xr:uid="{41A087E9-A03C-4839-BACD-B18A5017CDF1}">
          <x14:formula1>
            <xm:f>DataBank!$C$2:$C$7</xm:f>
          </x14:formula1>
          <xm:sqref>I15</xm:sqref>
        </x14:dataValidation>
        <x14:dataValidation type="list" allowBlank="1" showInputMessage="1" showErrorMessage="1" xr:uid="{6D43280A-8B58-44D7-9CE7-2E4308EBB4A1}">
          <x14:formula1>
            <xm:f>Systemblatt!$E$5:$E$11</xm:f>
          </x14:formula1>
          <xm:sqref>K16:K17</xm:sqref>
        </x14:dataValidation>
        <x14:dataValidation type="list" allowBlank="1" showInputMessage="1" showErrorMessage="1" xr:uid="{7A7B6AAB-43DB-4838-9F93-74FE4ED0D7F9}">
          <x14:formula1>
            <xm:f>DataBank!$A$3:$A$4</xm:f>
          </x14:formula1>
          <xm:sqref>AB10 AD10</xm:sqref>
        </x14:dataValidation>
        <x14:dataValidation type="list" allowBlank="1" showInputMessage="1" showErrorMessage="1" xr:uid="{A03C056B-E258-426B-859F-2DFE98DAA212}">
          <x14:formula1>
            <xm:f>DataBank!$A$3:$A$5</xm:f>
          </x14:formula1>
          <xm:sqref>K15</xm:sqref>
        </x14:dataValidation>
        <x14:dataValidation type="whole" allowBlank="1" showInputMessage="1" showErrorMessage="1" xr:uid="{E3E61B73-44F1-4024-878A-982A67BAF498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6F802-C7A0-4750-B6EF-E127427CAEF0}">
  <sheetPr codeName="Tabelle47"/>
  <dimension ref="A1:AJ144"/>
  <sheetViews>
    <sheetView zoomScale="75" zoomScaleNormal="47" workbookViewId="0">
      <selection activeCell="G36" sqref="G36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6.7109375" style="3" customWidth="1"/>
    <col min="4" max="4" width="30.7109375" style="3" bestFit="1" customWidth="1"/>
    <col min="5" max="7" width="15.28515625" style="3" customWidth="1"/>
    <col min="8" max="8" width="21" style="3" bestFit="1" customWidth="1"/>
    <col min="9" max="12" width="15.28515625" style="3" customWidth="1"/>
    <col min="13" max="13" width="25.28515625" style="3" bestFit="1" customWidth="1"/>
    <col min="14" max="14" width="15.28515625" style="3" customWidth="1"/>
    <col min="15" max="16" width="25.85546875" style="3" bestFit="1" customWidth="1"/>
    <col min="17" max="18" width="15.28515625" style="3" customWidth="1"/>
    <col min="19" max="19" width="21.42578125" style="3" customWidth="1"/>
    <col min="20" max="20" width="17.7109375" style="3" customWidth="1"/>
    <col min="21" max="21" width="10.28515625" style="3" customWidth="1"/>
    <col min="22" max="22" width="10.85546875" style="3"/>
    <col min="23" max="23" width="16.140625" style="3" bestFit="1" customWidth="1"/>
    <col min="24" max="24" width="19.85546875" style="3" customWidth="1"/>
    <col min="25" max="25" width="18.42578125" style="3" bestFit="1" customWidth="1"/>
    <col min="26" max="26" width="22.28515625" style="3" customWidth="1"/>
    <col min="27" max="28" width="10.85546875" style="3"/>
    <col min="29" max="29" width="17.85546875" style="3" bestFit="1" customWidth="1"/>
    <col min="30" max="30" width="10.85546875" style="3"/>
    <col min="31" max="31" width="17.85546875" style="3" bestFit="1" customWidth="1"/>
    <col min="32" max="32" width="55.42578125" style="3" bestFit="1" customWidth="1"/>
    <col min="33" max="16384" width="10.85546875" style="3"/>
  </cols>
  <sheetData>
    <row r="1" spans="1:36" ht="10.5" customHeight="1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6.95" customHeight="1" x14ac:dyDescent="0.2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2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2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2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25">
      <c r="A6" s="5"/>
      <c r="B6" s="5"/>
      <c r="C6" s="86"/>
      <c r="D6" s="326"/>
      <c r="E6" s="326"/>
      <c r="F6" s="5"/>
      <c r="G6" s="5"/>
      <c r="H6" s="326"/>
      <c r="I6" s="326"/>
      <c r="J6" s="15"/>
      <c r="K6" s="15"/>
      <c r="L6" s="5"/>
      <c r="M6" s="326"/>
      <c r="N6" s="326"/>
      <c r="O6" s="326"/>
      <c r="P6" s="326"/>
      <c r="Q6" s="5"/>
      <c r="R6" s="5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5"/>
      <c r="AH6" s="5"/>
      <c r="AI6" s="87"/>
      <c r="AJ6" s="5"/>
    </row>
    <row r="7" spans="1:36" ht="15.75" thickBot="1" x14ac:dyDescent="0.3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4">
      <c r="A8" s="5"/>
      <c r="B8" s="5"/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5"/>
      <c r="AH8" s="5"/>
      <c r="AI8" s="87"/>
      <c r="AJ8" s="5"/>
    </row>
    <row r="9" spans="1:36" ht="21.75" thickBot="1" x14ac:dyDescent="0.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75" x14ac:dyDescent="0.3">
      <c r="A10" s="5"/>
      <c r="B10" s="5"/>
      <c r="C10" s="86"/>
      <c r="D10" s="67" t="s">
        <v>1</v>
      </c>
      <c r="E10" s="68" t="s">
        <v>238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>
        <v>5</v>
      </c>
      <c r="P10" s="180"/>
      <c r="Q10" s="181"/>
      <c r="R10" s="5" t="s">
        <v>198</v>
      </c>
      <c r="S10" s="103">
        <v>3000</v>
      </c>
      <c r="T10" s="104" t="s">
        <v>173</v>
      </c>
      <c r="U10" s="105">
        <v>0.95</v>
      </c>
      <c r="V10" s="84"/>
      <c r="W10" s="138">
        <v>44</v>
      </c>
      <c r="X10" s="83">
        <v>3000</v>
      </c>
      <c r="Y10" s="139">
        <v>230</v>
      </c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.5" thickBot="1" x14ac:dyDescent="0.35">
      <c r="A11" s="5"/>
      <c r="B11" s="5"/>
      <c r="C11" s="86"/>
      <c r="D11" s="69" t="s">
        <v>3</v>
      </c>
      <c r="E11" s="70">
        <v>330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/>
      <c r="O11" s="125" t="s">
        <v>12</v>
      </c>
      <c r="P11" s="79"/>
      <c r="Q11" s="127"/>
      <c r="R11" s="5" t="s">
        <v>192</v>
      </c>
      <c r="S11" s="103">
        <v>230</v>
      </c>
      <c r="T11" s="104" t="s">
        <v>234</v>
      </c>
      <c r="U11" s="105">
        <v>0.85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75" x14ac:dyDescent="0.3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265">
        <v>10</v>
      </c>
      <c r="J12" s="214" t="str">
        <f>J15</f>
        <v>t/h</v>
      </c>
      <c r="K12" s="5"/>
      <c r="L12" s="5"/>
      <c r="M12" s="248" t="s">
        <v>77</v>
      </c>
      <c r="N12" s="256"/>
      <c r="O12" s="179" t="s">
        <v>234</v>
      </c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75" x14ac:dyDescent="0.3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75" x14ac:dyDescent="0.3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.5" thickBot="1" x14ac:dyDescent="0.3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.5" thickBot="1" x14ac:dyDescent="0.3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234</v>
      </c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75" x14ac:dyDescent="0.3">
      <c r="A17" s="5"/>
      <c r="B17" s="5"/>
      <c r="C17" s="86"/>
      <c r="D17" s="69" t="s">
        <v>60</v>
      </c>
      <c r="E17" s="70">
        <v>25</v>
      </c>
      <c r="F17" s="214" t="s">
        <v>197</v>
      </c>
      <c r="G17" s="5"/>
      <c r="H17" s="76"/>
      <c r="I17" s="244" t="s">
        <v>173</v>
      </c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75" x14ac:dyDescent="0.3">
      <c r="A18" s="5"/>
      <c r="B18" s="5"/>
      <c r="C18" s="86"/>
      <c r="D18" s="71" t="s">
        <v>61</v>
      </c>
      <c r="E18" s="70">
        <v>65</v>
      </c>
      <c r="F18" s="214" t="s">
        <v>197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75" x14ac:dyDescent="0.3">
      <c r="A19" s="5"/>
      <c r="B19" s="5"/>
      <c r="C19" s="86"/>
      <c r="D19" s="69" t="s">
        <v>62</v>
      </c>
      <c r="E19" s="70"/>
      <c r="F19" s="214" t="s">
        <v>197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75" x14ac:dyDescent="0.3">
      <c r="A20" s="5"/>
      <c r="B20" s="5"/>
      <c r="C20" s="86"/>
      <c r="D20" s="71" t="s">
        <v>63</v>
      </c>
      <c r="E20" s="70"/>
      <c r="F20" s="214" t="s">
        <v>197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75" x14ac:dyDescent="0.3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75" x14ac:dyDescent="0.3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75" x14ac:dyDescent="0.3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75" x14ac:dyDescent="0.3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75" x14ac:dyDescent="0.3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.5" thickBot="1" x14ac:dyDescent="0.3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.5" thickBot="1" x14ac:dyDescent="0.3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2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2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2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2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2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2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2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2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2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2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2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2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2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2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2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2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2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2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2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75" x14ac:dyDescent="0.25">
      <c r="A47" s="5"/>
      <c r="B47" s="5"/>
      <c r="C47" s="86"/>
      <c r="D47" s="325"/>
      <c r="E47" s="325"/>
      <c r="F47" s="325"/>
      <c r="G47" s="325"/>
      <c r="H47" s="325"/>
      <c r="I47" s="325"/>
      <c r="J47" s="325"/>
      <c r="K47" s="325"/>
      <c r="L47" s="325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75" x14ac:dyDescent="0.2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75" x14ac:dyDescent="0.2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75" x14ac:dyDescent="0.2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75" x14ac:dyDescent="0.2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75" x14ac:dyDescent="0.2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75" x14ac:dyDescent="0.2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75" x14ac:dyDescent="0.2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2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2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2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2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2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2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2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2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2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2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2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2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2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2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.75" thickBot="1" x14ac:dyDescent="0.3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2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25">
      <c r="AG100" s="5"/>
      <c r="AH100" s="5"/>
      <c r="AI100" s="5"/>
      <c r="AJ100" s="5"/>
    </row>
    <row r="144" spans="17:17" x14ac:dyDescent="0.25">
      <c r="Q144" s="3" t="s">
        <v>23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CB1751B0-E051-49A9-941E-B34BA527E631}">
          <x14:formula1>
            <xm:f>DataBank!$A$3:$A$11</xm:f>
          </x14:formula1>
          <xm:sqref>N11</xm:sqref>
        </x14:dataValidation>
        <x14:dataValidation type="list" allowBlank="1" showInputMessage="1" showErrorMessage="1" xr:uid="{75709756-3351-4470-A044-90EB7F10921B}">
          <x14:formula1>
            <xm:f>Sources!$E$6:$O$6</xm:f>
          </x14:formula1>
          <xm:sqref>O13:Q13</xm:sqref>
        </x14:dataValidation>
        <x14:dataValidation type="list" allowBlank="1" showInputMessage="1" showErrorMessage="1" xr:uid="{6C33A03A-D739-490F-AE5C-B87695557C21}">
          <x14:formula1>
            <xm:f>DataBank!$B$2:$B$3</xm:f>
          </x14:formula1>
          <xm:sqref>J15</xm:sqref>
        </x14:dataValidation>
        <x14:dataValidation type="list" allowBlank="1" showInputMessage="1" showErrorMessage="1" xr:uid="{B9FFAFCB-6042-461B-84D3-AB3144E7724D}">
          <x14:formula1>
            <xm:f>Systemblatt!$E$5:$E$38</xm:f>
          </x14:formula1>
          <xm:sqref>N13 AE10:AE27 AC10:AC27 N12:Q12 N14:Q27 I16:I27 T10:T27</xm:sqref>
        </x14:dataValidation>
        <x14:dataValidation type="list" allowBlank="1" showInputMessage="1" showErrorMessage="1" xr:uid="{9DAAD441-511C-45F7-A5A6-F191C657880D}">
          <x14:formula1>
            <xm:f>Sources!$E$7:$O$7</xm:f>
          </x14:formula1>
          <xm:sqref>W10:W27</xm:sqref>
        </x14:dataValidation>
        <x14:dataValidation type="list" allowBlank="1" showInputMessage="1" showErrorMessage="1" xr:uid="{8F385570-BCEE-4E8F-9A31-B4E766C5428F}">
          <x14:formula1>
            <xm:f>DataBank!$K$17:$K$18</xm:f>
          </x14:formula1>
          <xm:sqref>E26</xm:sqref>
        </x14:dataValidation>
        <x14:dataValidation type="list" allowBlank="1" showInputMessage="1" showErrorMessage="1" xr:uid="{99A299F3-60D8-431D-A45D-7C05E262C80D}">
          <x14:formula1>
            <xm:f>DataBank!$A$3:$A$10</xm:f>
          </x14:formula1>
          <xm:sqref>O11:Q11</xm:sqref>
        </x14:dataValidation>
        <x14:dataValidation type="list" allowBlank="1" showInputMessage="1" showErrorMessage="1" xr:uid="{DEAF84E3-2D52-48B1-B0FD-B38BEF4BD672}">
          <x14:formula1>
            <xm:f>DataBank!$C$2:$C$7</xm:f>
          </x14:formula1>
          <xm:sqref>I15</xm:sqref>
        </x14:dataValidation>
        <x14:dataValidation type="list" allowBlank="1" showInputMessage="1" showErrorMessage="1" xr:uid="{7F5B6298-821C-4C8E-885D-EC12A03CB60E}">
          <x14:formula1>
            <xm:f>Systemblatt!$E$5:$E$11</xm:f>
          </x14:formula1>
          <xm:sqref>K16:K17</xm:sqref>
        </x14:dataValidation>
        <x14:dataValidation type="list" allowBlank="1" showInputMessage="1" showErrorMessage="1" xr:uid="{8BA35D08-5D7E-4C39-ADB1-53CB01E12CF9}">
          <x14:formula1>
            <xm:f>DataBank!$A$3:$A$4</xm:f>
          </x14:formula1>
          <xm:sqref>AB10 AD10</xm:sqref>
        </x14:dataValidation>
        <x14:dataValidation type="list" allowBlank="1" showInputMessage="1" showErrorMessage="1" xr:uid="{4E92E341-56CE-491C-9893-EDFD549EDBEA}">
          <x14:formula1>
            <xm:f>DataBank!$A$3:$A$5</xm:f>
          </x14:formula1>
          <xm:sqref>K15</xm:sqref>
        </x14:dataValidation>
        <x14:dataValidation type="whole" allowBlank="1" showInputMessage="1" showErrorMessage="1" xr:uid="{A4A0C627-3D53-481A-A966-AF04153AC115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zoomScale="70" zoomScaleNormal="70" workbookViewId="0">
      <selection activeCell="AF35" sqref="AF3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6.4257812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6" width="20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2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2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2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25">
      <c r="C6" s="86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.75" thickBot="1" x14ac:dyDescent="0.3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4"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11"/>
      <c r="AH8" s="343" t="s">
        <v>5</v>
      </c>
      <c r="AI8" s="344"/>
      <c r="AJ8" s="345"/>
      <c r="AK8" s="98"/>
      <c r="AL8" s="343" t="s">
        <v>6</v>
      </c>
      <c r="AM8" s="344"/>
      <c r="AN8" s="345"/>
      <c r="AO8" s="87"/>
    </row>
    <row r="9" spans="3:41" ht="21.75" thickBot="1" x14ac:dyDescent="0.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4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75" x14ac:dyDescent="0.3">
      <c r="C10" s="86"/>
      <c r="D10" s="67" t="s">
        <v>1</v>
      </c>
      <c r="E10" s="68" t="s">
        <v>206</v>
      </c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254" t="s">
        <v>75</v>
      </c>
      <c r="N10" s="251">
        <v>1E-4</v>
      </c>
      <c r="O10" s="179">
        <v>0.1</v>
      </c>
      <c r="P10" s="257"/>
      <c r="Q10" s="181"/>
      <c r="R10" s="114"/>
      <c r="S10" s="103">
        <v>2000</v>
      </c>
      <c r="T10" s="104" t="s">
        <v>200</v>
      </c>
      <c r="U10" s="105">
        <v>0.99</v>
      </c>
      <c r="V10" s="106"/>
      <c r="W10" s="138">
        <v>22</v>
      </c>
      <c r="X10" s="83">
        <v>2000</v>
      </c>
      <c r="Y10" s="139">
        <v>1000</v>
      </c>
      <c r="Z10" s="137"/>
      <c r="AA10" s="75"/>
      <c r="AB10" s="136" t="s">
        <v>12</v>
      </c>
      <c r="AC10" s="83" t="s">
        <v>14</v>
      </c>
      <c r="AD10" s="139" t="s">
        <v>12</v>
      </c>
      <c r="AE10" s="83" t="s">
        <v>177</v>
      </c>
      <c r="AF10" s="137">
        <v>10</v>
      </c>
      <c r="AG10" s="120"/>
      <c r="AH10" s="126" t="s">
        <v>177</v>
      </c>
      <c r="AI10" s="125">
        <v>1</v>
      </c>
      <c r="AJ10" s="127">
        <v>-1</v>
      </c>
      <c r="AK10" s="115"/>
      <c r="AL10" s="128">
        <v>1</v>
      </c>
      <c r="AM10" s="129" t="s">
        <v>177</v>
      </c>
      <c r="AN10" s="130">
        <v>0.95</v>
      </c>
      <c r="AO10" s="87"/>
    </row>
    <row r="11" spans="3:41" ht="19.5" thickBot="1" x14ac:dyDescent="0.35">
      <c r="C11" s="86"/>
      <c r="D11" s="69" t="s">
        <v>3</v>
      </c>
      <c r="E11" s="70">
        <v>210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79"/>
      <c r="L11" s="79"/>
      <c r="M11" s="255" t="s">
        <v>76</v>
      </c>
      <c r="N11" s="252" t="s">
        <v>12</v>
      </c>
      <c r="O11" s="125" t="s">
        <v>12</v>
      </c>
      <c r="P11" s="258"/>
      <c r="Q11" s="259"/>
      <c r="R11" s="114"/>
      <c r="S11" s="103">
        <v>2000</v>
      </c>
      <c r="T11" s="104" t="s">
        <v>14</v>
      </c>
      <c r="U11" s="105">
        <v>0.05</v>
      </c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1</v>
      </c>
      <c r="AJ11" s="127">
        <v>0.15</v>
      </c>
      <c r="AK11" s="115"/>
      <c r="AL11" s="116"/>
      <c r="AM11" s="6"/>
      <c r="AN11" s="131"/>
      <c r="AO11" s="87"/>
    </row>
    <row r="12" spans="3:41" ht="18.75" x14ac:dyDescent="0.3">
      <c r="C12" s="86"/>
      <c r="D12" s="69" t="s">
        <v>42</v>
      </c>
      <c r="E12" s="261" t="s">
        <v>229</v>
      </c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79"/>
      <c r="L12" s="79"/>
      <c r="M12" s="248" t="s">
        <v>77</v>
      </c>
      <c r="N12" s="251" t="s">
        <v>175</v>
      </c>
      <c r="O12" s="251" t="s">
        <v>175</v>
      </c>
      <c r="P12" s="180"/>
      <c r="Q12" s="181"/>
      <c r="R12" s="114"/>
      <c r="S12" s="103">
        <v>2000</v>
      </c>
      <c r="T12" s="104" t="s">
        <v>180</v>
      </c>
      <c r="U12" s="105">
        <v>0</v>
      </c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 t="s">
        <v>200</v>
      </c>
      <c r="AI12" s="125">
        <v>1</v>
      </c>
      <c r="AJ12" s="127">
        <v>0.2</v>
      </c>
      <c r="AK12" s="115"/>
      <c r="AL12" s="116"/>
      <c r="AM12" s="6"/>
      <c r="AN12" s="131"/>
      <c r="AO12" s="87"/>
    </row>
    <row r="13" spans="3:41" ht="18.75" x14ac:dyDescent="0.3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79"/>
      <c r="L13" s="79"/>
      <c r="M13" s="249"/>
      <c r="N13" s="253" t="s">
        <v>176</v>
      </c>
      <c r="O13" s="253" t="s">
        <v>176</v>
      </c>
      <c r="P13" s="75"/>
      <c r="Q13" s="70"/>
      <c r="R13" s="114"/>
      <c r="S13" s="103">
        <v>1000</v>
      </c>
      <c r="T13" s="104" t="s">
        <v>180</v>
      </c>
      <c r="U13" s="105">
        <v>1</v>
      </c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 t="s">
        <v>180</v>
      </c>
      <c r="AI13" s="106">
        <v>1</v>
      </c>
      <c r="AJ13" s="108">
        <v>0.65</v>
      </c>
      <c r="AK13" s="115"/>
      <c r="AL13" s="117"/>
      <c r="AM13" s="6"/>
      <c r="AN13" s="118"/>
      <c r="AO13" s="87"/>
    </row>
    <row r="14" spans="3:41" ht="18.75" x14ac:dyDescent="0.3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79"/>
      <c r="L14" s="79"/>
      <c r="M14" s="250"/>
      <c r="N14" s="253" t="s">
        <v>177</v>
      </c>
      <c r="O14" s="253" t="s">
        <v>177</v>
      </c>
      <c r="P14" s="79"/>
      <c r="Q14" s="82"/>
      <c r="R14" s="114"/>
      <c r="S14" s="103">
        <v>1000</v>
      </c>
      <c r="T14" s="75" t="s">
        <v>200</v>
      </c>
      <c r="U14" s="105">
        <v>0</v>
      </c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.5" thickBot="1" x14ac:dyDescent="0.3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79"/>
      <c r="L15" s="79"/>
      <c r="M15" s="250"/>
      <c r="N15" s="244" t="s">
        <v>173</v>
      </c>
      <c r="O15" s="244" t="s">
        <v>173</v>
      </c>
      <c r="P15" s="79"/>
      <c r="Q15" s="82"/>
      <c r="R15" s="114"/>
      <c r="S15" s="103"/>
      <c r="T15" s="75"/>
      <c r="U15" s="105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.5" thickBot="1" x14ac:dyDescent="0.3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79"/>
      <c r="L16" s="79"/>
      <c r="M16" s="250"/>
      <c r="N16" s="245"/>
      <c r="O16" s="245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75" x14ac:dyDescent="0.3">
      <c r="C17" s="86"/>
      <c r="D17" s="69" t="s">
        <v>60</v>
      </c>
      <c r="E17" s="70">
        <v>25</v>
      </c>
      <c r="F17" s="214" t="s">
        <v>186</v>
      </c>
      <c r="G17" s="5"/>
      <c r="H17" s="218"/>
      <c r="I17" s="70" t="s">
        <v>173</v>
      </c>
      <c r="J17" s="214" t="s">
        <v>182</v>
      </c>
      <c r="K17" s="79"/>
      <c r="L17" s="79"/>
      <c r="M17" s="250"/>
      <c r="N17" s="245"/>
      <c r="O17" s="245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75" x14ac:dyDescent="0.3">
      <c r="C18" s="86"/>
      <c r="D18" s="71" t="s">
        <v>61</v>
      </c>
      <c r="E18" s="70">
        <v>30</v>
      </c>
      <c r="F18" s="214" t="s">
        <v>186</v>
      </c>
      <c r="G18" s="5"/>
      <c r="H18" s="77"/>
      <c r="I18" s="70" t="s">
        <v>175</v>
      </c>
      <c r="J18" s="214"/>
      <c r="K18" s="79"/>
      <c r="L18" s="79"/>
      <c r="M18" s="250"/>
      <c r="N18" s="245"/>
      <c r="O18" s="245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75" x14ac:dyDescent="0.3"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79"/>
      <c r="L19" s="79"/>
      <c r="M19" s="250"/>
      <c r="N19" s="245"/>
      <c r="O19" s="245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75" x14ac:dyDescent="0.3"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79"/>
      <c r="L20" s="79"/>
      <c r="M20" s="245"/>
      <c r="N20" s="245"/>
      <c r="O20" s="245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75" x14ac:dyDescent="0.3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79"/>
      <c r="L21" s="79"/>
      <c r="M21" s="245"/>
      <c r="N21" s="245"/>
      <c r="O21" s="245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75" x14ac:dyDescent="0.3"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79"/>
      <c r="L22" s="79"/>
      <c r="M22" s="245"/>
      <c r="N22" s="245"/>
      <c r="O22" s="245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75" x14ac:dyDescent="0.3"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79"/>
      <c r="L23" s="79"/>
      <c r="M23" s="245"/>
      <c r="N23" s="245"/>
      <c r="O23" s="245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75" x14ac:dyDescent="0.3">
      <c r="C24" s="86"/>
      <c r="D24" s="132" t="s">
        <v>86</v>
      </c>
      <c r="E24" s="92"/>
      <c r="F24" s="214" t="s">
        <v>182</v>
      </c>
      <c r="G24" s="11"/>
      <c r="H24" s="110"/>
      <c r="I24" s="82"/>
      <c r="J24" s="176"/>
      <c r="K24" s="79"/>
      <c r="L24" s="79"/>
      <c r="M24" s="245"/>
      <c r="N24" s="245"/>
      <c r="O24" s="245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75" x14ac:dyDescent="0.3">
      <c r="C25" s="86"/>
      <c r="D25" s="132" t="s">
        <v>87</v>
      </c>
      <c r="E25" s="92"/>
      <c r="F25" s="214" t="s">
        <v>182</v>
      </c>
      <c r="G25" s="11"/>
      <c r="H25" s="110"/>
      <c r="I25" s="82"/>
      <c r="J25" s="176"/>
      <c r="K25" s="79"/>
      <c r="L25" s="79"/>
      <c r="M25" s="245"/>
      <c r="N25" s="245"/>
      <c r="O25" s="245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.5" thickBot="1" x14ac:dyDescent="0.35">
      <c r="C26" s="86"/>
      <c r="D26" s="133" t="s">
        <v>88</v>
      </c>
      <c r="E26" s="65"/>
      <c r="F26" s="215" t="s">
        <v>182</v>
      </c>
      <c r="G26" s="5"/>
      <c r="H26" s="110"/>
      <c r="I26" s="82"/>
      <c r="J26" s="214"/>
      <c r="K26" s="79"/>
      <c r="L26" s="79"/>
      <c r="M26" s="245"/>
      <c r="N26" s="245"/>
      <c r="O26" s="245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.5" thickBot="1" x14ac:dyDescent="0.3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79"/>
      <c r="L27" s="79"/>
      <c r="M27" s="246"/>
      <c r="N27" s="246"/>
      <c r="O27" s="246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75" x14ac:dyDescent="0.2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75" x14ac:dyDescent="0.2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75" x14ac:dyDescent="0.2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2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2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2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2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2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2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2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2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2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2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2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2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2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2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2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2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75" x14ac:dyDescent="0.2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2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2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2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2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2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2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2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2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2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2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2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2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2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2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2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2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2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2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2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2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2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2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.75" thickBot="1" x14ac:dyDescent="0.3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2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F5F5269E-B5C7-40AF-B5D2-74BD991B7BEE}">
          <x14:formula1>
            <xm:f>Systemblatt!$E$5:$E$38</xm:f>
          </x14:formula1>
          <xm:sqref>AE10:AE27 AC10:AC27 AH10:AH27 I16:I27 T10:T27 N12:N27 P14:Q27 O13:O27 O12:Q12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6" zoomScale="70" zoomScaleNormal="70" workbookViewId="0">
      <selection activeCell="I14" sqref="I14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8554687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6" width="19.85546875" style="3" bestFit="1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2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2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2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25">
      <c r="C6" s="86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.75" thickBot="1" x14ac:dyDescent="0.3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4"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11"/>
      <c r="AH8" s="343" t="s">
        <v>5</v>
      </c>
      <c r="AI8" s="344"/>
      <c r="AJ8" s="345"/>
      <c r="AK8" s="98"/>
      <c r="AL8" s="343" t="s">
        <v>6</v>
      </c>
      <c r="AM8" s="344"/>
      <c r="AN8" s="345"/>
      <c r="AO8" s="87"/>
    </row>
    <row r="9" spans="3:41" ht="21.75" thickBot="1" x14ac:dyDescent="0.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75" x14ac:dyDescent="0.3">
      <c r="C10" s="86"/>
      <c r="D10" s="67" t="s">
        <v>1</v>
      </c>
      <c r="E10" s="263" t="s">
        <v>207</v>
      </c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67" t="s">
        <v>75</v>
      </c>
      <c r="N10" s="179">
        <v>0.1</v>
      </c>
      <c r="O10" s="179">
        <v>0.1</v>
      </c>
      <c r="P10" s="180"/>
      <c r="Q10" s="181"/>
      <c r="R10" s="114"/>
      <c r="S10" s="126">
        <v>777</v>
      </c>
      <c r="T10" s="125" t="s">
        <v>179</v>
      </c>
      <c r="U10" s="127">
        <v>0.8</v>
      </c>
      <c r="V10" s="106"/>
      <c r="W10" s="138"/>
      <c r="X10" s="83">
        <v>777</v>
      </c>
      <c r="Y10" s="139">
        <v>1000</v>
      </c>
      <c r="Z10" s="30">
        <v>1100</v>
      </c>
      <c r="AA10" s="75"/>
      <c r="AB10" s="136"/>
      <c r="AC10" s="83"/>
      <c r="AD10" s="139"/>
      <c r="AE10" s="83"/>
      <c r="AF10" s="137"/>
      <c r="AG10" s="120"/>
      <c r="AH10" s="126" t="s">
        <v>177</v>
      </c>
      <c r="AI10" s="125">
        <v>2</v>
      </c>
      <c r="AJ10" s="127">
        <v>-1</v>
      </c>
      <c r="AK10" s="115"/>
      <c r="AL10" s="128">
        <v>2</v>
      </c>
      <c r="AM10" s="129" t="s">
        <v>177</v>
      </c>
      <c r="AN10" s="130">
        <v>1</v>
      </c>
      <c r="AO10" s="87"/>
    </row>
    <row r="11" spans="3:41" ht="18.75" x14ac:dyDescent="0.3">
      <c r="C11" s="86"/>
      <c r="D11" s="69" t="s">
        <v>3</v>
      </c>
      <c r="E11" s="70">
        <v>200</v>
      </c>
      <c r="F11" s="214" t="s">
        <v>182</v>
      </c>
      <c r="G11" s="5"/>
      <c r="H11" s="69" t="s">
        <v>67</v>
      </c>
      <c r="I11" s="105">
        <v>1</v>
      </c>
      <c r="J11" s="214" t="s">
        <v>191</v>
      </c>
      <c r="K11" s="79"/>
      <c r="L11" s="79"/>
      <c r="M11" s="76" t="s">
        <v>76</v>
      </c>
      <c r="N11" s="125" t="s">
        <v>12</v>
      </c>
      <c r="O11" s="125" t="s">
        <v>12</v>
      </c>
      <c r="P11" s="125"/>
      <c r="Q11" s="125"/>
      <c r="R11" s="114"/>
      <c r="S11" s="51">
        <v>1100</v>
      </c>
      <c r="T11" s="75" t="s">
        <v>179</v>
      </c>
      <c r="U11" s="30">
        <v>0.2</v>
      </c>
      <c r="V11" s="106"/>
      <c r="W11" s="109"/>
      <c r="Y11" s="106"/>
      <c r="Z11" s="30"/>
      <c r="AA11" s="75"/>
      <c r="AB11" s="107"/>
      <c r="AC11" s="75"/>
      <c r="AD11" s="106"/>
      <c r="AE11" s="75"/>
      <c r="AF11" s="108"/>
      <c r="AG11" s="120"/>
      <c r="AH11" s="126" t="s">
        <v>179</v>
      </c>
      <c r="AI11" s="125">
        <v>2</v>
      </c>
      <c r="AJ11" s="127">
        <v>0.25</v>
      </c>
      <c r="AK11" s="115"/>
      <c r="AL11" s="116">
        <v>3</v>
      </c>
      <c r="AM11" s="6" t="s">
        <v>176</v>
      </c>
      <c r="AN11" s="131">
        <v>0.5</v>
      </c>
      <c r="AO11" s="87"/>
    </row>
    <row r="12" spans="3:41" ht="18.75" x14ac:dyDescent="0.3">
      <c r="C12" s="86"/>
      <c r="D12" s="69" t="s">
        <v>42</v>
      </c>
      <c r="E12" s="261" t="s">
        <v>229</v>
      </c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79"/>
      <c r="L12" s="79"/>
      <c r="M12" s="76" t="s">
        <v>77</v>
      </c>
      <c r="N12" s="125" t="s">
        <v>177</v>
      </c>
      <c r="O12" s="125" t="s">
        <v>177</v>
      </c>
      <c r="P12" s="79"/>
      <c r="Q12" s="127"/>
      <c r="R12" s="114"/>
      <c r="S12" s="51">
        <v>1000</v>
      </c>
      <c r="T12" s="75" t="s">
        <v>180</v>
      </c>
      <c r="U12" s="30">
        <v>1</v>
      </c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 t="s">
        <v>180</v>
      </c>
      <c r="AI12" s="125">
        <v>2</v>
      </c>
      <c r="AJ12" s="127">
        <v>0.75</v>
      </c>
      <c r="AK12" s="115"/>
      <c r="AL12" s="116">
        <v>4</v>
      </c>
      <c r="AM12" s="6" t="s">
        <v>175</v>
      </c>
      <c r="AN12" s="131">
        <v>0.6</v>
      </c>
      <c r="AO12" s="87"/>
    </row>
    <row r="13" spans="3:41" ht="18.75" x14ac:dyDescent="0.3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79"/>
      <c r="L13" s="79"/>
      <c r="M13" s="76"/>
      <c r="N13" s="75" t="s">
        <v>175</v>
      </c>
      <c r="O13" s="75" t="s">
        <v>175</v>
      </c>
      <c r="P13" s="75"/>
      <c r="Q13" s="70"/>
      <c r="R13" s="114"/>
      <c r="S13" s="51"/>
      <c r="T13" s="75"/>
      <c r="U13" s="30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 t="s">
        <v>176</v>
      </c>
      <c r="AI13" s="106">
        <v>3</v>
      </c>
      <c r="AJ13" s="108">
        <v>-1</v>
      </c>
      <c r="AK13" s="115"/>
      <c r="AL13" s="117"/>
      <c r="AM13" s="6"/>
      <c r="AN13" s="118"/>
      <c r="AO13" s="87"/>
    </row>
    <row r="14" spans="3:41" ht="18.75" x14ac:dyDescent="0.3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79"/>
      <c r="L14" s="79"/>
      <c r="M14" s="77"/>
      <c r="N14" s="75" t="s">
        <v>176</v>
      </c>
      <c r="O14" s="75" t="s">
        <v>176</v>
      </c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 t="s">
        <v>179</v>
      </c>
      <c r="AI14" s="106">
        <v>3</v>
      </c>
      <c r="AJ14" s="108">
        <v>0.25</v>
      </c>
      <c r="AK14" s="115"/>
      <c r="AL14" s="117"/>
      <c r="AM14" s="6"/>
      <c r="AN14" s="118"/>
      <c r="AO14" s="87"/>
    </row>
    <row r="15" spans="3:41" ht="19.5" thickBot="1" x14ac:dyDescent="0.3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79"/>
      <c r="L15" s="79"/>
      <c r="M15" s="77"/>
      <c r="N15" s="75" t="s">
        <v>173</v>
      </c>
      <c r="O15" s="75" t="s">
        <v>173</v>
      </c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 t="s">
        <v>180</v>
      </c>
      <c r="AI15" s="106">
        <v>3</v>
      </c>
      <c r="AJ15" s="108">
        <v>0.75</v>
      </c>
      <c r="AK15" s="115"/>
      <c r="AL15" s="117"/>
      <c r="AM15" s="6"/>
      <c r="AN15" s="118"/>
      <c r="AO15" s="87"/>
    </row>
    <row r="16" spans="3:41" ht="19.5" thickBot="1" x14ac:dyDescent="0.3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79"/>
      <c r="L16" s="79"/>
      <c r="M16" s="77"/>
      <c r="N16" s="79"/>
      <c r="O16" s="20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 t="s">
        <v>175</v>
      </c>
      <c r="AI16" s="75">
        <v>4</v>
      </c>
      <c r="AJ16" s="108">
        <v>-1</v>
      </c>
      <c r="AK16" s="79"/>
      <c r="AL16" s="110"/>
      <c r="AM16" s="6"/>
      <c r="AN16" s="82"/>
      <c r="AO16" s="87"/>
    </row>
    <row r="17" spans="3:41" ht="18.75" x14ac:dyDescent="0.3">
      <c r="C17" s="86"/>
      <c r="D17" s="69" t="s">
        <v>60</v>
      </c>
      <c r="E17" s="70">
        <v>20</v>
      </c>
      <c r="F17" s="214" t="s">
        <v>186</v>
      </c>
      <c r="G17" s="5"/>
      <c r="H17" s="218"/>
      <c r="I17" s="70" t="s">
        <v>173</v>
      </c>
      <c r="J17" s="214" t="s">
        <v>182</v>
      </c>
      <c r="K17" s="79"/>
      <c r="L17" s="79"/>
      <c r="M17" s="77"/>
      <c r="N17" s="79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 t="s">
        <v>179</v>
      </c>
      <c r="AI17" s="75">
        <v>4</v>
      </c>
      <c r="AJ17" s="108">
        <v>0.25</v>
      </c>
      <c r="AK17" s="79"/>
      <c r="AL17" s="110"/>
      <c r="AM17" s="6"/>
      <c r="AN17" s="82"/>
      <c r="AO17" s="87"/>
    </row>
    <row r="18" spans="3:41" ht="18.75" x14ac:dyDescent="0.3">
      <c r="C18" s="86"/>
      <c r="D18" s="71" t="s">
        <v>61</v>
      </c>
      <c r="E18" s="70">
        <v>35</v>
      </c>
      <c r="F18" s="214" t="s">
        <v>186</v>
      </c>
      <c r="G18" s="5"/>
      <c r="H18" s="77"/>
      <c r="I18" s="70" t="s">
        <v>175</v>
      </c>
      <c r="J18" s="214"/>
      <c r="K18" s="79"/>
      <c r="L18" s="79"/>
      <c r="M18" s="77"/>
      <c r="N18" s="79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 t="s">
        <v>180</v>
      </c>
      <c r="AI18" s="75">
        <v>4</v>
      </c>
      <c r="AJ18" s="108">
        <v>0.75</v>
      </c>
      <c r="AK18" s="79"/>
      <c r="AL18" s="110"/>
      <c r="AM18" s="6"/>
      <c r="AN18" s="82"/>
      <c r="AO18" s="87"/>
    </row>
    <row r="19" spans="3:41" ht="18.75" x14ac:dyDescent="0.3"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79"/>
      <c r="L19" s="79"/>
      <c r="M19" s="77"/>
      <c r="N19" s="79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75" x14ac:dyDescent="0.3"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79"/>
      <c r="L20" s="79"/>
      <c r="M20" s="110"/>
      <c r="N20" s="79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75" x14ac:dyDescent="0.3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79"/>
      <c r="L21" s="79"/>
      <c r="M21" s="110"/>
      <c r="N21" s="79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75" x14ac:dyDescent="0.3"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79"/>
      <c r="L22" s="79"/>
      <c r="M22" s="110"/>
      <c r="N22" s="79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75" x14ac:dyDescent="0.3"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79"/>
      <c r="L23" s="79"/>
      <c r="M23" s="110"/>
      <c r="N23" s="79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75" x14ac:dyDescent="0.3">
      <c r="C24" s="86"/>
      <c r="D24" s="132" t="s">
        <v>86</v>
      </c>
      <c r="E24" s="92"/>
      <c r="F24" s="214" t="s">
        <v>182</v>
      </c>
      <c r="G24" s="11"/>
      <c r="H24" s="110"/>
      <c r="I24" s="82"/>
      <c r="J24" s="176"/>
      <c r="K24" s="79"/>
      <c r="L24" s="79"/>
      <c r="M24" s="110"/>
      <c r="N24" s="79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75" x14ac:dyDescent="0.3">
      <c r="C25" s="86"/>
      <c r="D25" s="132" t="s">
        <v>87</v>
      </c>
      <c r="E25" s="92"/>
      <c r="F25" s="214" t="s">
        <v>182</v>
      </c>
      <c r="G25" s="11"/>
      <c r="H25" s="110"/>
      <c r="I25" s="82"/>
      <c r="J25" s="176"/>
      <c r="K25" s="79"/>
      <c r="L25" s="79"/>
      <c r="M25" s="110"/>
      <c r="N25" s="79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.5" thickBot="1" x14ac:dyDescent="0.35">
      <c r="C26" s="86"/>
      <c r="D26" s="133" t="s">
        <v>88</v>
      </c>
      <c r="E26" s="65"/>
      <c r="F26" s="215" t="s">
        <v>182</v>
      </c>
      <c r="G26" s="5"/>
      <c r="H26" s="110"/>
      <c r="I26" s="82"/>
      <c r="J26" s="214"/>
      <c r="K26" s="79"/>
      <c r="L26" s="79"/>
      <c r="M26" s="110"/>
      <c r="N26" s="79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.5" thickBot="1" x14ac:dyDescent="0.3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81"/>
      <c r="J27" s="215"/>
      <c r="K27" s="79"/>
      <c r="L27" s="79"/>
      <c r="M27" s="111"/>
      <c r="N27" s="80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75" x14ac:dyDescent="0.2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75" x14ac:dyDescent="0.2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75" x14ac:dyDescent="0.2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2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2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2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2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2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2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2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2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2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2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2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2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2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2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2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2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75" x14ac:dyDescent="0.2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2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2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2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2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2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2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2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2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2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2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2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2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2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2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2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2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2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2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2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2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2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2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.75" thickBot="1" x14ac:dyDescent="0.3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2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2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BDE93ECE-D802-4112-863E-62E1975FB345}">
          <x14:formula1>
            <xm:f>Systemblatt!$E$5:$E$38</xm:f>
          </x14:formula1>
          <xm:sqref>AE10:AE27 AC10:AC27 P14:Q16 N12:N16 I16:I27 O13:O15 N17:Q27 AH10:AH27 O12:Q12 T10:T27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zoomScale="58" zoomScaleNormal="58" workbookViewId="0">
      <selection activeCell="AI18" sqref="AI18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8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16.85546875" style="3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26.42578125" style="3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1" width="10.85546875" style="3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3.4257812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25"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2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2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25">
      <c r="C6" s="86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.75" thickBot="1" x14ac:dyDescent="0.3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4"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16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11"/>
      <c r="AH8" s="343" t="s">
        <v>5</v>
      </c>
      <c r="AI8" s="344"/>
      <c r="AJ8" s="345"/>
      <c r="AK8" s="98"/>
      <c r="AL8" s="343" t="s">
        <v>6</v>
      </c>
      <c r="AM8" s="344"/>
      <c r="AN8" s="345"/>
      <c r="AO8" s="87"/>
    </row>
    <row r="9" spans="3:41" ht="21.75" thickBot="1" x14ac:dyDescent="0.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75" x14ac:dyDescent="0.3">
      <c r="C10" s="86"/>
      <c r="D10" s="67" t="s">
        <v>1</v>
      </c>
      <c r="E10" s="68" t="s">
        <v>208</v>
      </c>
      <c r="F10" s="214" t="s">
        <v>182</v>
      </c>
      <c r="G10" s="5"/>
      <c r="H10" s="67" t="s">
        <v>2</v>
      </c>
      <c r="I10" s="68"/>
      <c r="J10" s="96" t="s">
        <v>182</v>
      </c>
      <c r="K10" s="79"/>
      <c r="L10" s="79"/>
      <c r="M10" s="67" t="s">
        <v>75</v>
      </c>
      <c r="N10" s="179"/>
      <c r="O10" s="179"/>
      <c r="P10" s="180"/>
      <c r="Q10" s="181"/>
      <c r="R10" s="114"/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 t="s">
        <v>179</v>
      </c>
      <c r="AI10" s="125">
        <v>5</v>
      </c>
      <c r="AJ10" s="127">
        <v>-1</v>
      </c>
      <c r="AK10" s="115"/>
      <c r="AL10" s="128">
        <v>5</v>
      </c>
      <c r="AM10" s="129" t="s">
        <v>179</v>
      </c>
      <c r="AN10" s="130">
        <v>1</v>
      </c>
      <c r="AO10" s="87"/>
    </row>
    <row r="11" spans="3:41" ht="18.75" x14ac:dyDescent="0.3">
      <c r="C11" s="86"/>
      <c r="D11" s="69" t="s">
        <v>3</v>
      </c>
      <c r="E11" s="70">
        <v>300</v>
      </c>
      <c r="F11" s="214" t="s">
        <v>182</v>
      </c>
      <c r="G11" s="5"/>
      <c r="H11" s="69" t="s">
        <v>67</v>
      </c>
      <c r="I11" s="105">
        <v>2</v>
      </c>
      <c r="J11" s="87" t="s">
        <v>191</v>
      </c>
      <c r="K11" s="79"/>
      <c r="L11" s="79"/>
      <c r="M11" s="76" t="s">
        <v>76</v>
      </c>
      <c r="N11" s="125"/>
      <c r="O11" s="125"/>
      <c r="P11" s="125"/>
      <c r="Q11" s="125"/>
      <c r="R11" s="114"/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5</v>
      </c>
      <c r="AJ11" s="127">
        <v>0.8</v>
      </c>
      <c r="AK11" s="115"/>
      <c r="AL11" s="116"/>
      <c r="AM11" s="6"/>
      <c r="AN11" s="131"/>
      <c r="AO11" s="87"/>
    </row>
    <row r="12" spans="3:41" ht="18.75" x14ac:dyDescent="0.3">
      <c r="C12" s="86"/>
      <c r="D12" s="69" t="s">
        <v>42</v>
      </c>
      <c r="E12" s="205" t="s">
        <v>165</v>
      </c>
      <c r="F12" s="214" t="s">
        <v>182</v>
      </c>
      <c r="G12" s="5"/>
      <c r="H12" s="69" t="s">
        <v>68</v>
      </c>
      <c r="I12" s="105">
        <v>10</v>
      </c>
      <c r="J12" s="87" t="str">
        <f>J15</f>
        <v>t/h</v>
      </c>
      <c r="K12" s="79"/>
      <c r="L12" s="79"/>
      <c r="M12" s="76" t="s">
        <v>77</v>
      </c>
      <c r="N12" s="125"/>
      <c r="O12" s="125"/>
      <c r="P12" s="79"/>
      <c r="Q12" s="127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7" t="s">
        <v>14</v>
      </c>
      <c r="AI12" s="125">
        <v>5</v>
      </c>
      <c r="AJ12" s="108">
        <v>0.2</v>
      </c>
      <c r="AK12" s="115"/>
      <c r="AL12" s="116"/>
      <c r="AM12" s="6"/>
      <c r="AN12" s="131"/>
      <c r="AO12" s="87"/>
    </row>
    <row r="13" spans="3:41" ht="18.75" x14ac:dyDescent="0.3">
      <c r="C13" s="86"/>
      <c r="D13" s="69" t="s">
        <v>56</v>
      </c>
      <c r="E13" s="3" t="s">
        <v>209</v>
      </c>
      <c r="F13" s="214" t="s">
        <v>182</v>
      </c>
      <c r="G13" s="5"/>
      <c r="H13" s="69" t="s">
        <v>69</v>
      </c>
      <c r="I13" s="105">
        <v>0.1</v>
      </c>
      <c r="J13" s="87" t="s">
        <v>182</v>
      </c>
      <c r="K13" s="79"/>
      <c r="L13" s="79"/>
      <c r="M13" s="76" t="s">
        <v>195</v>
      </c>
      <c r="N13" s="75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75" x14ac:dyDescent="0.3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87" t="s">
        <v>194</v>
      </c>
      <c r="K14" s="79"/>
      <c r="L14" s="79"/>
      <c r="M14" s="77"/>
      <c r="N14" s="79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8.75" x14ac:dyDescent="0.3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87" t="s">
        <v>192</v>
      </c>
      <c r="K15" s="79"/>
      <c r="L15" s="79"/>
      <c r="M15" s="77"/>
      <c r="N15" s="79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8.75" x14ac:dyDescent="0.3">
      <c r="C16" s="86"/>
      <c r="D16" s="69" t="s">
        <v>59</v>
      </c>
      <c r="E16" s="70">
        <v>1.44</v>
      </c>
      <c r="F16" s="214" t="s">
        <v>182</v>
      </c>
      <c r="G16" s="5"/>
      <c r="H16" s="76" t="s">
        <v>55</v>
      </c>
      <c r="I16" s="70" t="s">
        <v>179</v>
      </c>
      <c r="J16" s="87" t="s">
        <v>182</v>
      </c>
      <c r="K16" s="79"/>
      <c r="L16" s="79"/>
      <c r="M16" s="77"/>
      <c r="N16" s="79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75" x14ac:dyDescent="0.3">
      <c r="C17" s="86"/>
      <c r="D17" s="69" t="s">
        <v>60</v>
      </c>
      <c r="E17" s="70"/>
      <c r="F17" s="214" t="s">
        <v>197</v>
      </c>
      <c r="G17" s="5"/>
      <c r="H17" s="76" t="s">
        <v>195</v>
      </c>
      <c r="I17" s="70"/>
      <c r="J17" s="87" t="s">
        <v>182</v>
      </c>
      <c r="K17" s="79"/>
      <c r="L17" s="79"/>
      <c r="M17" s="77"/>
      <c r="N17" s="79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75" x14ac:dyDescent="0.3">
      <c r="C18" s="86"/>
      <c r="D18" s="71" t="s">
        <v>61</v>
      </c>
      <c r="E18" s="70"/>
      <c r="F18" s="214" t="s">
        <v>197</v>
      </c>
      <c r="G18" s="5"/>
      <c r="H18" s="77"/>
      <c r="I18" s="70"/>
      <c r="J18" s="87"/>
      <c r="K18" s="79"/>
      <c r="L18" s="79"/>
      <c r="M18" s="77"/>
      <c r="N18" s="79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75" x14ac:dyDescent="0.3">
      <c r="C19" s="86"/>
      <c r="D19" s="69" t="s">
        <v>62</v>
      </c>
      <c r="E19" s="70"/>
      <c r="F19" s="214" t="s">
        <v>197</v>
      </c>
      <c r="G19" s="5"/>
      <c r="H19" s="77"/>
      <c r="I19" s="70"/>
      <c r="J19" s="87"/>
      <c r="K19" s="79"/>
      <c r="L19" s="79"/>
      <c r="M19" s="77"/>
      <c r="N19" s="79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75" x14ac:dyDescent="0.3">
      <c r="C20" s="86"/>
      <c r="D20" s="71" t="s">
        <v>63</v>
      </c>
      <c r="E20" s="70"/>
      <c r="F20" s="214" t="s">
        <v>197</v>
      </c>
      <c r="G20" s="5"/>
      <c r="H20" s="77"/>
      <c r="I20" s="70"/>
      <c r="J20" s="87"/>
      <c r="K20" s="79"/>
      <c r="L20" s="79"/>
      <c r="M20" s="110"/>
      <c r="N20" s="79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75" x14ac:dyDescent="0.3">
      <c r="C21" s="86"/>
      <c r="D21" s="71" t="s">
        <v>64</v>
      </c>
      <c r="E21" s="143">
        <v>0.57999999999999996</v>
      </c>
      <c r="F21" s="214" t="s">
        <v>182</v>
      </c>
      <c r="G21" s="5"/>
      <c r="H21" s="110"/>
      <c r="I21" s="70"/>
      <c r="J21" s="87"/>
      <c r="K21" s="79"/>
      <c r="L21" s="79"/>
      <c r="M21" s="110"/>
      <c r="N21" s="79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75" x14ac:dyDescent="0.3">
      <c r="C22" s="86"/>
      <c r="D22" s="71" t="s">
        <v>65</v>
      </c>
      <c r="E22" s="70"/>
      <c r="F22" s="214" t="s">
        <v>182</v>
      </c>
      <c r="G22" s="5"/>
      <c r="H22" s="110"/>
      <c r="I22" s="70"/>
      <c r="J22" s="87"/>
      <c r="K22" s="79"/>
      <c r="L22" s="79"/>
      <c r="M22" s="110"/>
      <c r="N22" s="79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75" x14ac:dyDescent="0.3">
      <c r="C23" s="86"/>
      <c r="D23" s="71" t="s">
        <v>66</v>
      </c>
      <c r="E23" s="70"/>
      <c r="F23" s="214" t="s">
        <v>182</v>
      </c>
      <c r="G23" s="5"/>
      <c r="H23" s="110"/>
      <c r="I23" s="82"/>
      <c r="J23" s="87"/>
      <c r="K23" s="79"/>
      <c r="L23" s="79"/>
      <c r="M23" s="110"/>
      <c r="N23" s="79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75" x14ac:dyDescent="0.3">
      <c r="C24" s="86"/>
      <c r="D24" s="132" t="s">
        <v>86</v>
      </c>
      <c r="E24" s="92"/>
      <c r="F24" s="214" t="s">
        <v>182</v>
      </c>
      <c r="G24" s="11"/>
      <c r="H24" s="110"/>
      <c r="I24" s="82"/>
      <c r="J24" s="92"/>
      <c r="K24" s="79"/>
      <c r="L24" s="79"/>
      <c r="M24" s="110"/>
      <c r="N24" s="79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75" x14ac:dyDescent="0.3">
      <c r="C25" s="86"/>
      <c r="D25" s="132" t="s">
        <v>87</v>
      </c>
      <c r="E25" s="92"/>
      <c r="F25" s="214" t="s">
        <v>182</v>
      </c>
      <c r="G25" s="11"/>
      <c r="H25" s="110"/>
      <c r="I25" s="82"/>
      <c r="J25" s="92"/>
      <c r="K25" s="79"/>
      <c r="L25" s="79"/>
      <c r="M25" s="110"/>
      <c r="N25" s="79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.5" thickBot="1" x14ac:dyDescent="0.35">
      <c r="C26" s="86"/>
      <c r="D26" s="133" t="s">
        <v>88</v>
      </c>
      <c r="E26" s="65"/>
      <c r="F26" s="215" t="s">
        <v>182</v>
      </c>
      <c r="G26" s="5"/>
      <c r="H26" s="110"/>
      <c r="I26" s="82"/>
      <c r="J26" s="87"/>
      <c r="K26" s="79"/>
      <c r="L26" s="79"/>
      <c r="M26" s="110"/>
      <c r="N26" s="79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.5" thickBot="1" x14ac:dyDescent="0.35">
      <c r="C27" s="86"/>
      <c r="D27" s="229" t="s">
        <v>221</v>
      </c>
      <c r="E27" s="230">
        <f>Systemblatt!C11</f>
        <v>8000</v>
      </c>
      <c r="F27" s="231" t="s">
        <v>184</v>
      </c>
      <c r="G27" s="5"/>
      <c r="H27" s="111"/>
      <c r="I27" s="81"/>
      <c r="J27" s="65"/>
      <c r="K27" s="79"/>
      <c r="L27" s="79"/>
      <c r="M27" s="111"/>
      <c r="N27" s="80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75" x14ac:dyDescent="0.2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75" x14ac:dyDescent="0.2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75" x14ac:dyDescent="0.2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2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2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2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2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2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2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2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2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2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2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2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2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2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2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2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2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75" x14ac:dyDescent="0.2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2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2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2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2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2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2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2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2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2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2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2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2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2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2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2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2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2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2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2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2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2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2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.75" thickBot="1" x14ac:dyDescent="0.3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2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F2009837-D847-4FA8-AB6C-48F4742CF1F4}">
          <x14:formula1>
            <xm:f>Systemblatt!$E$5:$E$38</xm:f>
          </x14:formula1>
          <xm:sqref>AC10:AC27 AE10:AE27 T10:T27 I18:I27 I16 N14:Q27 N12:Q12 AH10:AH27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zoomScale="58" zoomScaleNormal="58" workbookViewId="0">
      <selection activeCell="K5" sqref="K5"/>
    </sheetView>
  </sheetViews>
  <sheetFormatPr baseColWidth="10" defaultColWidth="10.85546875" defaultRowHeight="15" x14ac:dyDescent="0.25"/>
  <cols>
    <col min="1" max="1" width="6" style="3" customWidth="1"/>
    <col min="2" max="2" width="2.28515625" style="3" customWidth="1"/>
    <col min="3" max="3" width="3.7109375" style="3" customWidth="1"/>
    <col min="4" max="4" width="31.28515625" style="3" customWidth="1"/>
    <col min="5" max="5" width="18.7109375" style="3" customWidth="1"/>
    <col min="6" max="6" width="15.28515625" style="3" customWidth="1"/>
    <col min="7" max="7" width="19.42578125" style="3" customWidth="1"/>
    <col min="8" max="8" width="23.42578125" style="3" customWidth="1"/>
    <col min="9" max="11" width="15.28515625" style="3" customWidth="1"/>
    <col min="12" max="12" width="4.28515625" style="3" customWidth="1"/>
    <col min="13" max="13" width="24.85546875" style="3" bestFit="1" customWidth="1"/>
    <col min="14" max="14" width="15.28515625" style="3" customWidth="1"/>
    <col min="15" max="15" width="30.140625" style="3" customWidth="1"/>
    <col min="16" max="16" width="33" style="3" customWidth="1"/>
    <col min="17" max="17" width="15.28515625" style="3" customWidth="1"/>
    <col min="18" max="18" width="20.5703125" style="3" bestFit="1" customWidth="1"/>
    <col min="19" max="19" width="23.42578125" style="3" customWidth="1"/>
    <col min="20" max="20" width="19.42578125" style="3" customWidth="1"/>
    <col min="21" max="22" width="10.85546875" style="3"/>
    <col min="23" max="23" width="19.28515625" style="3" customWidth="1"/>
    <col min="24" max="24" width="18.42578125" style="3" bestFit="1" customWidth="1"/>
    <col min="25" max="25" width="17.7109375" style="3" customWidth="1"/>
    <col min="26" max="26" width="18.28515625" style="3" customWidth="1"/>
    <col min="27" max="28" width="10.85546875" style="3"/>
    <col min="29" max="29" width="25.7109375" style="3" customWidth="1"/>
    <col min="30" max="30" width="10.85546875" style="3"/>
    <col min="31" max="31" width="15.140625" style="3" bestFit="1" customWidth="1"/>
    <col min="32" max="32" width="59.85546875" style="3" customWidth="1"/>
    <col min="33" max="33" width="10.85546875" style="3"/>
    <col min="34" max="34" width="18.7109375" style="3" customWidth="1"/>
    <col min="35" max="35" width="16.7109375" style="3" customWidth="1"/>
    <col min="36" max="37" width="10.85546875" style="3"/>
    <col min="38" max="38" width="12.85546875" style="3" bestFit="1" customWidth="1"/>
    <col min="39" max="39" width="17.7109375" style="3" bestFit="1" customWidth="1"/>
    <col min="40" max="40" width="25.140625" style="3" customWidth="1"/>
    <col min="41" max="16384" width="10.85546875" style="3"/>
  </cols>
  <sheetData>
    <row r="1" spans="3:41" ht="10.5" customHeight="1" thickBot="1" x14ac:dyDescent="0.3"/>
    <row r="2" spans="3:41" ht="18.600000000000001" customHeight="1" x14ac:dyDescent="0.2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25"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2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2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25">
      <c r="C6" s="86"/>
      <c r="D6" s="346"/>
      <c r="E6" s="346"/>
      <c r="F6" s="5"/>
      <c r="G6" s="5"/>
      <c r="H6" s="346"/>
      <c r="I6" s="346"/>
      <c r="J6" s="15"/>
      <c r="K6" s="15"/>
      <c r="L6" s="5"/>
      <c r="M6" s="346"/>
      <c r="N6" s="346"/>
      <c r="O6" s="346"/>
      <c r="P6" s="346"/>
      <c r="Q6" s="5"/>
      <c r="R6" s="5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347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.75" thickBot="1" x14ac:dyDescent="0.3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4">
      <c r="C8" s="86"/>
      <c r="D8" s="327" t="s">
        <v>52</v>
      </c>
      <c r="E8" s="328"/>
      <c r="F8" s="329"/>
      <c r="G8" s="5"/>
      <c r="H8" s="330" t="s">
        <v>53</v>
      </c>
      <c r="I8" s="331"/>
      <c r="J8" s="332"/>
      <c r="K8" s="5"/>
      <c r="L8" s="5"/>
      <c r="M8" s="340" t="s">
        <v>72</v>
      </c>
      <c r="N8" s="341"/>
      <c r="O8" s="341"/>
      <c r="P8" s="341"/>
      <c r="Q8" s="342"/>
      <c r="R8" s="5"/>
      <c r="S8" s="334" t="s">
        <v>78</v>
      </c>
      <c r="T8" s="335"/>
      <c r="U8" s="336"/>
      <c r="V8" s="12"/>
      <c r="W8" s="337" t="s">
        <v>108</v>
      </c>
      <c r="X8" s="338"/>
      <c r="Y8" s="338"/>
      <c r="Z8" s="339"/>
      <c r="AA8" s="11"/>
      <c r="AB8" s="337" t="s">
        <v>85</v>
      </c>
      <c r="AC8" s="338"/>
      <c r="AD8" s="338"/>
      <c r="AE8" s="338"/>
      <c r="AF8" s="339"/>
      <c r="AG8" s="11"/>
      <c r="AH8" s="343" t="s">
        <v>5</v>
      </c>
      <c r="AI8" s="344"/>
      <c r="AJ8" s="345"/>
      <c r="AK8" s="98"/>
      <c r="AL8" s="343" t="s">
        <v>6</v>
      </c>
      <c r="AM8" s="344"/>
      <c r="AN8" s="345"/>
      <c r="AO8" s="87"/>
    </row>
    <row r="9" spans="3:41" ht="21.75" thickBot="1" x14ac:dyDescent="0.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5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75" x14ac:dyDescent="0.3">
      <c r="C10" s="86"/>
      <c r="D10" s="67" t="s">
        <v>1</v>
      </c>
      <c r="E10" s="68" t="s">
        <v>231</v>
      </c>
      <c r="F10" s="214" t="s">
        <v>182</v>
      </c>
      <c r="G10" s="5"/>
      <c r="H10" s="67" t="s">
        <v>2</v>
      </c>
      <c r="I10" s="68"/>
      <c r="J10" s="96" t="s">
        <v>182</v>
      </c>
      <c r="K10" s="5"/>
      <c r="L10" s="79"/>
      <c r="M10" s="67" t="s">
        <v>75</v>
      </c>
      <c r="N10" s="179"/>
      <c r="O10" s="179"/>
      <c r="P10" s="180"/>
      <c r="Q10" s="181"/>
      <c r="R10" s="5" t="s">
        <v>198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 t="s">
        <v>179</v>
      </c>
      <c r="AI10" s="125">
        <v>5</v>
      </c>
      <c r="AJ10" s="127">
        <v>-1</v>
      </c>
      <c r="AK10" s="115"/>
      <c r="AL10" s="128">
        <v>5</v>
      </c>
      <c r="AM10" s="129" t="s">
        <v>179</v>
      </c>
      <c r="AN10" s="130">
        <v>1</v>
      </c>
      <c r="AO10" s="87"/>
    </row>
    <row r="11" spans="3:41" ht="19.5" thickBot="1" x14ac:dyDescent="0.35">
      <c r="C11" s="86"/>
      <c r="D11" s="69" t="s">
        <v>3</v>
      </c>
      <c r="E11" s="70">
        <v>310</v>
      </c>
      <c r="F11" s="214" t="s">
        <v>182</v>
      </c>
      <c r="G11" s="5"/>
      <c r="H11" s="69" t="s">
        <v>67</v>
      </c>
      <c r="I11" s="105">
        <v>2</v>
      </c>
      <c r="J11" s="87" t="s">
        <v>191</v>
      </c>
      <c r="K11" s="5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5</v>
      </c>
      <c r="AJ11" s="127">
        <v>0.8</v>
      </c>
      <c r="AK11" s="115"/>
      <c r="AL11" s="116"/>
      <c r="AM11" s="6"/>
      <c r="AN11" s="131"/>
      <c r="AO11" s="87"/>
    </row>
    <row r="12" spans="3:41" ht="18.75" x14ac:dyDescent="0.3">
      <c r="C12" s="86"/>
      <c r="D12" s="69" t="s">
        <v>42</v>
      </c>
      <c r="E12" s="205" t="s">
        <v>24</v>
      </c>
      <c r="F12" s="214" t="s">
        <v>182</v>
      </c>
      <c r="G12" s="5"/>
      <c r="H12" s="69" t="s">
        <v>68</v>
      </c>
      <c r="I12" s="105">
        <v>10</v>
      </c>
      <c r="J12" s="87" t="str">
        <f>J15</f>
        <v>t/h</v>
      </c>
      <c r="K12" s="5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7" t="s">
        <v>14</v>
      </c>
      <c r="AI12" s="125">
        <v>5</v>
      </c>
      <c r="AJ12" s="108">
        <v>0.2</v>
      </c>
      <c r="AK12" s="115"/>
      <c r="AL12" s="116"/>
      <c r="AM12" s="6"/>
      <c r="AN12" s="131"/>
      <c r="AO12" s="87"/>
    </row>
    <row r="13" spans="3:41" ht="18.75" x14ac:dyDescent="0.3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87" t="s">
        <v>182</v>
      </c>
      <c r="K13" s="5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75" x14ac:dyDescent="0.3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87" t="s">
        <v>194</v>
      </c>
      <c r="K14" s="5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.5" thickBot="1" x14ac:dyDescent="0.3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87" t="s">
        <v>192</v>
      </c>
      <c r="K15" s="5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.5" thickBot="1" x14ac:dyDescent="0.3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243" t="s">
        <v>179</v>
      </c>
      <c r="J16" s="96" t="s">
        <v>182</v>
      </c>
      <c r="K16" s="5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75" x14ac:dyDescent="0.3">
      <c r="C17" s="86"/>
      <c r="D17" s="69" t="s">
        <v>60</v>
      </c>
      <c r="E17" s="70"/>
      <c r="F17" s="214" t="s">
        <v>197</v>
      </c>
      <c r="G17" s="5"/>
      <c r="H17" s="76"/>
      <c r="I17" s="244"/>
      <c r="J17" s="87" t="s">
        <v>182</v>
      </c>
      <c r="K17" s="5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75" x14ac:dyDescent="0.3">
      <c r="C18" s="86"/>
      <c r="D18" s="71" t="s">
        <v>61</v>
      </c>
      <c r="E18" s="70"/>
      <c r="F18" s="214" t="s">
        <v>197</v>
      </c>
      <c r="G18" s="5"/>
      <c r="H18" s="77"/>
      <c r="I18" s="244"/>
      <c r="J18" s="87" t="s">
        <v>182</v>
      </c>
      <c r="K18" s="5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75" x14ac:dyDescent="0.3">
      <c r="C19" s="86"/>
      <c r="D19" s="69" t="s">
        <v>62</v>
      </c>
      <c r="E19" s="70"/>
      <c r="F19" s="214" t="s">
        <v>197</v>
      </c>
      <c r="G19" s="5"/>
      <c r="H19" s="77"/>
      <c r="I19" s="244"/>
      <c r="J19" s="87" t="s">
        <v>182</v>
      </c>
      <c r="K19" s="5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75" x14ac:dyDescent="0.3">
      <c r="C20" s="86"/>
      <c r="D20" s="71" t="s">
        <v>63</v>
      </c>
      <c r="E20" s="70"/>
      <c r="F20" s="214" t="s">
        <v>197</v>
      </c>
      <c r="G20" s="5"/>
      <c r="H20" s="77"/>
      <c r="I20" s="244"/>
      <c r="J20" s="87" t="s">
        <v>182</v>
      </c>
      <c r="K20" s="5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75" x14ac:dyDescent="0.3">
      <c r="C21" s="86"/>
      <c r="D21" s="71" t="s">
        <v>64</v>
      </c>
      <c r="E21" s="143">
        <v>0.83</v>
      </c>
      <c r="F21" s="214" t="s">
        <v>182</v>
      </c>
      <c r="G21" s="5"/>
      <c r="H21" s="110"/>
      <c r="I21" s="244"/>
      <c r="J21" s="87" t="s">
        <v>182</v>
      </c>
      <c r="K21" s="5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75" x14ac:dyDescent="0.3">
      <c r="C22" s="86"/>
      <c r="D22" s="71" t="s">
        <v>65</v>
      </c>
      <c r="E22" s="70"/>
      <c r="F22" s="214" t="s">
        <v>182</v>
      </c>
      <c r="G22" s="5"/>
      <c r="H22" s="110"/>
      <c r="I22" s="244"/>
      <c r="J22" s="87" t="s">
        <v>182</v>
      </c>
      <c r="K22" s="5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75" x14ac:dyDescent="0.3">
      <c r="C23" s="86"/>
      <c r="D23" s="71" t="s">
        <v>66</v>
      </c>
      <c r="E23" s="70"/>
      <c r="F23" s="214" t="s">
        <v>182</v>
      </c>
      <c r="G23" s="5"/>
      <c r="H23" s="110"/>
      <c r="I23" s="245"/>
      <c r="J23" s="87" t="s">
        <v>182</v>
      </c>
      <c r="K23" s="5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75" x14ac:dyDescent="0.3">
      <c r="C24" s="86"/>
      <c r="D24" s="132" t="s">
        <v>86</v>
      </c>
      <c r="E24" s="92"/>
      <c r="F24" s="214" t="s">
        <v>182</v>
      </c>
      <c r="G24" s="11"/>
      <c r="H24" s="110"/>
      <c r="I24" s="245"/>
      <c r="J24" s="87" t="s">
        <v>182</v>
      </c>
      <c r="K24" s="5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75" x14ac:dyDescent="0.3">
      <c r="C25" s="86"/>
      <c r="D25" s="132" t="s">
        <v>87</v>
      </c>
      <c r="E25" s="92"/>
      <c r="F25" s="214" t="s">
        <v>182</v>
      </c>
      <c r="G25" s="11"/>
      <c r="H25" s="110"/>
      <c r="I25" s="245"/>
      <c r="J25" s="87" t="s">
        <v>182</v>
      </c>
      <c r="K25" s="5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.5" thickBot="1" x14ac:dyDescent="0.35">
      <c r="C26" s="86"/>
      <c r="D26" s="133" t="s">
        <v>88</v>
      </c>
      <c r="E26" s="65"/>
      <c r="F26" s="215" t="s">
        <v>182</v>
      </c>
      <c r="G26" s="5"/>
      <c r="H26" s="110"/>
      <c r="I26" s="245"/>
      <c r="J26" s="87" t="s">
        <v>182</v>
      </c>
      <c r="K26" s="5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.5" thickBot="1" x14ac:dyDescent="0.3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65" t="s">
        <v>182</v>
      </c>
      <c r="K27" s="5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75" x14ac:dyDescent="0.2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75" x14ac:dyDescent="0.2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75" x14ac:dyDescent="0.2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2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2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2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2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2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2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2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2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2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2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2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2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2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2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2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2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75" x14ac:dyDescent="0.2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2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2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2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2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2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2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2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2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2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2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2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2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2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2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2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2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2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2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2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2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2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2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.75" thickBot="1" x14ac:dyDescent="0.3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2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3D986F80-7CF9-4870-9C74-003E406E6877}">
          <x14:formula1>
            <xm:f>Systemblatt!$E$5:$E$38</xm:f>
          </x14:formula1>
          <xm:sqref>N13 AC10:AC27 I16:I27 T10:T27 AE10:AE27 N14:Q27 N12:Q12 AH10:AH27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Uncertainty_test_idea</vt:lpstr>
      <vt:lpstr>Distributor</vt:lpstr>
      <vt:lpstr>Uncertainty</vt:lpstr>
      <vt:lpstr>preprocessing</vt:lpstr>
      <vt:lpstr>help_unit</vt:lpstr>
      <vt:lpstr>Microwave assisted extraction</vt:lpstr>
      <vt:lpstr>Solvent recovery</vt:lpstr>
      <vt:lpstr>ultra sound assisted extraction</vt:lpstr>
      <vt:lpstr>Solvent Recovery 2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2023-10-16T13:44:42Z</dcterms:modified>
</cp:coreProperties>
</file>